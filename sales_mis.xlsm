
<file path=[Content_Types].xml><?xml version="1.0" encoding="utf-8"?>
<Types xmlns="http://schemas.openxmlformats.org/package/2006/content-types">
  <Default Extension="png" ContentType="image/png"/>
  <Default Extension="svg" ContentType="image/svg+xml"/>
  <Default Extension="bin" ContentType="application/vnd.ms-office.vbaProject"/>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HP\Desktop\__MACOSX\"/>
    </mc:Choice>
  </mc:AlternateContent>
  <xr:revisionPtr revIDLastSave="0" documentId="13_ncr:1_{2CD0F28F-1AF8-4A4C-A70F-8BD490EACAA2}" xr6:coauthVersionLast="36" xr6:coauthVersionMax="36" xr10:uidLastSave="{00000000-0000-0000-0000-000000000000}"/>
  <bookViews>
    <workbookView xWindow="0" yWindow="0" windowWidth="20490" windowHeight="7125" firstSheet="3" activeTab="7" xr2:uid="{E65623CE-1E32-43A6-90E7-D471E2327166}"/>
  </bookViews>
  <sheets>
    <sheet name="Orders" sheetId="1" r:id="rId1"/>
    <sheet name="Order_Details" sheetId="2" r:id="rId2"/>
    <sheet name="Sales_Target" sheetId="3" r:id="rId3"/>
    <sheet name="Final_Data" sheetId="4" r:id="rId4"/>
    <sheet name="MIS_Report" sheetId="5" r:id="rId5"/>
    <sheet name="KPI's" sheetId="8" state="hidden" r:id="rId6"/>
    <sheet name="Pivot_Analysis" sheetId="6" r:id="rId7"/>
    <sheet name="Dashboard" sheetId="7" r:id="rId8"/>
  </sheets>
  <definedNames>
    <definedName name="_xlcn.WorksheetConnection_Mis_Project.xlsxtbl_details51" hidden="1">tbl_details5[]</definedName>
    <definedName name="Slicer_Category">#N/A</definedName>
    <definedName name="Slicer_Order_Month">#N/A</definedName>
    <definedName name="tbl_orders">Table1[#All]</definedName>
  </definedNames>
  <calcPr calcId="191029"/>
  <pivotCaches>
    <pivotCache cacheId="52" r:id="rId9"/>
    <pivotCache cacheId="55" r:id="rId10"/>
    <pivotCache cacheId="58" r:id="rId11"/>
    <pivotCache cacheId="61" r:id="rId12"/>
    <pivotCache cacheId="103" r:id="rId13"/>
  </pivotCaches>
  <fileRecoveryPr repairLoad="1"/>
  <extLst>
    <ext xmlns:x14="http://schemas.microsoft.com/office/spreadsheetml/2009/9/main" uri="{876F7934-8845-4945-9796-88D515C7AA90}">
      <x14:pivotCaches>
        <pivotCache cacheId="51"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details5" name="tbl_details5" connection="WorksheetConnection_Mis_Project.xlsx!tbl_details5"/>
        </x15:modelTables>
      </x15:dataModel>
    </ext>
  </extLst>
</workbook>
</file>

<file path=xl/calcChain.xml><?xml version="1.0" encoding="utf-8"?>
<calcChain xmlns="http://schemas.openxmlformats.org/spreadsheetml/2006/main">
  <c r="G20" i="5" l="1" a="1"/>
  <c r="G20" i="5" s="1"/>
  <c r="G21" i="5" a="1"/>
  <c r="G21" i="5" s="1"/>
  <c r="G22" i="5" a="1"/>
  <c r="G22" i="5" s="1"/>
  <c r="G23" i="5" a="1"/>
  <c r="G23" i="5" s="1"/>
  <c r="G24" i="5" a="1"/>
  <c r="G24" i="5" s="1"/>
  <c r="G25" i="5" a="1"/>
  <c r="G25" i="5" s="1"/>
  <c r="G26" i="5" a="1"/>
  <c r="G26" i="5" s="1"/>
  <c r="G27" i="5" a="1"/>
  <c r="G27" i="5" s="1"/>
  <c r="G28" i="5" a="1"/>
  <c r="G28" i="5" s="1"/>
  <c r="G29" i="5" a="1"/>
  <c r="G29" i="5" s="1"/>
  <c r="G30" i="5" a="1"/>
  <c r="G30" i="5" s="1"/>
  <c r="G31" i="5" a="1"/>
  <c r="G31" i="5" s="1"/>
  <c r="F20" i="5" a="1"/>
  <c r="F20" i="5" s="1"/>
  <c r="F21" i="5" a="1"/>
  <c r="F21" i="5" s="1"/>
  <c r="F22" i="5" a="1"/>
  <c r="F22" i="5" s="1"/>
  <c r="F23" i="5" a="1"/>
  <c r="F23" i="5" s="1"/>
  <c r="F24" i="5" a="1"/>
  <c r="F24" i="5" s="1"/>
  <c r="F25" i="5" a="1"/>
  <c r="F25" i="5" s="1"/>
  <c r="F26" i="5" a="1"/>
  <c r="F26" i="5" s="1"/>
  <c r="F27" i="5" a="1"/>
  <c r="F27" i="5" s="1"/>
  <c r="F28" i="5" a="1"/>
  <c r="F28" i="5" s="1"/>
  <c r="F29" i="5" a="1"/>
  <c r="F29" i="5" s="1"/>
  <c r="F30" i="5" a="1"/>
  <c r="F30" i="5" s="1"/>
  <c r="F31" i="5" a="1"/>
  <c r="F31" i="5" s="1"/>
  <c r="E20" i="5" a="1"/>
  <c r="E20" i="5" s="1"/>
  <c r="E21" i="5" a="1"/>
  <c r="E21" i="5" s="1"/>
  <c r="E22" i="5" a="1"/>
  <c r="E22" i="5" s="1"/>
  <c r="E23" i="5" a="1"/>
  <c r="E23" i="5" s="1"/>
  <c r="E24" i="5" a="1"/>
  <c r="E24" i="5" s="1"/>
  <c r="E25" i="5" a="1"/>
  <c r="E25" i="5" s="1"/>
  <c r="E26" i="5" a="1"/>
  <c r="E26" i="5" s="1"/>
  <c r="E27" i="5" a="1"/>
  <c r="E27" i="5" s="1"/>
  <c r="E28" i="5" a="1"/>
  <c r="E28" i="5" s="1"/>
  <c r="E29" i="5" a="1"/>
  <c r="E29" i="5" s="1"/>
  <c r="E30" i="5" a="1"/>
  <c r="E30" i="5" s="1"/>
  <c r="E31" i="5" a="1"/>
  <c r="E31" i="5" s="1"/>
  <c r="C37" i="5" l="1"/>
  <c r="C38" i="5"/>
  <c r="C39" i="5"/>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L1001" i="4"/>
  <c r="L1002" i="4"/>
  <c r="L1003" i="4"/>
  <c r="L1004" i="4"/>
  <c r="L1005" i="4"/>
  <c r="L1006" i="4"/>
  <c r="L1007" i="4"/>
  <c r="L1008" i="4"/>
  <c r="L1009" i="4"/>
  <c r="L1010" i="4"/>
  <c r="L1011" i="4"/>
  <c r="L1012" i="4"/>
  <c r="L1013" i="4"/>
  <c r="L1014" i="4"/>
  <c r="L1015" i="4"/>
  <c r="L1016" i="4"/>
  <c r="L1017" i="4"/>
  <c r="L1018" i="4"/>
  <c r="L1019" i="4"/>
  <c r="L1020" i="4"/>
  <c r="L1021" i="4"/>
  <c r="L1022" i="4"/>
  <c r="L1023" i="4"/>
  <c r="L1024" i="4"/>
  <c r="L1025" i="4"/>
  <c r="L1026" i="4"/>
  <c r="L1027" i="4"/>
  <c r="L1028" i="4"/>
  <c r="L1029" i="4"/>
  <c r="L1030" i="4"/>
  <c r="L1031" i="4"/>
  <c r="L1032" i="4"/>
  <c r="L1033" i="4"/>
  <c r="L1034" i="4"/>
  <c r="L1035" i="4"/>
  <c r="L1036" i="4"/>
  <c r="L1037" i="4"/>
  <c r="L1038" i="4"/>
  <c r="L1039" i="4"/>
  <c r="L1040" i="4"/>
  <c r="L1041" i="4"/>
  <c r="L1042" i="4"/>
  <c r="L1043" i="4"/>
  <c r="L1044" i="4"/>
  <c r="L1045" i="4"/>
  <c r="L1046" i="4"/>
  <c r="L1047" i="4"/>
  <c r="L1048" i="4"/>
  <c r="L1049" i="4"/>
  <c r="L1050" i="4"/>
  <c r="L1051" i="4"/>
  <c r="L1052" i="4"/>
  <c r="L1053" i="4"/>
  <c r="L1054" i="4"/>
  <c r="L1055" i="4"/>
  <c r="L1056" i="4"/>
  <c r="L1057" i="4"/>
  <c r="L1058" i="4"/>
  <c r="L1059" i="4"/>
  <c r="L1060" i="4"/>
  <c r="L1061" i="4"/>
  <c r="L1062" i="4"/>
  <c r="L1063" i="4"/>
  <c r="L1064" i="4"/>
  <c r="L1065" i="4"/>
  <c r="L1066" i="4"/>
  <c r="L1067" i="4"/>
  <c r="L1068" i="4"/>
  <c r="L1069" i="4"/>
  <c r="L1070" i="4"/>
  <c r="L1071" i="4"/>
  <c r="L1072" i="4"/>
  <c r="L1073" i="4"/>
  <c r="L1074" i="4"/>
  <c r="L1075" i="4"/>
  <c r="L1076" i="4"/>
  <c r="L1077" i="4"/>
  <c r="L1078" i="4"/>
  <c r="L1079" i="4"/>
  <c r="L1080" i="4"/>
  <c r="L1081" i="4"/>
  <c r="L1082" i="4"/>
  <c r="L1083" i="4"/>
  <c r="L1084" i="4"/>
  <c r="L1085" i="4"/>
  <c r="L1086" i="4"/>
  <c r="L1087" i="4"/>
  <c r="L1088" i="4"/>
  <c r="L1089" i="4"/>
  <c r="L1090" i="4"/>
  <c r="L1091" i="4"/>
  <c r="L1092" i="4"/>
  <c r="L1093" i="4"/>
  <c r="L1094" i="4"/>
  <c r="L1095" i="4"/>
  <c r="L1096" i="4"/>
  <c r="L1097" i="4"/>
  <c r="L1098" i="4"/>
  <c r="L1099" i="4"/>
  <c r="L1100" i="4"/>
  <c r="L1101" i="4"/>
  <c r="L1102" i="4"/>
  <c r="L1103" i="4"/>
  <c r="L1104" i="4"/>
  <c r="L1105" i="4"/>
  <c r="L1106" i="4"/>
  <c r="L1107" i="4"/>
  <c r="L1108" i="4"/>
  <c r="L1109" i="4"/>
  <c r="L1110" i="4"/>
  <c r="L1111" i="4"/>
  <c r="L1112" i="4"/>
  <c r="L1113" i="4"/>
  <c r="L1114" i="4"/>
  <c r="L1115" i="4"/>
  <c r="L1116" i="4"/>
  <c r="L1117" i="4"/>
  <c r="L1118" i="4"/>
  <c r="L1119" i="4"/>
  <c r="L1120" i="4"/>
  <c r="L1121" i="4"/>
  <c r="L1122" i="4"/>
  <c r="L1123" i="4"/>
  <c r="L1124" i="4"/>
  <c r="L1125" i="4"/>
  <c r="L1126" i="4"/>
  <c r="L1127" i="4"/>
  <c r="L1128" i="4"/>
  <c r="L1129" i="4"/>
  <c r="L1130" i="4"/>
  <c r="L1131" i="4"/>
  <c r="L1132" i="4"/>
  <c r="L1133" i="4"/>
  <c r="L1134" i="4"/>
  <c r="L1135" i="4"/>
  <c r="L1136" i="4"/>
  <c r="L1137" i="4"/>
  <c r="L1138" i="4"/>
  <c r="L1139" i="4"/>
  <c r="L1140" i="4"/>
  <c r="L1141" i="4"/>
  <c r="L1142" i="4"/>
  <c r="L1143" i="4"/>
  <c r="L1144" i="4"/>
  <c r="L1145" i="4"/>
  <c r="L1146" i="4"/>
  <c r="L1147" i="4"/>
  <c r="L1148" i="4"/>
  <c r="L1149" i="4"/>
  <c r="L1150" i="4"/>
  <c r="L1151" i="4"/>
  <c r="L1152" i="4"/>
  <c r="L1153" i="4"/>
  <c r="L1154" i="4"/>
  <c r="L1155" i="4"/>
  <c r="L1156" i="4"/>
  <c r="L1157" i="4"/>
  <c r="L1158" i="4"/>
  <c r="L1159" i="4"/>
  <c r="L1160" i="4"/>
  <c r="L1161" i="4"/>
  <c r="L1162" i="4"/>
  <c r="L1163" i="4"/>
  <c r="L1164" i="4"/>
  <c r="L1165" i="4"/>
  <c r="L1166" i="4"/>
  <c r="L1167" i="4"/>
  <c r="L1168" i="4"/>
  <c r="L1169" i="4"/>
  <c r="L1170" i="4"/>
  <c r="L1171" i="4"/>
  <c r="L1172" i="4"/>
  <c r="L1173" i="4"/>
  <c r="L1174" i="4"/>
  <c r="L1175" i="4"/>
  <c r="L1176" i="4"/>
  <c r="L1177" i="4"/>
  <c r="L1178" i="4"/>
  <c r="L1179" i="4"/>
  <c r="L1180" i="4"/>
  <c r="L1181" i="4"/>
  <c r="L1182" i="4"/>
  <c r="L1183" i="4"/>
  <c r="L1184" i="4"/>
  <c r="L1185" i="4"/>
  <c r="L1186" i="4"/>
  <c r="L1187" i="4"/>
  <c r="L1188" i="4"/>
  <c r="L1189" i="4"/>
  <c r="L1190" i="4"/>
  <c r="L1191" i="4"/>
  <c r="L1192" i="4"/>
  <c r="L1193" i="4"/>
  <c r="L1194" i="4"/>
  <c r="L1195" i="4"/>
  <c r="L1196" i="4"/>
  <c r="L1197" i="4"/>
  <c r="L1198" i="4"/>
  <c r="L1199" i="4"/>
  <c r="L1200" i="4"/>
  <c r="L1201" i="4"/>
  <c r="L1202" i="4"/>
  <c r="L1203" i="4"/>
  <c r="L1204" i="4"/>
  <c r="L1205" i="4"/>
  <c r="L1206" i="4"/>
  <c r="L1207" i="4"/>
  <c r="L1208" i="4"/>
  <c r="L1209" i="4"/>
  <c r="L1210" i="4"/>
  <c r="L1211" i="4"/>
  <c r="L1212" i="4"/>
  <c r="L1213" i="4"/>
  <c r="L1214" i="4"/>
  <c r="L1215" i="4"/>
  <c r="L1216" i="4"/>
  <c r="L1217" i="4"/>
  <c r="L1218" i="4"/>
  <c r="L1219" i="4"/>
  <c r="L1220" i="4"/>
  <c r="L1221" i="4"/>
  <c r="L1222" i="4"/>
  <c r="L1223" i="4"/>
  <c r="L1224" i="4"/>
  <c r="L1225" i="4"/>
  <c r="L1226" i="4"/>
  <c r="L1227" i="4"/>
  <c r="L1228" i="4"/>
  <c r="L1229" i="4"/>
  <c r="L1230" i="4"/>
  <c r="L1231" i="4"/>
  <c r="L1232" i="4"/>
  <c r="L1233" i="4"/>
  <c r="L1234" i="4"/>
  <c r="L1235" i="4"/>
  <c r="L1236" i="4"/>
  <c r="L1237" i="4"/>
  <c r="L1238" i="4"/>
  <c r="L1239" i="4"/>
  <c r="L1240" i="4"/>
  <c r="L1241" i="4"/>
  <c r="L1242" i="4"/>
  <c r="L1243" i="4"/>
  <c r="L1244" i="4"/>
  <c r="L1245" i="4"/>
  <c r="L1246" i="4"/>
  <c r="L1247" i="4"/>
  <c r="L1248" i="4"/>
  <c r="L1249" i="4"/>
  <c r="L1250" i="4"/>
  <c r="L1251" i="4"/>
  <c r="L1252" i="4"/>
  <c r="L1253" i="4"/>
  <c r="L1254" i="4"/>
  <c r="L1255" i="4"/>
  <c r="L1256" i="4"/>
  <c r="L1257" i="4"/>
  <c r="L1258" i="4"/>
  <c r="L1259" i="4"/>
  <c r="L1260" i="4"/>
  <c r="L1261" i="4"/>
  <c r="L1262" i="4"/>
  <c r="L1263" i="4"/>
  <c r="L1264" i="4"/>
  <c r="L1265" i="4"/>
  <c r="L1266" i="4"/>
  <c r="L1267" i="4"/>
  <c r="L1268" i="4"/>
  <c r="L1269" i="4"/>
  <c r="L1270" i="4"/>
  <c r="L1271" i="4"/>
  <c r="L1272" i="4"/>
  <c r="L1273" i="4"/>
  <c r="L1274" i="4"/>
  <c r="L1275" i="4"/>
  <c r="L1276" i="4"/>
  <c r="L1277" i="4"/>
  <c r="L1278" i="4"/>
  <c r="L1279" i="4"/>
  <c r="L1280" i="4"/>
  <c r="L1281" i="4"/>
  <c r="L1282" i="4"/>
  <c r="L1283" i="4"/>
  <c r="L1284" i="4"/>
  <c r="L1285" i="4"/>
  <c r="L1286" i="4"/>
  <c r="L1287" i="4"/>
  <c r="L1288" i="4"/>
  <c r="L1289" i="4"/>
  <c r="L1290" i="4"/>
  <c r="L1291" i="4"/>
  <c r="L1292" i="4"/>
  <c r="L1293" i="4"/>
  <c r="L1294" i="4"/>
  <c r="L1295" i="4"/>
  <c r="L1296" i="4"/>
  <c r="L1297" i="4"/>
  <c r="L1298" i="4"/>
  <c r="L1299" i="4"/>
  <c r="L1300" i="4"/>
  <c r="L1301" i="4"/>
  <c r="L1302" i="4"/>
  <c r="L1303" i="4"/>
  <c r="L1304" i="4"/>
  <c r="L1305" i="4"/>
  <c r="L1306" i="4"/>
  <c r="L1307" i="4"/>
  <c r="L1308" i="4"/>
  <c r="L1309" i="4"/>
  <c r="L1310" i="4"/>
  <c r="L1311" i="4"/>
  <c r="L1312" i="4"/>
  <c r="L1313" i="4"/>
  <c r="L1314" i="4"/>
  <c r="L1315" i="4"/>
  <c r="L1316" i="4"/>
  <c r="L1317" i="4"/>
  <c r="L1318" i="4"/>
  <c r="L1319" i="4"/>
  <c r="L1320" i="4"/>
  <c r="L1321" i="4"/>
  <c r="L1322" i="4"/>
  <c r="L1323" i="4"/>
  <c r="L1324" i="4"/>
  <c r="L1325" i="4"/>
  <c r="L1326" i="4"/>
  <c r="L1327" i="4"/>
  <c r="L1328" i="4"/>
  <c r="L1329" i="4"/>
  <c r="L1330" i="4"/>
  <c r="L1331" i="4"/>
  <c r="L1332" i="4"/>
  <c r="L1333" i="4"/>
  <c r="L1334" i="4"/>
  <c r="L1335" i="4"/>
  <c r="L1336" i="4"/>
  <c r="L1337" i="4"/>
  <c r="L1338" i="4"/>
  <c r="L1339" i="4"/>
  <c r="L1340" i="4"/>
  <c r="L1341" i="4"/>
  <c r="L1342" i="4"/>
  <c r="L1343" i="4"/>
  <c r="L1344" i="4"/>
  <c r="L1345" i="4"/>
  <c r="L1346" i="4"/>
  <c r="L1347" i="4"/>
  <c r="L1348" i="4"/>
  <c r="L1349" i="4"/>
  <c r="L1350" i="4"/>
  <c r="L1351" i="4"/>
  <c r="L1352" i="4"/>
  <c r="L1353" i="4"/>
  <c r="L1354" i="4"/>
  <c r="L1355" i="4"/>
  <c r="L1356" i="4"/>
  <c r="L1357" i="4"/>
  <c r="L1358" i="4"/>
  <c r="L1359" i="4"/>
  <c r="L1360" i="4"/>
  <c r="L1361" i="4"/>
  <c r="L1362" i="4"/>
  <c r="L1363" i="4"/>
  <c r="L1364" i="4"/>
  <c r="L1365" i="4"/>
  <c r="L1366" i="4"/>
  <c r="L1367" i="4"/>
  <c r="L1368" i="4"/>
  <c r="L1369" i="4"/>
  <c r="L1370" i="4"/>
  <c r="L1371" i="4"/>
  <c r="L1372" i="4"/>
  <c r="L1373" i="4"/>
  <c r="L1374" i="4"/>
  <c r="L1375" i="4"/>
  <c r="L1376" i="4"/>
  <c r="L1377" i="4"/>
  <c r="L1378" i="4"/>
  <c r="L1379" i="4"/>
  <c r="L1380" i="4"/>
  <c r="L1381" i="4"/>
  <c r="L1382" i="4"/>
  <c r="L1383" i="4"/>
  <c r="L1384" i="4"/>
  <c r="L1385" i="4"/>
  <c r="L1386" i="4"/>
  <c r="L1387" i="4"/>
  <c r="L1388" i="4"/>
  <c r="L1389" i="4"/>
  <c r="L1390" i="4"/>
  <c r="L1391" i="4"/>
  <c r="L1392" i="4"/>
  <c r="L1393" i="4"/>
  <c r="L1394" i="4"/>
  <c r="L1395" i="4"/>
  <c r="L1396" i="4"/>
  <c r="L1397" i="4"/>
  <c r="L1398" i="4"/>
  <c r="L1399" i="4"/>
  <c r="L1400" i="4"/>
  <c r="L1401" i="4"/>
  <c r="L1402" i="4"/>
  <c r="L1403" i="4"/>
  <c r="L1404" i="4"/>
  <c r="L1405" i="4"/>
  <c r="L1406" i="4"/>
  <c r="L1407" i="4"/>
  <c r="L1408" i="4"/>
  <c r="L1409" i="4"/>
  <c r="L1410" i="4"/>
  <c r="L1411" i="4"/>
  <c r="L1412" i="4"/>
  <c r="L1413" i="4"/>
  <c r="L1414" i="4"/>
  <c r="L1415" i="4"/>
  <c r="L1416" i="4"/>
  <c r="L1417" i="4"/>
  <c r="L1418" i="4"/>
  <c r="L1419" i="4"/>
  <c r="L1420" i="4"/>
  <c r="L1421" i="4"/>
  <c r="L1422" i="4"/>
  <c r="L1423" i="4"/>
  <c r="L1424" i="4"/>
  <c r="L1425" i="4"/>
  <c r="L1426" i="4"/>
  <c r="L1427" i="4"/>
  <c r="L1428" i="4"/>
  <c r="L1429" i="4"/>
  <c r="L1430" i="4"/>
  <c r="L1431" i="4"/>
  <c r="L1432" i="4"/>
  <c r="L1433" i="4"/>
  <c r="L1434" i="4"/>
  <c r="L1435" i="4"/>
  <c r="L1436" i="4"/>
  <c r="L1437" i="4"/>
  <c r="L1438" i="4"/>
  <c r="L1439" i="4"/>
  <c r="L1440" i="4"/>
  <c r="L1441" i="4"/>
  <c r="L1442" i="4"/>
  <c r="L1443" i="4"/>
  <c r="L1444" i="4"/>
  <c r="L1445" i="4"/>
  <c r="L1446" i="4"/>
  <c r="L1447" i="4"/>
  <c r="L1448" i="4"/>
  <c r="L1449" i="4"/>
  <c r="L1450" i="4"/>
  <c r="L1451" i="4"/>
  <c r="L1452" i="4"/>
  <c r="L1453" i="4"/>
  <c r="L1454" i="4"/>
  <c r="L1455" i="4"/>
  <c r="L1456" i="4"/>
  <c r="L1457" i="4"/>
  <c r="L1458" i="4"/>
  <c r="L1459" i="4"/>
  <c r="L1460" i="4"/>
  <c r="L1461" i="4"/>
  <c r="L1462" i="4"/>
  <c r="L1463" i="4"/>
  <c r="L1464" i="4"/>
  <c r="L1465" i="4"/>
  <c r="L1466" i="4"/>
  <c r="L1467" i="4"/>
  <c r="L1468" i="4"/>
  <c r="L1469" i="4"/>
  <c r="L1470" i="4"/>
  <c r="L1471" i="4"/>
  <c r="L1472" i="4"/>
  <c r="L1473" i="4"/>
  <c r="L1474" i="4"/>
  <c r="L1475" i="4"/>
  <c r="L1476" i="4"/>
  <c r="L1477" i="4"/>
  <c r="L1478" i="4"/>
  <c r="L1479" i="4"/>
  <c r="L1480" i="4"/>
  <c r="L1481" i="4"/>
  <c r="L1482" i="4"/>
  <c r="L1483" i="4"/>
  <c r="L1484" i="4"/>
  <c r="L1485" i="4"/>
  <c r="L1486" i="4"/>
  <c r="L1487" i="4"/>
  <c r="L1488" i="4"/>
  <c r="L1489" i="4"/>
  <c r="L1490" i="4"/>
  <c r="L1491" i="4"/>
  <c r="L1492" i="4"/>
  <c r="L1493" i="4"/>
  <c r="L1494" i="4"/>
  <c r="L1495" i="4"/>
  <c r="L1496" i="4"/>
  <c r="L1497" i="4"/>
  <c r="L1498" i="4"/>
  <c r="L1499" i="4"/>
  <c r="L1500" i="4"/>
  <c r="L1501"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K1031" i="4"/>
  <c r="K1032" i="4"/>
  <c r="K1033" i="4"/>
  <c r="K1034" i="4"/>
  <c r="K1035" i="4"/>
  <c r="K1036" i="4"/>
  <c r="K1037" i="4"/>
  <c r="K1038" i="4"/>
  <c r="K1039" i="4"/>
  <c r="K1040" i="4"/>
  <c r="K1041" i="4"/>
  <c r="K1042" i="4"/>
  <c r="K1043" i="4"/>
  <c r="K1044" i="4"/>
  <c r="K1045" i="4"/>
  <c r="K1046" i="4"/>
  <c r="K1047" i="4"/>
  <c r="K1048" i="4"/>
  <c r="K1049" i="4"/>
  <c r="K1050" i="4"/>
  <c r="K1051" i="4"/>
  <c r="K1052" i="4"/>
  <c r="K1053" i="4"/>
  <c r="K1054" i="4"/>
  <c r="K1055" i="4"/>
  <c r="K1056" i="4"/>
  <c r="K1057" i="4"/>
  <c r="K1058" i="4"/>
  <c r="K1059" i="4"/>
  <c r="K1060" i="4"/>
  <c r="K1061" i="4"/>
  <c r="K1062" i="4"/>
  <c r="K1063" i="4"/>
  <c r="K1064" i="4"/>
  <c r="K1065" i="4"/>
  <c r="K1066" i="4"/>
  <c r="K1067" i="4"/>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17" i="4"/>
  <c r="K1118" i="4"/>
  <c r="K1119" i="4"/>
  <c r="K1120" i="4"/>
  <c r="K1121" i="4"/>
  <c r="K1122" i="4"/>
  <c r="K1123" i="4"/>
  <c r="K1124" i="4"/>
  <c r="K1125" i="4"/>
  <c r="K1126" i="4"/>
  <c r="K1127" i="4"/>
  <c r="K1128" i="4"/>
  <c r="K1129" i="4"/>
  <c r="K1130" i="4"/>
  <c r="K1131" i="4"/>
  <c r="K1132" i="4"/>
  <c r="K1133" i="4"/>
  <c r="K1134"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K1419" i="4"/>
  <c r="K1420" i="4"/>
  <c r="K1421" i="4"/>
  <c r="K1422" i="4"/>
  <c r="K1423" i="4"/>
  <c r="K1424" i="4"/>
  <c r="K1425" i="4"/>
  <c r="K1426" i="4"/>
  <c r="K1427" i="4"/>
  <c r="K1428" i="4"/>
  <c r="K1429" i="4"/>
  <c r="K1430" i="4"/>
  <c r="K1431" i="4"/>
  <c r="K1432" i="4"/>
  <c r="K1433" i="4"/>
  <c r="K1434" i="4"/>
  <c r="K1435" i="4"/>
  <c r="K1436" i="4"/>
  <c r="K1437" i="4"/>
  <c r="K1438" i="4"/>
  <c r="K1439" i="4"/>
  <c r="K1440" i="4"/>
  <c r="K1441" i="4"/>
  <c r="K1442" i="4"/>
  <c r="K1443" i="4"/>
  <c r="K1444" i="4"/>
  <c r="K1445" i="4"/>
  <c r="K1446" i="4"/>
  <c r="K1447" i="4"/>
  <c r="K1448" i="4"/>
  <c r="K1449" i="4"/>
  <c r="K1450" i="4"/>
  <c r="K1451" i="4"/>
  <c r="K1452" i="4"/>
  <c r="K1453" i="4"/>
  <c r="K1454" i="4"/>
  <c r="K1455" i="4"/>
  <c r="K1456" i="4"/>
  <c r="K1457" i="4"/>
  <c r="K1458" i="4"/>
  <c r="K1459" i="4"/>
  <c r="K1460" i="4"/>
  <c r="K1461" i="4"/>
  <c r="K1462" i="4"/>
  <c r="K1463" i="4"/>
  <c r="K1464" i="4"/>
  <c r="K1465" i="4"/>
  <c r="K1466" i="4"/>
  <c r="K1467" i="4"/>
  <c r="K1468" i="4"/>
  <c r="K1469" i="4"/>
  <c r="K1470" i="4"/>
  <c r="K1471" i="4"/>
  <c r="K1472" i="4"/>
  <c r="K1473" i="4"/>
  <c r="K1474" i="4"/>
  <c r="K1475" i="4"/>
  <c r="K1476" i="4"/>
  <c r="K1477" i="4"/>
  <c r="K1478" i="4"/>
  <c r="K1479" i="4"/>
  <c r="K1480" i="4"/>
  <c r="K1481" i="4"/>
  <c r="K1482" i="4"/>
  <c r="K1483" i="4"/>
  <c r="K1484" i="4"/>
  <c r="K1485" i="4"/>
  <c r="K1486" i="4"/>
  <c r="K1487" i="4"/>
  <c r="K1488" i="4"/>
  <c r="K1489" i="4"/>
  <c r="K1490" i="4"/>
  <c r="K1491" i="4"/>
  <c r="K1492" i="4"/>
  <c r="K1493" i="4"/>
  <c r="K1494" i="4"/>
  <c r="K1495" i="4"/>
  <c r="K1496" i="4"/>
  <c r="K1497" i="4"/>
  <c r="K1498" i="4"/>
  <c r="K1499" i="4"/>
  <c r="K1500" i="4"/>
  <c r="K1501"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H2" i="4"/>
  <c r="I2" i="4" s="1"/>
  <c r="H3" i="4"/>
  <c r="I3" i="4" s="1"/>
  <c r="H4" i="4"/>
  <c r="I4" i="4" s="1"/>
  <c r="H5" i="4"/>
  <c r="I5" i="4" s="1"/>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H23" i="4"/>
  <c r="I23" i="4" s="1"/>
  <c r="H24" i="4"/>
  <c r="I24" i="4" s="1"/>
  <c r="H25" i="4"/>
  <c r="I25" i="4" s="1"/>
  <c r="H26" i="4"/>
  <c r="I26" i="4" s="1"/>
  <c r="H27" i="4"/>
  <c r="I27" i="4" s="1"/>
  <c r="H28" i="4"/>
  <c r="I28" i="4" s="1"/>
  <c r="H29" i="4"/>
  <c r="I29" i="4" s="1"/>
  <c r="H30" i="4"/>
  <c r="I30" i="4" s="1"/>
  <c r="H31" i="4"/>
  <c r="I31" i="4" s="1"/>
  <c r="H32" i="4"/>
  <c r="I32" i="4" s="1"/>
  <c r="H33" i="4"/>
  <c r="I33" i="4" s="1"/>
  <c r="H34" i="4"/>
  <c r="I34" i="4" s="1"/>
  <c r="H35" i="4"/>
  <c r="I35" i="4" s="1"/>
  <c r="H36" i="4"/>
  <c r="I36" i="4" s="1"/>
  <c r="H37" i="4"/>
  <c r="I37" i="4" s="1"/>
  <c r="H38" i="4"/>
  <c r="I38" i="4" s="1"/>
  <c r="H39" i="4"/>
  <c r="I39" i="4" s="1"/>
  <c r="H40" i="4"/>
  <c r="I40" i="4" s="1"/>
  <c r="H41" i="4"/>
  <c r="I41" i="4" s="1"/>
  <c r="H42" i="4"/>
  <c r="I42" i="4" s="1"/>
  <c r="H43" i="4"/>
  <c r="I43" i="4" s="1"/>
  <c r="H44" i="4"/>
  <c r="I44" i="4" s="1"/>
  <c r="H45" i="4"/>
  <c r="I45" i="4" s="1"/>
  <c r="H46" i="4"/>
  <c r="I46" i="4" s="1"/>
  <c r="H47" i="4"/>
  <c r="I47" i="4" s="1"/>
  <c r="H48" i="4"/>
  <c r="I48" i="4" s="1"/>
  <c r="H49" i="4"/>
  <c r="I49" i="4" s="1"/>
  <c r="H50" i="4"/>
  <c r="I50" i="4" s="1"/>
  <c r="H51" i="4"/>
  <c r="I51" i="4" s="1"/>
  <c r="H52" i="4"/>
  <c r="I52" i="4" s="1"/>
  <c r="H53" i="4"/>
  <c r="I53" i="4" s="1"/>
  <c r="H54" i="4"/>
  <c r="I54" i="4" s="1"/>
  <c r="H55" i="4"/>
  <c r="I55" i="4" s="1"/>
  <c r="H56" i="4"/>
  <c r="I56" i="4" s="1"/>
  <c r="H57" i="4"/>
  <c r="I57" i="4" s="1"/>
  <c r="H58" i="4"/>
  <c r="I58" i="4" s="1"/>
  <c r="H59" i="4"/>
  <c r="I59" i="4" s="1"/>
  <c r="H60" i="4"/>
  <c r="I60" i="4" s="1"/>
  <c r="H61" i="4"/>
  <c r="I61" i="4" s="1"/>
  <c r="H62" i="4"/>
  <c r="I62" i="4" s="1"/>
  <c r="H63" i="4"/>
  <c r="I63" i="4" s="1"/>
  <c r="H64" i="4"/>
  <c r="I64" i="4" s="1"/>
  <c r="H65" i="4"/>
  <c r="I65" i="4" s="1"/>
  <c r="H66" i="4"/>
  <c r="I66" i="4" s="1"/>
  <c r="H67" i="4"/>
  <c r="I67" i="4" s="1"/>
  <c r="H68" i="4"/>
  <c r="I68" i="4" s="1"/>
  <c r="H69" i="4"/>
  <c r="I69" i="4" s="1"/>
  <c r="H70" i="4"/>
  <c r="I70" i="4" s="1"/>
  <c r="H71" i="4"/>
  <c r="I71" i="4" s="1"/>
  <c r="H72" i="4"/>
  <c r="I72" i="4" s="1"/>
  <c r="H73" i="4"/>
  <c r="I73" i="4" s="1"/>
  <c r="H74" i="4"/>
  <c r="I74" i="4" s="1"/>
  <c r="H75" i="4"/>
  <c r="I75" i="4" s="1"/>
  <c r="H76" i="4"/>
  <c r="I76" i="4" s="1"/>
  <c r="H77" i="4"/>
  <c r="I77" i="4" s="1"/>
  <c r="H78" i="4"/>
  <c r="I78" i="4" s="1"/>
  <c r="H79" i="4"/>
  <c r="I79" i="4" s="1"/>
  <c r="H80" i="4"/>
  <c r="I80" i="4" s="1"/>
  <c r="H81" i="4"/>
  <c r="I81" i="4" s="1"/>
  <c r="H82" i="4"/>
  <c r="I82" i="4" s="1"/>
  <c r="H83" i="4"/>
  <c r="I83" i="4" s="1"/>
  <c r="H84" i="4"/>
  <c r="I84" i="4" s="1"/>
  <c r="H85" i="4"/>
  <c r="I85" i="4" s="1"/>
  <c r="H86" i="4"/>
  <c r="I86" i="4" s="1"/>
  <c r="H87" i="4"/>
  <c r="I87" i="4" s="1"/>
  <c r="H88" i="4"/>
  <c r="I88" i="4" s="1"/>
  <c r="H89" i="4"/>
  <c r="I89" i="4" s="1"/>
  <c r="H90" i="4"/>
  <c r="I90" i="4" s="1"/>
  <c r="H91" i="4"/>
  <c r="I91" i="4" s="1"/>
  <c r="H92" i="4"/>
  <c r="I92" i="4" s="1"/>
  <c r="H93" i="4"/>
  <c r="I93" i="4" s="1"/>
  <c r="H94" i="4"/>
  <c r="I94" i="4" s="1"/>
  <c r="H95" i="4"/>
  <c r="I95" i="4" s="1"/>
  <c r="H96" i="4"/>
  <c r="I96" i="4" s="1"/>
  <c r="H97" i="4"/>
  <c r="I97" i="4" s="1"/>
  <c r="H98" i="4"/>
  <c r="I98" i="4" s="1"/>
  <c r="H99" i="4"/>
  <c r="I99" i="4" s="1"/>
  <c r="H100" i="4"/>
  <c r="I100" i="4" s="1"/>
  <c r="H101" i="4"/>
  <c r="I101" i="4" s="1"/>
  <c r="H102" i="4"/>
  <c r="I102" i="4" s="1"/>
  <c r="H103" i="4"/>
  <c r="I103" i="4" s="1"/>
  <c r="H104" i="4"/>
  <c r="I104" i="4" s="1"/>
  <c r="H105" i="4"/>
  <c r="I105" i="4" s="1"/>
  <c r="H106" i="4"/>
  <c r="I106" i="4" s="1"/>
  <c r="H107" i="4"/>
  <c r="I107" i="4" s="1"/>
  <c r="H108" i="4"/>
  <c r="I108" i="4" s="1"/>
  <c r="H109" i="4"/>
  <c r="I109" i="4" s="1"/>
  <c r="H110" i="4"/>
  <c r="I110" i="4" s="1"/>
  <c r="H111" i="4"/>
  <c r="I111" i="4" s="1"/>
  <c r="H112" i="4"/>
  <c r="I112" i="4" s="1"/>
  <c r="H113" i="4"/>
  <c r="I113" i="4" s="1"/>
  <c r="H114" i="4"/>
  <c r="I114" i="4" s="1"/>
  <c r="H115" i="4"/>
  <c r="I115" i="4" s="1"/>
  <c r="H116" i="4"/>
  <c r="I116" i="4" s="1"/>
  <c r="H117" i="4"/>
  <c r="I117" i="4" s="1"/>
  <c r="H118" i="4"/>
  <c r="I118" i="4" s="1"/>
  <c r="H119" i="4"/>
  <c r="I119" i="4" s="1"/>
  <c r="H120" i="4"/>
  <c r="I120" i="4" s="1"/>
  <c r="H121" i="4"/>
  <c r="I121" i="4" s="1"/>
  <c r="H122" i="4"/>
  <c r="I122" i="4" s="1"/>
  <c r="H123" i="4"/>
  <c r="I123" i="4" s="1"/>
  <c r="H124" i="4"/>
  <c r="I124" i="4" s="1"/>
  <c r="H125" i="4"/>
  <c r="I125" i="4" s="1"/>
  <c r="H126" i="4"/>
  <c r="I126" i="4" s="1"/>
  <c r="H127" i="4"/>
  <c r="I127" i="4" s="1"/>
  <c r="H128" i="4"/>
  <c r="I128" i="4" s="1"/>
  <c r="H129" i="4"/>
  <c r="I129" i="4" s="1"/>
  <c r="H130" i="4"/>
  <c r="I130" i="4" s="1"/>
  <c r="H131" i="4"/>
  <c r="I131" i="4" s="1"/>
  <c r="H132" i="4"/>
  <c r="I132" i="4" s="1"/>
  <c r="H133" i="4"/>
  <c r="I133" i="4" s="1"/>
  <c r="H134" i="4"/>
  <c r="I134" i="4" s="1"/>
  <c r="H135" i="4"/>
  <c r="I135" i="4" s="1"/>
  <c r="H136" i="4"/>
  <c r="I136" i="4" s="1"/>
  <c r="H137" i="4"/>
  <c r="I137" i="4" s="1"/>
  <c r="H138" i="4"/>
  <c r="I138" i="4" s="1"/>
  <c r="H139" i="4"/>
  <c r="I139" i="4" s="1"/>
  <c r="H140" i="4"/>
  <c r="I140" i="4" s="1"/>
  <c r="H141" i="4"/>
  <c r="I141" i="4" s="1"/>
  <c r="H142" i="4"/>
  <c r="I142" i="4" s="1"/>
  <c r="H143" i="4"/>
  <c r="I143" i="4" s="1"/>
  <c r="H144" i="4"/>
  <c r="I144" i="4" s="1"/>
  <c r="H145" i="4"/>
  <c r="I145" i="4" s="1"/>
  <c r="H146" i="4"/>
  <c r="I146" i="4" s="1"/>
  <c r="H147" i="4"/>
  <c r="I147" i="4" s="1"/>
  <c r="H148" i="4"/>
  <c r="I148" i="4" s="1"/>
  <c r="H149" i="4"/>
  <c r="I149" i="4" s="1"/>
  <c r="H150" i="4"/>
  <c r="I150" i="4" s="1"/>
  <c r="H151" i="4"/>
  <c r="I151" i="4" s="1"/>
  <c r="H152" i="4"/>
  <c r="I152" i="4" s="1"/>
  <c r="H153" i="4"/>
  <c r="I153" i="4" s="1"/>
  <c r="H154" i="4"/>
  <c r="I154" i="4" s="1"/>
  <c r="H155" i="4"/>
  <c r="I155" i="4" s="1"/>
  <c r="H156" i="4"/>
  <c r="I156" i="4" s="1"/>
  <c r="H157" i="4"/>
  <c r="I157" i="4" s="1"/>
  <c r="H158" i="4"/>
  <c r="I158" i="4" s="1"/>
  <c r="H159" i="4"/>
  <c r="I159" i="4" s="1"/>
  <c r="H160" i="4"/>
  <c r="I160" i="4" s="1"/>
  <c r="H161" i="4"/>
  <c r="I161" i="4" s="1"/>
  <c r="H162" i="4"/>
  <c r="I162" i="4" s="1"/>
  <c r="H163" i="4"/>
  <c r="I163" i="4" s="1"/>
  <c r="H164" i="4"/>
  <c r="I164" i="4" s="1"/>
  <c r="H165" i="4"/>
  <c r="I165" i="4" s="1"/>
  <c r="H166" i="4"/>
  <c r="I166" i="4" s="1"/>
  <c r="H167" i="4"/>
  <c r="I167" i="4" s="1"/>
  <c r="H168" i="4"/>
  <c r="I168" i="4" s="1"/>
  <c r="H169" i="4"/>
  <c r="I169" i="4" s="1"/>
  <c r="H170" i="4"/>
  <c r="I170" i="4" s="1"/>
  <c r="H171" i="4"/>
  <c r="I171" i="4" s="1"/>
  <c r="H172" i="4"/>
  <c r="I172" i="4" s="1"/>
  <c r="H173" i="4"/>
  <c r="I173" i="4" s="1"/>
  <c r="H174" i="4"/>
  <c r="I174" i="4" s="1"/>
  <c r="H175" i="4"/>
  <c r="I175" i="4" s="1"/>
  <c r="H176" i="4"/>
  <c r="I176" i="4" s="1"/>
  <c r="H177" i="4"/>
  <c r="I177" i="4" s="1"/>
  <c r="H178" i="4"/>
  <c r="I178" i="4" s="1"/>
  <c r="H179" i="4"/>
  <c r="I179" i="4" s="1"/>
  <c r="H180" i="4"/>
  <c r="I180" i="4" s="1"/>
  <c r="H181" i="4"/>
  <c r="I181" i="4" s="1"/>
  <c r="H182" i="4"/>
  <c r="I182" i="4" s="1"/>
  <c r="H183" i="4"/>
  <c r="I183" i="4" s="1"/>
  <c r="H184" i="4"/>
  <c r="I184" i="4" s="1"/>
  <c r="H185" i="4"/>
  <c r="I185" i="4" s="1"/>
  <c r="H186" i="4"/>
  <c r="I186" i="4" s="1"/>
  <c r="H187" i="4"/>
  <c r="I187" i="4" s="1"/>
  <c r="H188" i="4"/>
  <c r="I188" i="4" s="1"/>
  <c r="H189" i="4"/>
  <c r="I189" i="4" s="1"/>
  <c r="H190" i="4"/>
  <c r="I190" i="4" s="1"/>
  <c r="H191" i="4"/>
  <c r="I191" i="4" s="1"/>
  <c r="H192" i="4"/>
  <c r="I192" i="4" s="1"/>
  <c r="H193" i="4"/>
  <c r="I193" i="4" s="1"/>
  <c r="H194" i="4"/>
  <c r="I194" i="4" s="1"/>
  <c r="H195" i="4"/>
  <c r="I195" i="4" s="1"/>
  <c r="H196" i="4"/>
  <c r="I196" i="4" s="1"/>
  <c r="H197" i="4"/>
  <c r="I197" i="4" s="1"/>
  <c r="H198" i="4"/>
  <c r="I198" i="4" s="1"/>
  <c r="H199" i="4"/>
  <c r="I199" i="4" s="1"/>
  <c r="H200" i="4"/>
  <c r="I200" i="4" s="1"/>
  <c r="H201" i="4"/>
  <c r="I201" i="4" s="1"/>
  <c r="H202" i="4"/>
  <c r="I202" i="4" s="1"/>
  <c r="H203" i="4"/>
  <c r="I203" i="4" s="1"/>
  <c r="H204" i="4"/>
  <c r="I204" i="4" s="1"/>
  <c r="H205" i="4"/>
  <c r="I205" i="4" s="1"/>
  <c r="H206" i="4"/>
  <c r="I206" i="4" s="1"/>
  <c r="H207" i="4"/>
  <c r="I207" i="4" s="1"/>
  <c r="H208" i="4"/>
  <c r="I208" i="4" s="1"/>
  <c r="H209" i="4"/>
  <c r="I209" i="4" s="1"/>
  <c r="H210" i="4"/>
  <c r="I210" i="4" s="1"/>
  <c r="H211" i="4"/>
  <c r="I211" i="4" s="1"/>
  <c r="H212" i="4"/>
  <c r="I212" i="4" s="1"/>
  <c r="H213" i="4"/>
  <c r="I213" i="4" s="1"/>
  <c r="H214" i="4"/>
  <c r="I214" i="4" s="1"/>
  <c r="H215" i="4"/>
  <c r="I215" i="4" s="1"/>
  <c r="H216" i="4"/>
  <c r="I216" i="4" s="1"/>
  <c r="H217" i="4"/>
  <c r="I217" i="4" s="1"/>
  <c r="H218" i="4"/>
  <c r="I218" i="4" s="1"/>
  <c r="H219" i="4"/>
  <c r="I219" i="4" s="1"/>
  <c r="H220" i="4"/>
  <c r="I220" i="4" s="1"/>
  <c r="H221" i="4"/>
  <c r="I221" i="4" s="1"/>
  <c r="H222" i="4"/>
  <c r="I222" i="4" s="1"/>
  <c r="H223" i="4"/>
  <c r="I223" i="4" s="1"/>
  <c r="H224" i="4"/>
  <c r="I224" i="4" s="1"/>
  <c r="H225" i="4"/>
  <c r="I225" i="4" s="1"/>
  <c r="H226" i="4"/>
  <c r="I226" i="4" s="1"/>
  <c r="H227" i="4"/>
  <c r="I227" i="4" s="1"/>
  <c r="H228" i="4"/>
  <c r="I228" i="4" s="1"/>
  <c r="H229" i="4"/>
  <c r="I229" i="4" s="1"/>
  <c r="H230" i="4"/>
  <c r="I230" i="4" s="1"/>
  <c r="H231" i="4"/>
  <c r="I231" i="4" s="1"/>
  <c r="H232" i="4"/>
  <c r="I232" i="4" s="1"/>
  <c r="H233" i="4"/>
  <c r="I233" i="4" s="1"/>
  <c r="H234" i="4"/>
  <c r="I234" i="4" s="1"/>
  <c r="H235" i="4"/>
  <c r="I235" i="4" s="1"/>
  <c r="H236" i="4"/>
  <c r="I236" i="4" s="1"/>
  <c r="H237" i="4"/>
  <c r="I237" i="4" s="1"/>
  <c r="H238" i="4"/>
  <c r="I238" i="4" s="1"/>
  <c r="H239" i="4"/>
  <c r="I239" i="4" s="1"/>
  <c r="H240" i="4"/>
  <c r="I240" i="4" s="1"/>
  <c r="H241" i="4"/>
  <c r="I241" i="4" s="1"/>
  <c r="H242" i="4"/>
  <c r="I242" i="4" s="1"/>
  <c r="H243" i="4"/>
  <c r="I243" i="4" s="1"/>
  <c r="H244" i="4"/>
  <c r="I244" i="4" s="1"/>
  <c r="H245" i="4"/>
  <c r="I245" i="4" s="1"/>
  <c r="H246" i="4"/>
  <c r="I246" i="4" s="1"/>
  <c r="H247" i="4"/>
  <c r="I247" i="4" s="1"/>
  <c r="H248" i="4"/>
  <c r="I248" i="4" s="1"/>
  <c r="H249" i="4"/>
  <c r="I249" i="4" s="1"/>
  <c r="H250" i="4"/>
  <c r="I250" i="4" s="1"/>
  <c r="H251" i="4"/>
  <c r="I251" i="4" s="1"/>
  <c r="H252" i="4"/>
  <c r="I252" i="4" s="1"/>
  <c r="H253" i="4"/>
  <c r="I253" i="4" s="1"/>
  <c r="H254" i="4"/>
  <c r="I254" i="4" s="1"/>
  <c r="H255" i="4"/>
  <c r="I255" i="4" s="1"/>
  <c r="H256" i="4"/>
  <c r="I256" i="4" s="1"/>
  <c r="H257" i="4"/>
  <c r="I257" i="4" s="1"/>
  <c r="H258" i="4"/>
  <c r="I258" i="4" s="1"/>
  <c r="H259" i="4"/>
  <c r="I259" i="4" s="1"/>
  <c r="H260" i="4"/>
  <c r="I260" i="4" s="1"/>
  <c r="H261" i="4"/>
  <c r="I261" i="4" s="1"/>
  <c r="H262" i="4"/>
  <c r="I262" i="4" s="1"/>
  <c r="H263" i="4"/>
  <c r="I263" i="4" s="1"/>
  <c r="H264" i="4"/>
  <c r="I264" i="4" s="1"/>
  <c r="H265" i="4"/>
  <c r="I265" i="4" s="1"/>
  <c r="H266" i="4"/>
  <c r="I266" i="4" s="1"/>
  <c r="H267" i="4"/>
  <c r="I267" i="4" s="1"/>
  <c r="H268" i="4"/>
  <c r="I268" i="4" s="1"/>
  <c r="H269" i="4"/>
  <c r="I269" i="4" s="1"/>
  <c r="H270" i="4"/>
  <c r="I270" i="4" s="1"/>
  <c r="H271" i="4"/>
  <c r="I271" i="4" s="1"/>
  <c r="H272" i="4"/>
  <c r="I272" i="4" s="1"/>
  <c r="H273" i="4"/>
  <c r="I273" i="4" s="1"/>
  <c r="H274" i="4"/>
  <c r="I274" i="4" s="1"/>
  <c r="H275" i="4"/>
  <c r="I275" i="4" s="1"/>
  <c r="H276" i="4"/>
  <c r="I276" i="4" s="1"/>
  <c r="H277" i="4"/>
  <c r="I277" i="4" s="1"/>
  <c r="H278" i="4"/>
  <c r="I278" i="4" s="1"/>
  <c r="H279" i="4"/>
  <c r="I279" i="4" s="1"/>
  <c r="H280" i="4"/>
  <c r="I280" i="4" s="1"/>
  <c r="H281" i="4"/>
  <c r="I281" i="4" s="1"/>
  <c r="H282" i="4"/>
  <c r="I282" i="4" s="1"/>
  <c r="H283" i="4"/>
  <c r="I283" i="4" s="1"/>
  <c r="H284" i="4"/>
  <c r="I284" i="4" s="1"/>
  <c r="H285" i="4"/>
  <c r="I285" i="4" s="1"/>
  <c r="H286" i="4"/>
  <c r="I286" i="4" s="1"/>
  <c r="H287" i="4"/>
  <c r="I287" i="4" s="1"/>
  <c r="H288" i="4"/>
  <c r="I288" i="4" s="1"/>
  <c r="H289" i="4"/>
  <c r="I289" i="4" s="1"/>
  <c r="H290" i="4"/>
  <c r="I290" i="4" s="1"/>
  <c r="H291" i="4"/>
  <c r="I291" i="4" s="1"/>
  <c r="H292" i="4"/>
  <c r="I292" i="4" s="1"/>
  <c r="H293" i="4"/>
  <c r="I293" i="4" s="1"/>
  <c r="H294" i="4"/>
  <c r="I294" i="4" s="1"/>
  <c r="H295" i="4"/>
  <c r="I295" i="4" s="1"/>
  <c r="H296" i="4"/>
  <c r="I296" i="4" s="1"/>
  <c r="H297" i="4"/>
  <c r="I297" i="4" s="1"/>
  <c r="H298" i="4"/>
  <c r="I298" i="4" s="1"/>
  <c r="H299" i="4"/>
  <c r="I299" i="4" s="1"/>
  <c r="H300" i="4"/>
  <c r="I300" i="4" s="1"/>
  <c r="H301" i="4"/>
  <c r="I301" i="4" s="1"/>
  <c r="H302" i="4"/>
  <c r="I302" i="4" s="1"/>
  <c r="H303" i="4"/>
  <c r="I303" i="4" s="1"/>
  <c r="H304" i="4"/>
  <c r="I304" i="4" s="1"/>
  <c r="H305" i="4"/>
  <c r="I305" i="4" s="1"/>
  <c r="H306" i="4"/>
  <c r="I306" i="4" s="1"/>
  <c r="H307" i="4"/>
  <c r="I307" i="4" s="1"/>
  <c r="H308" i="4"/>
  <c r="I308" i="4" s="1"/>
  <c r="H309" i="4"/>
  <c r="I309" i="4" s="1"/>
  <c r="H310" i="4"/>
  <c r="I310" i="4" s="1"/>
  <c r="H311" i="4"/>
  <c r="I311" i="4" s="1"/>
  <c r="H312" i="4"/>
  <c r="I312" i="4" s="1"/>
  <c r="H313" i="4"/>
  <c r="I313" i="4" s="1"/>
  <c r="H314" i="4"/>
  <c r="I314" i="4" s="1"/>
  <c r="H315" i="4"/>
  <c r="I315" i="4" s="1"/>
  <c r="H316" i="4"/>
  <c r="I316" i="4" s="1"/>
  <c r="H317" i="4"/>
  <c r="I317" i="4" s="1"/>
  <c r="H318" i="4"/>
  <c r="I318" i="4" s="1"/>
  <c r="H319" i="4"/>
  <c r="I319" i="4" s="1"/>
  <c r="H320" i="4"/>
  <c r="I320" i="4" s="1"/>
  <c r="H321" i="4"/>
  <c r="I321" i="4" s="1"/>
  <c r="H322" i="4"/>
  <c r="I322" i="4" s="1"/>
  <c r="H323" i="4"/>
  <c r="I323" i="4" s="1"/>
  <c r="H324" i="4"/>
  <c r="I324" i="4" s="1"/>
  <c r="H325" i="4"/>
  <c r="I325" i="4" s="1"/>
  <c r="H326" i="4"/>
  <c r="I326" i="4" s="1"/>
  <c r="H327" i="4"/>
  <c r="I327" i="4" s="1"/>
  <c r="H328" i="4"/>
  <c r="I328" i="4" s="1"/>
  <c r="H329" i="4"/>
  <c r="I329" i="4" s="1"/>
  <c r="H330" i="4"/>
  <c r="I330" i="4" s="1"/>
  <c r="H331" i="4"/>
  <c r="I331" i="4" s="1"/>
  <c r="H332" i="4"/>
  <c r="I332" i="4" s="1"/>
  <c r="H333" i="4"/>
  <c r="I333" i="4" s="1"/>
  <c r="H334" i="4"/>
  <c r="I334" i="4" s="1"/>
  <c r="H335" i="4"/>
  <c r="I335" i="4" s="1"/>
  <c r="H336" i="4"/>
  <c r="I336" i="4" s="1"/>
  <c r="H337" i="4"/>
  <c r="I337" i="4" s="1"/>
  <c r="H338" i="4"/>
  <c r="I338" i="4" s="1"/>
  <c r="H339" i="4"/>
  <c r="I339" i="4" s="1"/>
  <c r="H340" i="4"/>
  <c r="I340" i="4" s="1"/>
  <c r="H341" i="4"/>
  <c r="I341" i="4" s="1"/>
  <c r="H342" i="4"/>
  <c r="I342" i="4" s="1"/>
  <c r="H343" i="4"/>
  <c r="I343" i="4" s="1"/>
  <c r="H344" i="4"/>
  <c r="I344" i="4" s="1"/>
  <c r="H345" i="4"/>
  <c r="I345" i="4" s="1"/>
  <c r="H346" i="4"/>
  <c r="I346" i="4" s="1"/>
  <c r="H347" i="4"/>
  <c r="I347" i="4" s="1"/>
  <c r="H348" i="4"/>
  <c r="I348" i="4" s="1"/>
  <c r="H349" i="4"/>
  <c r="I349" i="4" s="1"/>
  <c r="H350" i="4"/>
  <c r="I350" i="4" s="1"/>
  <c r="H351" i="4"/>
  <c r="I351" i="4" s="1"/>
  <c r="H352" i="4"/>
  <c r="I352" i="4" s="1"/>
  <c r="H353" i="4"/>
  <c r="I353" i="4" s="1"/>
  <c r="H354" i="4"/>
  <c r="I354" i="4" s="1"/>
  <c r="H355" i="4"/>
  <c r="I355" i="4" s="1"/>
  <c r="H356" i="4"/>
  <c r="I356" i="4" s="1"/>
  <c r="H357" i="4"/>
  <c r="I357" i="4" s="1"/>
  <c r="H358" i="4"/>
  <c r="I358" i="4" s="1"/>
  <c r="H359" i="4"/>
  <c r="I359" i="4" s="1"/>
  <c r="H360" i="4"/>
  <c r="I360" i="4" s="1"/>
  <c r="H361" i="4"/>
  <c r="I361" i="4" s="1"/>
  <c r="H362" i="4"/>
  <c r="I362" i="4" s="1"/>
  <c r="H363" i="4"/>
  <c r="I363" i="4" s="1"/>
  <c r="H364" i="4"/>
  <c r="I364" i="4" s="1"/>
  <c r="H365" i="4"/>
  <c r="I365" i="4" s="1"/>
  <c r="H366" i="4"/>
  <c r="I366" i="4" s="1"/>
  <c r="H367" i="4"/>
  <c r="I367" i="4" s="1"/>
  <c r="H368" i="4"/>
  <c r="I368" i="4" s="1"/>
  <c r="H369" i="4"/>
  <c r="I369" i="4" s="1"/>
  <c r="H370" i="4"/>
  <c r="I370" i="4" s="1"/>
  <c r="H371" i="4"/>
  <c r="I371" i="4" s="1"/>
  <c r="H372" i="4"/>
  <c r="I372" i="4" s="1"/>
  <c r="H373" i="4"/>
  <c r="I373" i="4" s="1"/>
  <c r="H374" i="4"/>
  <c r="I374" i="4" s="1"/>
  <c r="H375" i="4"/>
  <c r="I375" i="4" s="1"/>
  <c r="H376" i="4"/>
  <c r="I376" i="4" s="1"/>
  <c r="H377" i="4"/>
  <c r="I377" i="4" s="1"/>
  <c r="H378" i="4"/>
  <c r="I378" i="4" s="1"/>
  <c r="H379" i="4"/>
  <c r="I379" i="4" s="1"/>
  <c r="H380" i="4"/>
  <c r="I380" i="4" s="1"/>
  <c r="H381" i="4"/>
  <c r="I381" i="4" s="1"/>
  <c r="H382" i="4"/>
  <c r="I382" i="4" s="1"/>
  <c r="H383" i="4"/>
  <c r="I383" i="4" s="1"/>
  <c r="H384" i="4"/>
  <c r="I384" i="4" s="1"/>
  <c r="H385" i="4"/>
  <c r="I385" i="4" s="1"/>
  <c r="H386" i="4"/>
  <c r="I386" i="4" s="1"/>
  <c r="H387" i="4"/>
  <c r="I387" i="4" s="1"/>
  <c r="H388" i="4"/>
  <c r="I388" i="4" s="1"/>
  <c r="H389" i="4"/>
  <c r="I389" i="4" s="1"/>
  <c r="H390" i="4"/>
  <c r="I390" i="4" s="1"/>
  <c r="H391" i="4"/>
  <c r="I391" i="4" s="1"/>
  <c r="H392" i="4"/>
  <c r="I392" i="4" s="1"/>
  <c r="H393" i="4"/>
  <c r="I393" i="4" s="1"/>
  <c r="H394" i="4"/>
  <c r="I394" i="4" s="1"/>
  <c r="H395" i="4"/>
  <c r="I395" i="4" s="1"/>
  <c r="H396" i="4"/>
  <c r="I396" i="4" s="1"/>
  <c r="H397" i="4"/>
  <c r="I397" i="4" s="1"/>
  <c r="H398" i="4"/>
  <c r="I398" i="4" s="1"/>
  <c r="H399" i="4"/>
  <c r="I399" i="4" s="1"/>
  <c r="H400" i="4"/>
  <c r="I400" i="4" s="1"/>
  <c r="H401" i="4"/>
  <c r="I401" i="4" s="1"/>
  <c r="H402" i="4"/>
  <c r="I402" i="4" s="1"/>
  <c r="H403" i="4"/>
  <c r="I403" i="4" s="1"/>
  <c r="H404" i="4"/>
  <c r="I404" i="4" s="1"/>
  <c r="H405" i="4"/>
  <c r="I405" i="4" s="1"/>
  <c r="H406" i="4"/>
  <c r="I406" i="4" s="1"/>
  <c r="H407" i="4"/>
  <c r="I407" i="4" s="1"/>
  <c r="H408" i="4"/>
  <c r="I408" i="4" s="1"/>
  <c r="H409" i="4"/>
  <c r="I409" i="4" s="1"/>
  <c r="H410" i="4"/>
  <c r="I410" i="4" s="1"/>
  <c r="H411" i="4"/>
  <c r="I411" i="4" s="1"/>
  <c r="H412" i="4"/>
  <c r="I412" i="4" s="1"/>
  <c r="H413" i="4"/>
  <c r="I413" i="4" s="1"/>
  <c r="H414" i="4"/>
  <c r="I414" i="4" s="1"/>
  <c r="H415" i="4"/>
  <c r="I415" i="4" s="1"/>
  <c r="H416" i="4"/>
  <c r="I416" i="4" s="1"/>
  <c r="H417" i="4"/>
  <c r="I417" i="4" s="1"/>
  <c r="H418" i="4"/>
  <c r="I418" i="4" s="1"/>
  <c r="H419" i="4"/>
  <c r="I419" i="4" s="1"/>
  <c r="H420" i="4"/>
  <c r="I420" i="4" s="1"/>
  <c r="H421" i="4"/>
  <c r="I421" i="4" s="1"/>
  <c r="H422" i="4"/>
  <c r="I422" i="4" s="1"/>
  <c r="H423" i="4"/>
  <c r="I423" i="4" s="1"/>
  <c r="H424" i="4"/>
  <c r="I424" i="4" s="1"/>
  <c r="H425" i="4"/>
  <c r="I425" i="4" s="1"/>
  <c r="H426" i="4"/>
  <c r="I426" i="4" s="1"/>
  <c r="H427" i="4"/>
  <c r="I427" i="4" s="1"/>
  <c r="H428" i="4"/>
  <c r="I428" i="4" s="1"/>
  <c r="H429" i="4"/>
  <c r="I429" i="4" s="1"/>
  <c r="H430" i="4"/>
  <c r="I430" i="4" s="1"/>
  <c r="H431" i="4"/>
  <c r="I431" i="4" s="1"/>
  <c r="H432" i="4"/>
  <c r="I432" i="4" s="1"/>
  <c r="H433" i="4"/>
  <c r="I433" i="4" s="1"/>
  <c r="H434" i="4"/>
  <c r="I434" i="4" s="1"/>
  <c r="H435" i="4"/>
  <c r="I435" i="4" s="1"/>
  <c r="H436" i="4"/>
  <c r="I436" i="4" s="1"/>
  <c r="H437" i="4"/>
  <c r="I437" i="4" s="1"/>
  <c r="H438" i="4"/>
  <c r="I438" i="4" s="1"/>
  <c r="H439" i="4"/>
  <c r="I439" i="4" s="1"/>
  <c r="H440" i="4"/>
  <c r="I440" i="4" s="1"/>
  <c r="H441" i="4"/>
  <c r="I441" i="4" s="1"/>
  <c r="H442" i="4"/>
  <c r="I442" i="4" s="1"/>
  <c r="H443" i="4"/>
  <c r="I443" i="4" s="1"/>
  <c r="H444" i="4"/>
  <c r="I444" i="4" s="1"/>
  <c r="H445" i="4"/>
  <c r="I445" i="4" s="1"/>
  <c r="H446" i="4"/>
  <c r="I446" i="4" s="1"/>
  <c r="H447" i="4"/>
  <c r="I447" i="4" s="1"/>
  <c r="H448" i="4"/>
  <c r="I448" i="4" s="1"/>
  <c r="H449" i="4"/>
  <c r="I449" i="4" s="1"/>
  <c r="H450" i="4"/>
  <c r="I450" i="4" s="1"/>
  <c r="H451" i="4"/>
  <c r="I451" i="4" s="1"/>
  <c r="H452" i="4"/>
  <c r="I452" i="4" s="1"/>
  <c r="H453" i="4"/>
  <c r="I453" i="4" s="1"/>
  <c r="H454" i="4"/>
  <c r="I454" i="4" s="1"/>
  <c r="H455" i="4"/>
  <c r="I455" i="4" s="1"/>
  <c r="H456" i="4"/>
  <c r="I456" i="4" s="1"/>
  <c r="H457" i="4"/>
  <c r="I457" i="4" s="1"/>
  <c r="H458" i="4"/>
  <c r="I458" i="4" s="1"/>
  <c r="H459" i="4"/>
  <c r="I459" i="4" s="1"/>
  <c r="H460" i="4"/>
  <c r="I460" i="4" s="1"/>
  <c r="H461" i="4"/>
  <c r="I461" i="4" s="1"/>
  <c r="H462" i="4"/>
  <c r="I462" i="4" s="1"/>
  <c r="H463" i="4"/>
  <c r="I463" i="4" s="1"/>
  <c r="H464" i="4"/>
  <c r="I464" i="4" s="1"/>
  <c r="H465" i="4"/>
  <c r="I465" i="4" s="1"/>
  <c r="H466" i="4"/>
  <c r="I466" i="4" s="1"/>
  <c r="H467" i="4"/>
  <c r="I467" i="4" s="1"/>
  <c r="H468" i="4"/>
  <c r="I468" i="4" s="1"/>
  <c r="H469" i="4"/>
  <c r="I469" i="4" s="1"/>
  <c r="H470" i="4"/>
  <c r="I470" i="4" s="1"/>
  <c r="H471" i="4"/>
  <c r="I471" i="4" s="1"/>
  <c r="H472" i="4"/>
  <c r="I472" i="4" s="1"/>
  <c r="H473" i="4"/>
  <c r="I473" i="4" s="1"/>
  <c r="H474" i="4"/>
  <c r="I474" i="4" s="1"/>
  <c r="H475" i="4"/>
  <c r="I475" i="4" s="1"/>
  <c r="H476" i="4"/>
  <c r="I476" i="4" s="1"/>
  <c r="H477" i="4"/>
  <c r="I477" i="4" s="1"/>
  <c r="H478" i="4"/>
  <c r="I478" i="4" s="1"/>
  <c r="H479" i="4"/>
  <c r="I479" i="4" s="1"/>
  <c r="H480" i="4"/>
  <c r="I480" i="4" s="1"/>
  <c r="H481" i="4"/>
  <c r="I481" i="4" s="1"/>
  <c r="H482" i="4"/>
  <c r="I482" i="4" s="1"/>
  <c r="H483" i="4"/>
  <c r="I483" i="4" s="1"/>
  <c r="H484" i="4"/>
  <c r="I484" i="4" s="1"/>
  <c r="H485" i="4"/>
  <c r="I485" i="4" s="1"/>
  <c r="H486" i="4"/>
  <c r="I486" i="4" s="1"/>
  <c r="H487" i="4"/>
  <c r="I487" i="4" s="1"/>
  <c r="H488" i="4"/>
  <c r="I488" i="4" s="1"/>
  <c r="H489" i="4"/>
  <c r="I489" i="4" s="1"/>
  <c r="H490" i="4"/>
  <c r="I490" i="4" s="1"/>
  <c r="H491" i="4"/>
  <c r="I491" i="4" s="1"/>
  <c r="H492" i="4"/>
  <c r="I492" i="4" s="1"/>
  <c r="H493" i="4"/>
  <c r="I493" i="4" s="1"/>
  <c r="H494" i="4"/>
  <c r="I494" i="4" s="1"/>
  <c r="H495" i="4"/>
  <c r="I495" i="4" s="1"/>
  <c r="H496" i="4"/>
  <c r="I496" i="4" s="1"/>
  <c r="H497" i="4"/>
  <c r="I497" i="4" s="1"/>
  <c r="H498" i="4"/>
  <c r="I498" i="4" s="1"/>
  <c r="H499" i="4"/>
  <c r="I499" i="4" s="1"/>
  <c r="H500" i="4"/>
  <c r="I500" i="4" s="1"/>
  <c r="H501" i="4"/>
  <c r="I501" i="4" s="1"/>
  <c r="H502" i="4"/>
  <c r="I502" i="4" s="1"/>
  <c r="H503" i="4"/>
  <c r="I503" i="4" s="1"/>
  <c r="H504" i="4"/>
  <c r="I504" i="4" s="1"/>
  <c r="H505" i="4"/>
  <c r="I505" i="4" s="1"/>
  <c r="H506" i="4"/>
  <c r="I506" i="4" s="1"/>
  <c r="H507" i="4"/>
  <c r="I507" i="4" s="1"/>
  <c r="H508" i="4"/>
  <c r="I508" i="4" s="1"/>
  <c r="H509" i="4"/>
  <c r="I509" i="4" s="1"/>
  <c r="H510" i="4"/>
  <c r="I510" i="4" s="1"/>
  <c r="H511" i="4"/>
  <c r="I511" i="4" s="1"/>
  <c r="H512" i="4"/>
  <c r="I512" i="4" s="1"/>
  <c r="H513" i="4"/>
  <c r="I513" i="4" s="1"/>
  <c r="H514" i="4"/>
  <c r="I514" i="4" s="1"/>
  <c r="H515" i="4"/>
  <c r="I515" i="4" s="1"/>
  <c r="H516" i="4"/>
  <c r="I516" i="4" s="1"/>
  <c r="H517" i="4"/>
  <c r="I517" i="4" s="1"/>
  <c r="H518" i="4"/>
  <c r="I518" i="4" s="1"/>
  <c r="H519" i="4"/>
  <c r="I519" i="4" s="1"/>
  <c r="H520" i="4"/>
  <c r="I520" i="4" s="1"/>
  <c r="H521" i="4"/>
  <c r="I521" i="4" s="1"/>
  <c r="H522" i="4"/>
  <c r="I522" i="4" s="1"/>
  <c r="H523" i="4"/>
  <c r="I523" i="4" s="1"/>
  <c r="H524" i="4"/>
  <c r="I524" i="4" s="1"/>
  <c r="H525" i="4"/>
  <c r="I525" i="4" s="1"/>
  <c r="H526" i="4"/>
  <c r="I526" i="4" s="1"/>
  <c r="H527" i="4"/>
  <c r="I527" i="4" s="1"/>
  <c r="H528" i="4"/>
  <c r="I528" i="4" s="1"/>
  <c r="H529" i="4"/>
  <c r="I529" i="4" s="1"/>
  <c r="H530" i="4"/>
  <c r="I530" i="4" s="1"/>
  <c r="H531" i="4"/>
  <c r="I531" i="4" s="1"/>
  <c r="H532" i="4"/>
  <c r="I532" i="4" s="1"/>
  <c r="H533" i="4"/>
  <c r="I533" i="4" s="1"/>
  <c r="H534" i="4"/>
  <c r="I534" i="4" s="1"/>
  <c r="H535" i="4"/>
  <c r="I535" i="4" s="1"/>
  <c r="H536" i="4"/>
  <c r="I536" i="4" s="1"/>
  <c r="H537" i="4"/>
  <c r="I537" i="4" s="1"/>
  <c r="H538" i="4"/>
  <c r="I538" i="4" s="1"/>
  <c r="H539" i="4"/>
  <c r="I539" i="4" s="1"/>
  <c r="H540" i="4"/>
  <c r="I540" i="4" s="1"/>
  <c r="H541" i="4"/>
  <c r="I541" i="4" s="1"/>
  <c r="H542" i="4"/>
  <c r="I542" i="4" s="1"/>
  <c r="H543" i="4"/>
  <c r="I543" i="4" s="1"/>
  <c r="H544" i="4"/>
  <c r="I544" i="4" s="1"/>
  <c r="H545" i="4"/>
  <c r="I545" i="4" s="1"/>
  <c r="H546" i="4"/>
  <c r="I546" i="4" s="1"/>
  <c r="H547" i="4"/>
  <c r="I547" i="4" s="1"/>
  <c r="H548" i="4"/>
  <c r="I548" i="4" s="1"/>
  <c r="H549" i="4"/>
  <c r="I549" i="4" s="1"/>
  <c r="H550" i="4"/>
  <c r="I550" i="4" s="1"/>
  <c r="H551" i="4"/>
  <c r="I551" i="4" s="1"/>
  <c r="H552" i="4"/>
  <c r="I552" i="4" s="1"/>
  <c r="H553" i="4"/>
  <c r="I553" i="4" s="1"/>
  <c r="H554" i="4"/>
  <c r="I554" i="4" s="1"/>
  <c r="H555" i="4"/>
  <c r="I555" i="4" s="1"/>
  <c r="H556" i="4"/>
  <c r="I556" i="4" s="1"/>
  <c r="H557" i="4"/>
  <c r="I557" i="4" s="1"/>
  <c r="H558" i="4"/>
  <c r="I558" i="4" s="1"/>
  <c r="H559" i="4"/>
  <c r="I559" i="4" s="1"/>
  <c r="H560" i="4"/>
  <c r="I560" i="4" s="1"/>
  <c r="H561" i="4"/>
  <c r="I561" i="4" s="1"/>
  <c r="H562" i="4"/>
  <c r="I562" i="4" s="1"/>
  <c r="H563" i="4"/>
  <c r="I563" i="4" s="1"/>
  <c r="H564" i="4"/>
  <c r="I564" i="4" s="1"/>
  <c r="H565" i="4"/>
  <c r="I565" i="4" s="1"/>
  <c r="H566" i="4"/>
  <c r="I566" i="4" s="1"/>
  <c r="H567" i="4"/>
  <c r="I567" i="4" s="1"/>
  <c r="H568" i="4"/>
  <c r="I568" i="4" s="1"/>
  <c r="H569" i="4"/>
  <c r="I569" i="4" s="1"/>
  <c r="H570" i="4"/>
  <c r="I570" i="4" s="1"/>
  <c r="H571" i="4"/>
  <c r="I571" i="4" s="1"/>
  <c r="H572" i="4"/>
  <c r="I572" i="4" s="1"/>
  <c r="H573" i="4"/>
  <c r="I573" i="4" s="1"/>
  <c r="H574" i="4"/>
  <c r="I574" i="4" s="1"/>
  <c r="H575" i="4"/>
  <c r="I575" i="4" s="1"/>
  <c r="H576" i="4"/>
  <c r="I576" i="4" s="1"/>
  <c r="H577" i="4"/>
  <c r="I577" i="4" s="1"/>
  <c r="H578" i="4"/>
  <c r="I578" i="4" s="1"/>
  <c r="H579" i="4"/>
  <c r="I579" i="4" s="1"/>
  <c r="H580" i="4"/>
  <c r="I580" i="4" s="1"/>
  <c r="H581" i="4"/>
  <c r="I581" i="4" s="1"/>
  <c r="H582" i="4"/>
  <c r="I582" i="4" s="1"/>
  <c r="H583" i="4"/>
  <c r="I583" i="4" s="1"/>
  <c r="H584" i="4"/>
  <c r="I584" i="4" s="1"/>
  <c r="H585" i="4"/>
  <c r="I585" i="4" s="1"/>
  <c r="H586" i="4"/>
  <c r="I586" i="4" s="1"/>
  <c r="H587" i="4"/>
  <c r="I587" i="4" s="1"/>
  <c r="H588" i="4"/>
  <c r="I588" i="4" s="1"/>
  <c r="H589" i="4"/>
  <c r="I589" i="4" s="1"/>
  <c r="H590" i="4"/>
  <c r="I590" i="4" s="1"/>
  <c r="H591" i="4"/>
  <c r="I591" i="4" s="1"/>
  <c r="H592" i="4"/>
  <c r="I592" i="4" s="1"/>
  <c r="H593" i="4"/>
  <c r="I593" i="4" s="1"/>
  <c r="H594" i="4"/>
  <c r="I594" i="4" s="1"/>
  <c r="H595" i="4"/>
  <c r="I595" i="4" s="1"/>
  <c r="H596" i="4"/>
  <c r="I596" i="4" s="1"/>
  <c r="H597" i="4"/>
  <c r="I597" i="4" s="1"/>
  <c r="H598" i="4"/>
  <c r="I598" i="4" s="1"/>
  <c r="H599" i="4"/>
  <c r="I599" i="4" s="1"/>
  <c r="H600" i="4"/>
  <c r="I600" i="4" s="1"/>
  <c r="H601" i="4"/>
  <c r="I601" i="4" s="1"/>
  <c r="H602" i="4"/>
  <c r="I602" i="4" s="1"/>
  <c r="H603" i="4"/>
  <c r="I603" i="4" s="1"/>
  <c r="H604" i="4"/>
  <c r="I604" i="4" s="1"/>
  <c r="H605" i="4"/>
  <c r="I605" i="4" s="1"/>
  <c r="H606" i="4"/>
  <c r="I606" i="4" s="1"/>
  <c r="H607" i="4"/>
  <c r="I607" i="4" s="1"/>
  <c r="H608" i="4"/>
  <c r="I608" i="4" s="1"/>
  <c r="H609" i="4"/>
  <c r="I609" i="4" s="1"/>
  <c r="H610" i="4"/>
  <c r="I610" i="4" s="1"/>
  <c r="H611" i="4"/>
  <c r="I611" i="4" s="1"/>
  <c r="H612" i="4"/>
  <c r="I612" i="4" s="1"/>
  <c r="H613" i="4"/>
  <c r="I613" i="4" s="1"/>
  <c r="H614" i="4"/>
  <c r="I614" i="4" s="1"/>
  <c r="H615" i="4"/>
  <c r="I615" i="4" s="1"/>
  <c r="H616" i="4"/>
  <c r="I616" i="4" s="1"/>
  <c r="H617" i="4"/>
  <c r="I617" i="4" s="1"/>
  <c r="H618" i="4"/>
  <c r="I618" i="4" s="1"/>
  <c r="H619" i="4"/>
  <c r="I619" i="4" s="1"/>
  <c r="H620" i="4"/>
  <c r="I620" i="4" s="1"/>
  <c r="H621" i="4"/>
  <c r="I621" i="4" s="1"/>
  <c r="H622" i="4"/>
  <c r="I622" i="4" s="1"/>
  <c r="H623" i="4"/>
  <c r="I623" i="4" s="1"/>
  <c r="H624" i="4"/>
  <c r="I624" i="4" s="1"/>
  <c r="H625" i="4"/>
  <c r="I625" i="4" s="1"/>
  <c r="H626" i="4"/>
  <c r="I626" i="4" s="1"/>
  <c r="H627" i="4"/>
  <c r="I627" i="4" s="1"/>
  <c r="H628" i="4"/>
  <c r="I628" i="4" s="1"/>
  <c r="H629" i="4"/>
  <c r="I629" i="4" s="1"/>
  <c r="H630" i="4"/>
  <c r="I630" i="4" s="1"/>
  <c r="H631" i="4"/>
  <c r="I631" i="4" s="1"/>
  <c r="H632" i="4"/>
  <c r="I632" i="4" s="1"/>
  <c r="H633" i="4"/>
  <c r="I633" i="4" s="1"/>
  <c r="H634" i="4"/>
  <c r="I634" i="4" s="1"/>
  <c r="H635" i="4"/>
  <c r="I635" i="4" s="1"/>
  <c r="H636" i="4"/>
  <c r="I636" i="4" s="1"/>
  <c r="H637" i="4"/>
  <c r="I637" i="4" s="1"/>
  <c r="H638" i="4"/>
  <c r="I638" i="4" s="1"/>
  <c r="H639" i="4"/>
  <c r="I639" i="4" s="1"/>
  <c r="H640" i="4"/>
  <c r="I640" i="4" s="1"/>
  <c r="H641" i="4"/>
  <c r="I641" i="4" s="1"/>
  <c r="H642" i="4"/>
  <c r="I642" i="4" s="1"/>
  <c r="H643" i="4"/>
  <c r="I643" i="4" s="1"/>
  <c r="H644" i="4"/>
  <c r="I644" i="4" s="1"/>
  <c r="H645" i="4"/>
  <c r="I645" i="4" s="1"/>
  <c r="H646" i="4"/>
  <c r="I646" i="4" s="1"/>
  <c r="H647" i="4"/>
  <c r="I647" i="4" s="1"/>
  <c r="H648" i="4"/>
  <c r="I648" i="4" s="1"/>
  <c r="H649" i="4"/>
  <c r="I649" i="4" s="1"/>
  <c r="H650" i="4"/>
  <c r="I650" i="4" s="1"/>
  <c r="H651" i="4"/>
  <c r="I651" i="4" s="1"/>
  <c r="H652" i="4"/>
  <c r="I652" i="4" s="1"/>
  <c r="H653" i="4"/>
  <c r="I653" i="4" s="1"/>
  <c r="H654" i="4"/>
  <c r="I654" i="4" s="1"/>
  <c r="H655" i="4"/>
  <c r="I655" i="4" s="1"/>
  <c r="H656" i="4"/>
  <c r="I656" i="4" s="1"/>
  <c r="H657" i="4"/>
  <c r="I657" i="4" s="1"/>
  <c r="H658" i="4"/>
  <c r="I658" i="4" s="1"/>
  <c r="H659" i="4"/>
  <c r="I659" i="4" s="1"/>
  <c r="H660" i="4"/>
  <c r="I660" i="4" s="1"/>
  <c r="H661" i="4"/>
  <c r="I661" i="4" s="1"/>
  <c r="H662" i="4"/>
  <c r="I662" i="4" s="1"/>
  <c r="H663" i="4"/>
  <c r="I663" i="4" s="1"/>
  <c r="H664" i="4"/>
  <c r="I664" i="4" s="1"/>
  <c r="H665" i="4"/>
  <c r="I665" i="4" s="1"/>
  <c r="H666" i="4"/>
  <c r="I666" i="4" s="1"/>
  <c r="H667" i="4"/>
  <c r="I667" i="4" s="1"/>
  <c r="H668" i="4"/>
  <c r="I668" i="4" s="1"/>
  <c r="H669" i="4"/>
  <c r="I669" i="4" s="1"/>
  <c r="H670" i="4"/>
  <c r="I670" i="4" s="1"/>
  <c r="H671" i="4"/>
  <c r="I671" i="4" s="1"/>
  <c r="H672" i="4"/>
  <c r="I672" i="4" s="1"/>
  <c r="H673" i="4"/>
  <c r="I673" i="4" s="1"/>
  <c r="H674" i="4"/>
  <c r="I674" i="4" s="1"/>
  <c r="H675" i="4"/>
  <c r="I675" i="4" s="1"/>
  <c r="H676" i="4"/>
  <c r="I676" i="4" s="1"/>
  <c r="H677" i="4"/>
  <c r="I677" i="4" s="1"/>
  <c r="H678" i="4"/>
  <c r="I678" i="4" s="1"/>
  <c r="H679" i="4"/>
  <c r="I679" i="4" s="1"/>
  <c r="H680" i="4"/>
  <c r="I680" i="4" s="1"/>
  <c r="H681" i="4"/>
  <c r="I681" i="4" s="1"/>
  <c r="H682" i="4"/>
  <c r="I682" i="4" s="1"/>
  <c r="H683" i="4"/>
  <c r="I683" i="4" s="1"/>
  <c r="H684" i="4"/>
  <c r="I684" i="4" s="1"/>
  <c r="H685" i="4"/>
  <c r="I685" i="4" s="1"/>
  <c r="H686" i="4"/>
  <c r="I686" i="4" s="1"/>
  <c r="H687" i="4"/>
  <c r="I687" i="4" s="1"/>
  <c r="H688" i="4"/>
  <c r="I688" i="4" s="1"/>
  <c r="H689" i="4"/>
  <c r="I689" i="4" s="1"/>
  <c r="H690" i="4"/>
  <c r="I690" i="4" s="1"/>
  <c r="H691" i="4"/>
  <c r="I691" i="4" s="1"/>
  <c r="H692" i="4"/>
  <c r="I692" i="4" s="1"/>
  <c r="H693" i="4"/>
  <c r="I693" i="4" s="1"/>
  <c r="H694" i="4"/>
  <c r="I694" i="4" s="1"/>
  <c r="H695" i="4"/>
  <c r="I695" i="4" s="1"/>
  <c r="H696" i="4"/>
  <c r="I696" i="4" s="1"/>
  <c r="H697" i="4"/>
  <c r="I697" i="4" s="1"/>
  <c r="H698" i="4"/>
  <c r="I698" i="4" s="1"/>
  <c r="H699" i="4"/>
  <c r="I699" i="4" s="1"/>
  <c r="H700" i="4"/>
  <c r="I700" i="4" s="1"/>
  <c r="H701" i="4"/>
  <c r="I701" i="4" s="1"/>
  <c r="H702" i="4"/>
  <c r="I702" i="4" s="1"/>
  <c r="H703" i="4"/>
  <c r="I703" i="4" s="1"/>
  <c r="H704" i="4"/>
  <c r="I704" i="4" s="1"/>
  <c r="H705" i="4"/>
  <c r="I705" i="4" s="1"/>
  <c r="H706" i="4"/>
  <c r="I706" i="4" s="1"/>
  <c r="H707" i="4"/>
  <c r="I707" i="4" s="1"/>
  <c r="H708" i="4"/>
  <c r="I708" i="4" s="1"/>
  <c r="H709" i="4"/>
  <c r="I709" i="4" s="1"/>
  <c r="H710" i="4"/>
  <c r="I710" i="4" s="1"/>
  <c r="H711" i="4"/>
  <c r="I711" i="4" s="1"/>
  <c r="H712" i="4"/>
  <c r="I712" i="4" s="1"/>
  <c r="H713" i="4"/>
  <c r="I713" i="4" s="1"/>
  <c r="H714" i="4"/>
  <c r="I714" i="4" s="1"/>
  <c r="H715" i="4"/>
  <c r="I715" i="4" s="1"/>
  <c r="H716" i="4"/>
  <c r="I716" i="4" s="1"/>
  <c r="H717" i="4"/>
  <c r="I717" i="4" s="1"/>
  <c r="H718" i="4"/>
  <c r="I718" i="4" s="1"/>
  <c r="H719" i="4"/>
  <c r="I719" i="4" s="1"/>
  <c r="H720" i="4"/>
  <c r="I720" i="4" s="1"/>
  <c r="H721" i="4"/>
  <c r="I721" i="4" s="1"/>
  <c r="H722" i="4"/>
  <c r="I722" i="4" s="1"/>
  <c r="H723" i="4"/>
  <c r="I723" i="4" s="1"/>
  <c r="H724" i="4"/>
  <c r="I724" i="4" s="1"/>
  <c r="H725" i="4"/>
  <c r="I725" i="4" s="1"/>
  <c r="H726" i="4"/>
  <c r="I726" i="4" s="1"/>
  <c r="H727" i="4"/>
  <c r="I727" i="4" s="1"/>
  <c r="H728" i="4"/>
  <c r="I728" i="4" s="1"/>
  <c r="H729" i="4"/>
  <c r="I729" i="4" s="1"/>
  <c r="H730" i="4"/>
  <c r="I730" i="4" s="1"/>
  <c r="H731" i="4"/>
  <c r="I731" i="4" s="1"/>
  <c r="H732" i="4"/>
  <c r="I732" i="4" s="1"/>
  <c r="H733" i="4"/>
  <c r="I733" i="4" s="1"/>
  <c r="H734" i="4"/>
  <c r="I734" i="4" s="1"/>
  <c r="H735" i="4"/>
  <c r="I735" i="4" s="1"/>
  <c r="H736" i="4"/>
  <c r="I736" i="4" s="1"/>
  <c r="H737" i="4"/>
  <c r="I737" i="4" s="1"/>
  <c r="H738" i="4"/>
  <c r="I738" i="4" s="1"/>
  <c r="H739" i="4"/>
  <c r="I739" i="4" s="1"/>
  <c r="H740" i="4"/>
  <c r="I740" i="4" s="1"/>
  <c r="H741" i="4"/>
  <c r="I741" i="4" s="1"/>
  <c r="H742" i="4"/>
  <c r="I742" i="4" s="1"/>
  <c r="H743" i="4"/>
  <c r="I743" i="4" s="1"/>
  <c r="H744" i="4"/>
  <c r="I744" i="4" s="1"/>
  <c r="H745" i="4"/>
  <c r="I745" i="4" s="1"/>
  <c r="H746" i="4"/>
  <c r="I746" i="4" s="1"/>
  <c r="H747" i="4"/>
  <c r="I747" i="4" s="1"/>
  <c r="H748" i="4"/>
  <c r="I748" i="4" s="1"/>
  <c r="H749" i="4"/>
  <c r="I749" i="4" s="1"/>
  <c r="H750" i="4"/>
  <c r="I750" i="4" s="1"/>
  <c r="H751" i="4"/>
  <c r="I751" i="4" s="1"/>
  <c r="H752" i="4"/>
  <c r="I752" i="4" s="1"/>
  <c r="H753" i="4"/>
  <c r="I753" i="4" s="1"/>
  <c r="H754" i="4"/>
  <c r="I754" i="4" s="1"/>
  <c r="H755" i="4"/>
  <c r="I755" i="4" s="1"/>
  <c r="H756" i="4"/>
  <c r="I756" i="4" s="1"/>
  <c r="H757" i="4"/>
  <c r="I757" i="4" s="1"/>
  <c r="H758" i="4"/>
  <c r="I758" i="4" s="1"/>
  <c r="H759" i="4"/>
  <c r="I759" i="4" s="1"/>
  <c r="H760" i="4"/>
  <c r="I760" i="4" s="1"/>
  <c r="H761" i="4"/>
  <c r="I761" i="4" s="1"/>
  <c r="H762" i="4"/>
  <c r="I762" i="4" s="1"/>
  <c r="H763" i="4"/>
  <c r="I763" i="4" s="1"/>
  <c r="H764" i="4"/>
  <c r="I764" i="4" s="1"/>
  <c r="H765" i="4"/>
  <c r="I765" i="4" s="1"/>
  <c r="H766" i="4"/>
  <c r="I766" i="4" s="1"/>
  <c r="H767" i="4"/>
  <c r="I767" i="4" s="1"/>
  <c r="H768" i="4"/>
  <c r="I768" i="4" s="1"/>
  <c r="H769" i="4"/>
  <c r="I769" i="4" s="1"/>
  <c r="H770" i="4"/>
  <c r="I770" i="4" s="1"/>
  <c r="H771" i="4"/>
  <c r="I771" i="4" s="1"/>
  <c r="H772" i="4"/>
  <c r="I772" i="4" s="1"/>
  <c r="H773" i="4"/>
  <c r="I773" i="4" s="1"/>
  <c r="H774" i="4"/>
  <c r="I774" i="4" s="1"/>
  <c r="H775" i="4"/>
  <c r="I775" i="4" s="1"/>
  <c r="H776" i="4"/>
  <c r="I776" i="4" s="1"/>
  <c r="H777" i="4"/>
  <c r="I777" i="4" s="1"/>
  <c r="H778" i="4"/>
  <c r="I778" i="4" s="1"/>
  <c r="H779" i="4"/>
  <c r="I779" i="4" s="1"/>
  <c r="H780" i="4"/>
  <c r="I780" i="4" s="1"/>
  <c r="H781" i="4"/>
  <c r="I781" i="4" s="1"/>
  <c r="H782" i="4"/>
  <c r="I782" i="4" s="1"/>
  <c r="H783" i="4"/>
  <c r="I783" i="4" s="1"/>
  <c r="H784" i="4"/>
  <c r="I784" i="4" s="1"/>
  <c r="H785" i="4"/>
  <c r="I785" i="4" s="1"/>
  <c r="H786" i="4"/>
  <c r="I786" i="4" s="1"/>
  <c r="H787" i="4"/>
  <c r="I787" i="4" s="1"/>
  <c r="H788" i="4"/>
  <c r="I788" i="4" s="1"/>
  <c r="H789" i="4"/>
  <c r="I789" i="4" s="1"/>
  <c r="H790" i="4"/>
  <c r="I790" i="4" s="1"/>
  <c r="H791" i="4"/>
  <c r="I791" i="4" s="1"/>
  <c r="H792" i="4"/>
  <c r="I792" i="4" s="1"/>
  <c r="H793" i="4"/>
  <c r="I793" i="4" s="1"/>
  <c r="H794" i="4"/>
  <c r="I794" i="4" s="1"/>
  <c r="H795" i="4"/>
  <c r="I795" i="4" s="1"/>
  <c r="H796" i="4"/>
  <c r="I796" i="4" s="1"/>
  <c r="H797" i="4"/>
  <c r="I797" i="4" s="1"/>
  <c r="H798" i="4"/>
  <c r="I798" i="4" s="1"/>
  <c r="H799" i="4"/>
  <c r="I799" i="4" s="1"/>
  <c r="H800" i="4"/>
  <c r="I800" i="4" s="1"/>
  <c r="H801" i="4"/>
  <c r="I801" i="4" s="1"/>
  <c r="H802" i="4"/>
  <c r="I802" i="4" s="1"/>
  <c r="H803" i="4"/>
  <c r="I803" i="4" s="1"/>
  <c r="H804" i="4"/>
  <c r="I804" i="4" s="1"/>
  <c r="H805" i="4"/>
  <c r="I805" i="4" s="1"/>
  <c r="H806" i="4"/>
  <c r="I806" i="4" s="1"/>
  <c r="H807" i="4"/>
  <c r="I807" i="4" s="1"/>
  <c r="H808" i="4"/>
  <c r="I808" i="4" s="1"/>
  <c r="H809" i="4"/>
  <c r="I809" i="4" s="1"/>
  <c r="H810" i="4"/>
  <c r="I810" i="4" s="1"/>
  <c r="H811" i="4"/>
  <c r="I811" i="4" s="1"/>
  <c r="H812" i="4"/>
  <c r="I812" i="4" s="1"/>
  <c r="H813" i="4"/>
  <c r="I813" i="4" s="1"/>
  <c r="H814" i="4"/>
  <c r="I814" i="4" s="1"/>
  <c r="H815" i="4"/>
  <c r="I815" i="4" s="1"/>
  <c r="H816" i="4"/>
  <c r="I816" i="4" s="1"/>
  <c r="H817" i="4"/>
  <c r="I817" i="4" s="1"/>
  <c r="H818" i="4"/>
  <c r="I818" i="4" s="1"/>
  <c r="H819" i="4"/>
  <c r="I819" i="4" s="1"/>
  <c r="H820" i="4"/>
  <c r="I820" i="4" s="1"/>
  <c r="H821" i="4"/>
  <c r="I821" i="4" s="1"/>
  <c r="H822" i="4"/>
  <c r="I822" i="4" s="1"/>
  <c r="H823" i="4"/>
  <c r="I823" i="4" s="1"/>
  <c r="H824" i="4"/>
  <c r="I824" i="4" s="1"/>
  <c r="H825" i="4"/>
  <c r="I825" i="4" s="1"/>
  <c r="H826" i="4"/>
  <c r="I826" i="4" s="1"/>
  <c r="H827" i="4"/>
  <c r="I827" i="4" s="1"/>
  <c r="H828" i="4"/>
  <c r="I828" i="4" s="1"/>
  <c r="H829" i="4"/>
  <c r="I829" i="4" s="1"/>
  <c r="H830" i="4"/>
  <c r="I830" i="4" s="1"/>
  <c r="H831" i="4"/>
  <c r="I831" i="4" s="1"/>
  <c r="H832" i="4"/>
  <c r="I832" i="4" s="1"/>
  <c r="H833" i="4"/>
  <c r="I833" i="4" s="1"/>
  <c r="H834" i="4"/>
  <c r="I834" i="4" s="1"/>
  <c r="H835" i="4"/>
  <c r="I835" i="4" s="1"/>
  <c r="H836" i="4"/>
  <c r="I836" i="4" s="1"/>
  <c r="H837" i="4"/>
  <c r="I837" i="4" s="1"/>
  <c r="H838" i="4"/>
  <c r="I838" i="4" s="1"/>
  <c r="H839" i="4"/>
  <c r="I839" i="4" s="1"/>
  <c r="H840" i="4"/>
  <c r="I840" i="4" s="1"/>
  <c r="H841" i="4"/>
  <c r="I841" i="4" s="1"/>
  <c r="H842" i="4"/>
  <c r="I842" i="4" s="1"/>
  <c r="H843" i="4"/>
  <c r="I843" i="4" s="1"/>
  <c r="H844" i="4"/>
  <c r="I844" i="4" s="1"/>
  <c r="H845" i="4"/>
  <c r="I845" i="4" s="1"/>
  <c r="H846" i="4"/>
  <c r="I846" i="4" s="1"/>
  <c r="H847" i="4"/>
  <c r="I847" i="4" s="1"/>
  <c r="H848" i="4"/>
  <c r="I848" i="4" s="1"/>
  <c r="H849" i="4"/>
  <c r="I849" i="4" s="1"/>
  <c r="H850" i="4"/>
  <c r="I850" i="4" s="1"/>
  <c r="H851" i="4"/>
  <c r="I851" i="4" s="1"/>
  <c r="H852" i="4"/>
  <c r="I852" i="4" s="1"/>
  <c r="H853" i="4"/>
  <c r="I853" i="4" s="1"/>
  <c r="H854" i="4"/>
  <c r="I854" i="4" s="1"/>
  <c r="H855" i="4"/>
  <c r="I855" i="4" s="1"/>
  <c r="H856" i="4"/>
  <c r="I856" i="4" s="1"/>
  <c r="H857" i="4"/>
  <c r="I857" i="4" s="1"/>
  <c r="H858" i="4"/>
  <c r="I858" i="4" s="1"/>
  <c r="H859" i="4"/>
  <c r="I859" i="4" s="1"/>
  <c r="H860" i="4"/>
  <c r="I860" i="4" s="1"/>
  <c r="H861" i="4"/>
  <c r="I861" i="4" s="1"/>
  <c r="H862" i="4"/>
  <c r="I862" i="4" s="1"/>
  <c r="H863" i="4"/>
  <c r="I863" i="4" s="1"/>
  <c r="H864" i="4"/>
  <c r="I864" i="4" s="1"/>
  <c r="H865" i="4"/>
  <c r="I865" i="4" s="1"/>
  <c r="H866" i="4"/>
  <c r="I866" i="4" s="1"/>
  <c r="H867" i="4"/>
  <c r="I867" i="4" s="1"/>
  <c r="H868" i="4"/>
  <c r="I868" i="4" s="1"/>
  <c r="H869" i="4"/>
  <c r="I869" i="4" s="1"/>
  <c r="H870" i="4"/>
  <c r="I870" i="4" s="1"/>
  <c r="H871" i="4"/>
  <c r="I871" i="4" s="1"/>
  <c r="H872" i="4"/>
  <c r="I872" i="4" s="1"/>
  <c r="H873" i="4"/>
  <c r="I873" i="4" s="1"/>
  <c r="H874" i="4"/>
  <c r="I874" i="4" s="1"/>
  <c r="H875" i="4"/>
  <c r="I875" i="4" s="1"/>
  <c r="H876" i="4"/>
  <c r="I876" i="4" s="1"/>
  <c r="H877" i="4"/>
  <c r="I877" i="4" s="1"/>
  <c r="H878" i="4"/>
  <c r="I878" i="4" s="1"/>
  <c r="H879" i="4"/>
  <c r="I879" i="4" s="1"/>
  <c r="H880" i="4"/>
  <c r="I880" i="4" s="1"/>
  <c r="H881" i="4"/>
  <c r="I881" i="4" s="1"/>
  <c r="H882" i="4"/>
  <c r="I882" i="4" s="1"/>
  <c r="H883" i="4"/>
  <c r="I883" i="4" s="1"/>
  <c r="H884" i="4"/>
  <c r="I884" i="4" s="1"/>
  <c r="H885" i="4"/>
  <c r="I885" i="4" s="1"/>
  <c r="H886" i="4"/>
  <c r="I886" i="4" s="1"/>
  <c r="H887" i="4"/>
  <c r="I887" i="4" s="1"/>
  <c r="H888" i="4"/>
  <c r="I888" i="4" s="1"/>
  <c r="H889" i="4"/>
  <c r="I889" i="4" s="1"/>
  <c r="H890" i="4"/>
  <c r="I890" i="4" s="1"/>
  <c r="H891" i="4"/>
  <c r="I891" i="4" s="1"/>
  <c r="H892" i="4"/>
  <c r="I892" i="4" s="1"/>
  <c r="H893" i="4"/>
  <c r="I893" i="4" s="1"/>
  <c r="H894" i="4"/>
  <c r="I894" i="4" s="1"/>
  <c r="H895" i="4"/>
  <c r="I895" i="4" s="1"/>
  <c r="H896" i="4"/>
  <c r="I896" i="4" s="1"/>
  <c r="H897" i="4"/>
  <c r="I897" i="4" s="1"/>
  <c r="H898" i="4"/>
  <c r="I898" i="4" s="1"/>
  <c r="H899" i="4"/>
  <c r="I899" i="4" s="1"/>
  <c r="H900" i="4"/>
  <c r="I900" i="4" s="1"/>
  <c r="H901" i="4"/>
  <c r="I901" i="4" s="1"/>
  <c r="H902" i="4"/>
  <c r="I902" i="4" s="1"/>
  <c r="H903" i="4"/>
  <c r="I903" i="4" s="1"/>
  <c r="H904" i="4"/>
  <c r="I904" i="4" s="1"/>
  <c r="H905" i="4"/>
  <c r="I905" i="4" s="1"/>
  <c r="H906" i="4"/>
  <c r="I906" i="4" s="1"/>
  <c r="H907" i="4"/>
  <c r="I907" i="4" s="1"/>
  <c r="H908" i="4"/>
  <c r="I908" i="4" s="1"/>
  <c r="H909" i="4"/>
  <c r="I909" i="4" s="1"/>
  <c r="H910" i="4"/>
  <c r="I910" i="4" s="1"/>
  <c r="H911" i="4"/>
  <c r="I911" i="4" s="1"/>
  <c r="H912" i="4"/>
  <c r="I912" i="4" s="1"/>
  <c r="H913" i="4"/>
  <c r="I913" i="4" s="1"/>
  <c r="H914" i="4"/>
  <c r="I914" i="4" s="1"/>
  <c r="H915" i="4"/>
  <c r="I915" i="4" s="1"/>
  <c r="H916" i="4"/>
  <c r="I916" i="4" s="1"/>
  <c r="H917" i="4"/>
  <c r="I917" i="4" s="1"/>
  <c r="H918" i="4"/>
  <c r="I918" i="4" s="1"/>
  <c r="H919" i="4"/>
  <c r="I919" i="4" s="1"/>
  <c r="H920" i="4"/>
  <c r="I920" i="4" s="1"/>
  <c r="H921" i="4"/>
  <c r="I921" i="4" s="1"/>
  <c r="H922" i="4"/>
  <c r="I922" i="4" s="1"/>
  <c r="H923" i="4"/>
  <c r="I923" i="4" s="1"/>
  <c r="H924" i="4"/>
  <c r="I924" i="4" s="1"/>
  <c r="H925" i="4"/>
  <c r="I925" i="4" s="1"/>
  <c r="H926" i="4"/>
  <c r="I926" i="4" s="1"/>
  <c r="H927" i="4"/>
  <c r="I927" i="4" s="1"/>
  <c r="H928" i="4"/>
  <c r="I928" i="4" s="1"/>
  <c r="H929" i="4"/>
  <c r="I929" i="4" s="1"/>
  <c r="H930" i="4"/>
  <c r="I930" i="4" s="1"/>
  <c r="H931" i="4"/>
  <c r="I931" i="4" s="1"/>
  <c r="H932" i="4"/>
  <c r="I932" i="4" s="1"/>
  <c r="H933" i="4"/>
  <c r="I933" i="4" s="1"/>
  <c r="H934" i="4"/>
  <c r="I934" i="4" s="1"/>
  <c r="H935" i="4"/>
  <c r="I935" i="4" s="1"/>
  <c r="H936" i="4"/>
  <c r="I936" i="4" s="1"/>
  <c r="H937" i="4"/>
  <c r="I937" i="4" s="1"/>
  <c r="H938" i="4"/>
  <c r="I938" i="4" s="1"/>
  <c r="H939" i="4"/>
  <c r="I939" i="4" s="1"/>
  <c r="H940" i="4"/>
  <c r="I940" i="4" s="1"/>
  <c r="H941" i="4"/>
  <c r="I941" i="4" s="1"/>
  <c r="H942" i="4"/>
  <c r="I942" i="4" s="1"/>
  <c r="H943" i="4"/>
  <c r="I943" i="4" s="1"/>
  <c r="H944" i="4"/>
  <c r="I944" i="4" s="1"/>
  <c r="H945" i="4"/>
  <c r="I945" i="4" s="1"/>
  <c r="H946" i="4"/>
  <c r="I946" i="4" s="1"/>
  <c r="H947" i="4"/>
  <c r="I947" i="4" s="1"/>
  <c r="H948" i="4"/>
  <c r="I948" i="4" s="1"/>
  <c r="H949" i="4"/>
  <c r="I949" i="4" s="1"/>
  <c r="H950" i="4"/>
  <c r="I950" i="4" s="1"/>
  <c r="H951" i="4"/>
  <c r="I951" i="4" s="1"/>
  <c r="H952" i="4"/>
  <c r="I952" i="4" s="1"/>
  <c r="H953" i="4"/>
  <c r="I953" i="4" s="1"/>
  <c r="H954" i="4"/>
  <c r="I954" i="4" s="1"/>
  <c r="H955" i="4"/>
  <c r="I955" i="4" s="1"/>
  <c r="H956" i="4"/>
  <c r="I956" i="4" s="1"/>
  <c r="H957" i="4"/>
  <c r="I957" i="4" s="1"/>
  <c r="H958" i="4"/>
  <c r="I958" i="4" s="1"/>
  <c r="H959" i="4"/>
  <c r="I959" i="4" s="1"/>
  <c r="H960" i="4"/>
  <c r="I960" i="4" s="1"/>
  <c r="H961" i="4"/>
  <c r="I961" i="4" s="1"/>
  <c r="H962" i="4"/>
  <c r="I962" i="4" s="1"/>
  <c r="H963" i="4"/>
  <c r="I963" i="4" s="1"/>
  <c r="H964" i="4"/>
  <c r="I964" i="4" s="1"/>
  <c r="H965" i="4"/>
  <c r="I965" i="4" s="1"/>
  <c r="H966" i="4"/>
  <c r="I966" i="4" s="1"/>
  <c r="H967" i="4"/>
  <c r="I967" i="4" s="1"/>
  <c r="H968" i="4"/>
  <c r="I968" i="4" s="1"/>
  <c r="H969" i="4"/>
  <c r="I969" i="4" s="1"/>
  <c r="H970" i="4"/>
  <c r="I970" i="4" s="1"/>
  <c r="H971" i="4"/>
  <c r="I971" i="4" s="1"/>
  <c r="H972" i="4"/>
  <c r="I972" i="4" s="1"/>
  <c r="H973" i="4"/>
  <c r="I973" i="4" s="1"/>
  <c r="H974" i="4"/>
  <c r="I974" i="4" s="1"/>
  <c r="H975" i="4"/>
  <c r="I975" i="4" s="1"/>
  <c r="H976" i="4"/>
  <c r="I976" i="4" s="1"/>
  <c r="H977" i="4"/>
  <c r="I977" i="4" s="1"/>
  <c r="H978" i="4"/>
  <c r="I978" i="4" s="1"/>
  <c r="H979" i="4"/>
  <c r="I979" i="4" s="1"/>
  <c r="H980" i="4"/>
  <c r="I980" i="4" s="1"/>
  <c r="H981" i="4"/>
  <c r="I981" i="4" s="1"/>
  <c r="H982" i="4"/>
  <c r="I982" i="4" s="1"/>
  <c r="H983" i="4"/>
  <c r="I983" i="4" s="1"/>
  <c r="H984" i="4"/>
  <c r="I984" i="4" s="1"/>
  <c r="H985" i="4"/>
  <c r="I985" i="4" s="1"/>
  <c r="H986" i="4"/>
  <c r="I986" i="4" s="1"/>
  <c r="H987" i="4"/>
  <c r="I987" i="4" s="1"/>
  <c r="H988" i="4"/>
  <c r="I988" i="4" s="1"/>
  <c r="H989" i="4"/>
  <c r="I989" i="4" s="1"/>
  <c r="H990" i="4"/>
  <c r="I990" i="4" s="1"/>
  <c r="H991" i="4"/>
  <c r="I991" i="4" s="1"/>
  <c r="H992" i="4"/>
  <c r="I992" i="4" s="1"/>
  <c r="H993" i="4"/>
  <c r="I993" i="4" s="1"/>
  <c r="H994" i="4"/>
  <c r="I994" i="4" s="1"/>
  <c r="H995" i="4"/>
  <c r="I995" i="4" s="1"/>
  <c r="H996" i="4"/>
  <c r="I996" i="4" s="1"/>
  <c r="H997" i="4"/>
  <c r="I997" i="4" s="1"/>
  <c r="H998" i="4"/>
  <c r="I998" i="4" s="1"/>
  <c r="H999" i="4"/>
  <c r="I999" i="4" s="1"/>
  <c r="H1000" i="4"/>
  <c r="I1000" i="4" s="1"/>
  <c r="H1001" i="4"/>
  <c r="I1001" i="4" s="1"/>
  <c r="H1002" i="4"/>
  <c r="I1002" i="4" s="1"/>
  <c r="H1003" i="4"/>
  <c r="I1003" i="4" s="1"/>
  <c r="H1004" i="4"/>
  <c r="I1004" i="4" s="1"/>
  <c r="H1005" i="4"/>
  <c r="I1005" i="4" s="1"/>
  <c r="H1006" i="4"/>
  <c r="I1006" i="4" s="1"/>
  <c r="H1007" i="4"/>
  <c r="I1007" i="4" s="1"/>
  <c r="H1008" i="4"/>
  <c r="I1008" i="4" s="1"/>
  <c r="H1009" i="4"/>
  <c r="I1009" i="4" s="1"/>
  <c r="H1010" i="4"/>
  <c r="I1010" i="4" s="1"/>
  <c r="H1011" i="4"/>
  <c r="I1011" i="4" s="1"/>
  <c r="H1012" i="4"/>
  <c r="I1012" i="4" s="1"/>
  <c r="H1013" i="4"/>
  <c r="I1013" i="4" s="1"/>
  <c r="H1014" i="4"/>
  <c r="I1014" i="4" s="1"/>
  <c r="H1015" i="4"/>
  <c r="I1015" i="4" s="1"/>
  <c r="H1016" i="4"/>
  <c r="I1016" i="4" s="1"/>
  <c r="H1017" i="4"/>
  <c r="I1017" i="4" s="1"/>
  <c r="H1018" i="4"/>
  <c r="I1018" i="4" s="1"/>
  <c r="H1019" i="4"/>
  <c r="I1019" i="4" s="1"/>
  <c r="H1020" i="4"/>
  <c r="I1020" i="4" s="1"/>
  <c r="H1021" i="4"/>
  <c r="I1021" i="4" s="1"/>
  <c r="H1022" i="4"/>
  <c r="I1022" i="4" s="1"/>
  <c r="H1023" i="4"/>
  <c r="I1023" i="4" s="1"/>
  <c r="H1024" i="4"/>
  <c r="I1024" i="4" s="1"/>
  <c r="H1025" i="4"/>
  <c r="I1025" i="4" s="1"/>
  <c r="H1026" i="4"/>
  <c r="I1026" i="4" s="1"/>
  <c r="H1027" i="4"/>
  <c r="I1027" i="4" s="1"/>
  <c r="H1028" i="4"/>
  <c r="I1028" i="4" s="1"/>
  <c r="H1029" i="4"/>
  <c r="I1029" i="4" s="1"/>
  <c r="H1030" i="4"/>
  <c r="I1030" i="4" s="1"/>
  <c r="H1031" i="4"/>
  <c r="I1031" i="4" s="1"/>
  <c r="H1032" i="4"/>
  <c r="I1032" i="4" s="1"/>
  <c r="H1033" i="4"/>
  <c r="I1033" i="4" s="1"/>
  <c r="H1034" i="4"/>
  <c r="I1034" i="4" s="1"/>
  <c r="H1035" i="4"/>
  <c r="I1035" i="4" s="1"/>
  <c r="H1036" i="4"/>
  <c r="I1036" i="4" s="1"/>
  <c r="H1037" i="4"/>
  <c r="I1037" i="4" s="1"/>
  <c r="H1038" i="4"/>
  <c r="I1038" i="4" s="1"/>
  <c r="H1039" i="4"/>
  <c r="I1039" i="4" s="1"/>
  <c r="H1040" i="4"/>
  <c r="I1040" i="4" s="1"/>
  <c r="H1041" i="4"/>
  <c r="I1041" i="4" s="1"/>
  <c r="H1042" i="4"/>
  <c r="I1042" i="4" s="1"/>
  <c r="H1043" i="4"/>
  <c r="I1043" i="4" s="1"/>
  <c r="H1044" i="4"/>
  <c r="I1044" i="4" s="1"/>
  <c r="H1045" i="4"/>
  <c r="I1045" i="4" s="1"/>
  <c r="H1046" i="4"/>
  <c r="I1046" i="4" s="1"/>
  <c r="H1047" i="4"/>
  <c r="I1047" i="4" s="1"/>
  <c r="H1048" i="4"/>
  <c r="I1048" i="4" s="1"/>
  <c r="H1049" i="4"/>
  <c r="I1049" i="4" s="1"/>
  <c r="H1050" i="4"/>
  <c r="I1050" i="4" s="1"/>
  <c r="H1051" i="4"/>
  <c r="I1051" i="4" s="1"/>
  <c r="H1052" i="4"/>
  <c r="I1052" i="4" s="1"/>
  <c r="H1053" i="4"/>
  <c r="I1053" i="4" s="1"/>
  <c r="H1054" i="4"/>
  <c r="I1054" i="4" s="1"/>
  <c r="H1055" i="4"/>
  <c r="I1055" i="4" s="1"/>
  <c r="H1056" i="4"/>
  <c r="I1056" i="4" s="1"/>
  <c r="H1057" i="4"/>
  <c r="I1057" i="4" s="1"/>
  <c r="H1058" i="4"/>
  <c r="I1058" i="4" s="1"/>
  <c r="H1059" i="4"/>
  <c r="I1059" i="4" s="1"/>
  <c r="H1060" i="4"/>
  <c r="I1060" i="4" s="1"/>
  <c r="H1061" i="4"/>
  <c r="I1061" i="4" s="1"/>
  <c r="H1062" i="4"/>
  <c r="I1062" i="4" s="1"/>
  <c r="H1063" i="4"/>
  <c r="I1063" i="4" s="1"/>
  <c r="H1064" i="4"/>
  <c r="I1064" i="4" s="1"/>
  <c r="H1065" i="4"/>
  <c r="I1065" i="4" s="1"/>
  <c r="H1066" i="4"/>
  <c r="I1066" i="4" s="1"/>
  <c r="H1067" i="4"/>
  <c r="I1067" i="4" s="1"/>
  <c r="H1068" i="4"/>
  <c r="I1068" i="4" s="1"/>
  <c r="H1069" i="4"/>
  <c r="I1069" i="4" s="1"/>
  <c r="H1070" i="4"/>
  <c r="I1070" i="4" s="1"/>
  <c r="H1071" i="4"/>
  <c r="I1071" i="4" s="1"/>
  <c r="H1072" i="4"/>
  <c r="I1072" i="4" s="1"/>
  <c r="H1073" i="4"/>
  <c r="I1073" i="4" s="1"/>
  <c r="H1074" i="4"/>
  <c r="I1074" i="4" s="1"/>
  <c r="H1075" i="4"/>
  <c r="I1075" i="4" s="1"/>
  <c r="H1076" i="4"/>
  <c r="I1076" i="4" s="1"/>
  <c r="H1077" i="4"/>
  <c r="I1077" i="4" s="1"/>
  <c r="H1078" i="4"/>
  <c r="I1078" i="4" s="1"/>
  <c r="H1079" i="4"/>
  <c r="I1079" i="4" s="1"/>
  <c r="H1080" i="4"/>
  <c r="I1080" i="4" s="1"/>
  <c r="H1081" i="4"/>
  <c r="I1081" i="4" s="1"/>
  <c r="H1082" i="4"/>
  <c r="I1082" i="4" s="1"/>
  <c r="H1083" i="4"/>
  <c r="I1083" i="4" s="1"/>
  <c r="H1084" i="4"/>
  <c r="I1084" i="4" s="1"/>
  <c r="H1085" i="4"/>
  <c r="I1085" i="4" s="1"/>
  <c r="H1086" i="4"/>
  <c r="I1086" i="4" s="1"/>
  <c r="H1087" i="4"/>
  <c r="I1087" i="4" s="1"/>
  <c r="H1088" i="4"/>
  <c r="I1088" i="4" s="1"/>
  <c r="H1089" i="4"/>
  <c r="I1089" i="4" s="1"/>
  <c r="H1090" i="4"/>
  <c r="I1090" i="4" s="1"/>
  <c r="H1091" i="4"/>
  <c r="I1091" i="4" s="1"/>
  <c r="H1092" i="4"/>
  <c r="I1092" i="4" s="1"/>
  <c r="H1093" i="4"/>
  <c r="I1093" i="4" s="1"/>
  <c r="H1094" i="4"/>
  <c r="I1094" i="4" s="1"/>
  <c r="H1095" i="4"/>
  <c r="I1095" i="4" s="1"/>
  <c r="H1096" i="4"/>
  <c r="I1096" i="4" s="1"/>
  <c r="H1097" i="4"/>
  <c r="I1097" i="4" s="1"/>
  <c r="H1098" i="4"/>
  <c r="I1098" i="4" s="1"/>
  <c r="H1099" i="4"/>
  <c r="I1099" i="4" s="1"/>
  <c r="H1100" i="4"/>
  <c r="I1100" i="4" s="1"/>
  <c r="H1101" i="4"/>
  <c r="I1101" i="4" s="1"/>
  <c r="H1102" i="4"/>
  <c r="I1102" i="4" s="1"/>
  <c r="H1103" i="4"/>
  <c r="I1103" i="4" s="1"/>
  <c r="H1104" i="4"/>
  <c r="I1104" i="4" s="1"/>
  <c r="H1105" i="4"/>
  <c r="I1105" i="4" s="1"/>
  <c r="H1106" i="4"/>
  <c r="I1106" i="4" s="1"/>
  <c r="H1107" i="4"/>
  <c r="I1107" i="4" s="1"/>
  <c r="H1108" i="4"/>
  <c r="I1108" i="4" s="1"/>
  <c r="H1109" i="4"/>
  <c r="I1109" i="4" s="1"/>
  <c r="H1110" i="4"/>
  <c r="I1110" i="4" s="1"/>
  <c r="H1111" i="4"/>
  <c r="I1111" i="4" s="1"/>
  <c r="H1112" i="4"/>
  <c r="I1112" i="4" s="1"/>
  <c r="H1113" i="4"/>
  <c r="I1113" i="4" s="1"/>
  <c r="H1114" i="4"/>
  <c r="I1114" i="4" s="1"/>
  <c r="H1115" i="4"/>
  <c r="I1115" i="4" s="1"/>
  <c r="H1116" i="4"/>
  <c r="I1116" i="4" s="1"/>
  <c r="H1117" i="4"/>
  <c r="I1117" i="4" s="1"/>
  <c r="H1118" i="4"/>
  <c r="I1118" i="4" s="1"/>
  <c r="H1119" i="4"/>
  <c r="I1119" i="4" s="1"/>
  <c r="H1120" i="4"/>
  <c r="I1120" i="4" s="1"/>
  <c r="H1121" i="4"/>
  <c r="I1121" i="4" s="1"/>
  <c r="H1122" i="4"/>
  <c r="I1122" i="4" s="1"/>
  <c r="H1123" i="4"/>
  <c r="I1123" i="4" s="1"/>
  <c r="H1124" i="4"/>
  <c r="I1124" i="4" s="1"/>
  <c r="H1125" i="4"/>
  <c r="I1125" i="4" s="1"/>
  <c r="H1126" i="4"/>
  <c r="I1126" i="4" s="1"/>
  <c r="H1127" i="4"/>
  <c r="I1127" i="4" s="1"/>
  <c r="H1128" i="4"/>
  <c r="I1128" i="4" s="1"/>
  <c r="H1129" i="4"/>
  <c r="I1129" i="4" s="1"/>
  <c r="H1130" i="4"/>
  <c r="I1130" i="4" s="1"/>
  <c r="H1131" i="4"/>
  <c r="I1131" i="4" s="1"/>
  <c r="H1132" i="4"/>
  <c r="I1132" i="4" s="1"/>
  <c r="H1133" i="4"/>
  <c r="I1133" i="4" s="1"/>
  <c r="H1134" i="4"/>
  <c r="I1134" i="4" s="1"/>
  <c r="H1135" i="4"/>
  <c r="I1135" i="4" s="1"/>
  <c r="H1136" i="4"/>
  <c r="I1136" i="4" s="1"/>
  <c r="H1137" i="4"/>
  <c r="I1137" i="4" s="1"/>
  <c r="H1138" i="4"/>
  <c r="I1138" i="4" s="1"/>
  <c r="H1139" i="4"/>
  <c r="I1139" i="4" s="1"/>
  <c r="H1140" i="4"/>
  <c r="I1140" i="4" s="1"/>
  <c r="H1141" i="4"/>
  <c r="I1141" i="4" s="1"/>
  <c r="H1142" i="4"/>
  <c r="I1142" i="4" s="1"/>
  <c r="H1143" i="4"/>
  <c r="I1143" i="4" s="1"/>
  <c r="H1144" i="4"/>
  <c r="I1144" i="4" s="1"/>
  <c r="H1145" i="4"/>
  <c r="I1145" i="4" s="1"/>
  <c r="H1146" i="4"/>
  <c r="I1146" i="4" s="1"/>
  <c r="H1147" i="4"/>
  <c r="I1147" i="4" s="1"/>
  <c r="H1148" i="4"/>
  <c r="I1148" i="4" s="1"/>
  <c r="H1149" i="4"/>
  <c r="I1149" i="4" s="1"/>
  <c r="H1150" i="4"/>
  <c r="I1150" i="4" s="1"/>
  <c r="H1151" i="4"/>
  <c r="I1151" i="4" s="1"/>
  <c r="H1152" i="4"/>
  <c r="I1152" i="4" s="1"/>
  <c r="H1153" i="4"/>
  <c r="I1153" i="4" s="1"/>
  <c r="H1154" i="4"/>
  <c r="I1154" i="4" s="1"/>
  <c r="H1155" i="4"/>
  <c r="I1155" i="4" s="1"/>
  <c r="H1156" i="4"/>
  <c r="I1156" i="4" s="1"/>
  <c r="H1157" i="4"/>
  <c r="I1157" i="4" s="1"/>
  <c r="H1158" i="4"/>
  <c r="I1158" i="4" s="1"/>
  <c r="H1159" i="4"/>
  <c r="I1159" i="4" s="1"/>
  <c r="H1160" i="4"/>
  <c r="I1160" i="4" s="1"/>
  <c r="H1161" i="4"/>
  <c r="I1161" i="4" s="1"/>
  <c r="H1162" i="4"/>
  <c r="I1162" i="4" s="1"/>
  <c r="H1163" i="4"/>
  <c r="I1163" i="4" s="1"/>
  <c r="H1164" i="4"/>
  <c r="I1164" i="4" s="1"/>
  <c r="H1165" i="4"/>
  <c r="I1165" i="4" s="1"/>
  <c r="H1166" i="4"/>
  <c r="I1166" i="4" s="1"/>
  <c r="H1167" i="4"/>
  <c r="I1167" i="4" s="1"/>
  <c r="H1168" i="4"/>
  <c r="I1168" i="4" s="1"/>
  <c r="H1169" i="4"/>
  <c r="I1169" i="4" s="1"/>
  <c r="H1170" i="4"/>
  <c r="I1170" i="4" s="1"/>
  <c r="H1171" i="4"/>
  <c r="I1171" i="4" s="1"/>
  <c r="H1172" i="4"/>
  <c r="I1172" i="4" s="1"/>
  <c r="H1173" i="4"/>
  <c r="I1173" i="4" s="1"/>
  <c r="H1174" i="4"/>
  <c r="I1174" i="4" s="1"/>
  <c r="H1175" i="4"/>
  <c r="I1175" i="4" s="1"/>
  <c r="H1176" i="4"/>
  <c r="I1176" i="4" s="1"/>
  <c r="H1177" i="4"/>
  <c r="I1177" i="4" s="1"/>
  <c r="H1178" i="4"/>
  <c r="I1178" i="4" s="1"/>
  <c r="H1179" i="4"/>
  <c r="I1179" i="4" s="1"/>
  <c r="H1180" i="4"/>
  <c r="I1180" i="4" s="1"/>
  <c r="H1181" i="4"/>
  <c r="I1181" i="4" s="1"/>
  <c r="H1182" i="4"/>
  <c r="I1182" i="4" s="1"/>
  <c r="H1183" i="4"/>
  <c r="I1183" i="4" s="1"/>
  <c r="H1184" i="4"/>
  <c r="I1184" i="4" s="1"/>
  <c r="H1185" i="4"/>
  <c r="I1185" i="4" s="1"/>
  <c r="H1186" i="4"/>
  <c r="I1186" i="4" s="1"/>
  <c r="H1187" i="4"/>
  <c r="I1187" i="4" s="1"/>
  <c r="H1188" i="4"/>
  <c r="I1188" i="4" s="1"/>
  <c r="H1189" i="4"/>
  <c r="I1189" i="4" s="1"/>
  <c r="H1190" i="4"/>
  <c r="I1190" i="4" s="1"/>
  <c r="H1191" i="4"/>
  <c r="I1191" i="4" s="1"/>
  <c r="H1192" i="4"/>
  <c r="I1192" i="4" s="1"/>
  <c r="H1193" i="4"/>
  <c r="I1193" i="4" s="1"/>
  <c r="H1194" i="4"/>
  <c r="I1194" i="4" s="1"/>
  <c r="H1195" i="4"/>
  <c r="I1195" i="4" s="1"/>
  <c r="H1196" i="4"/>
  <c r="I1196" i="4" s="1"/>
  <c r="H1197" i="4"/>
  <c r="I1197" i="4" s="1"/>
  <c r="H1198" i="4"/>
  <c r="I1198" i="4" s="1"/>
  <c r="H1199" i="4"/>
  <c r="I1199" i="4" s="1"/>
  <c r="H1200" i="4"/>
  <c r="I1200" i="4" s="1"/>
  <c r="H1201" i="4"/>
  <c r="I1201" i="4" s="1"/>
  <c r="H1202" i="4"/>
  <c r="I1202" i="4" s="1"/>
  <c r="H1203" i="4"/>
  <c r="I1203" i="4" s="1"/>
  <c r="H1204" i="4"/>
  <c r="I1204" i="4" s="1"/>
  <c r="H1205" i="4"/>
  <c r="I1205" i="4" s="1"/>
  <c r="H1206" i="4"/>
  <c r="I1206" i="4" s="1"/>
  <c r="H1207" i="4"/>
  <c r="I1207" i="4" s="1"/>
  <c r="H1208" i="4"/>
  <c r="I1208" i="4" s="1"/>
  <c r="H1209" i="4"/>
  <c r="I1209" i="4" s="1"/>
  <c r="H1210" i="4"/>
  <c r="I1210" i="4" s="1"/>
  <c r="H1211" i="4"/>
  <c r="I1211" i="4" s="1"/>
  <c r="H1212" i="4"/>
  <c r="I1212" i="4" s="1"/>
  <c r="H1213" i="4"/>
  <c r="I1213" i="4" s="1"/>
  <c r="H1214" i="4"/>
  <c r="I1214" i="4" s="1"/>
  <c r="H1215" i="4"/>
  <c r="I1215" i="4" s="1"/>
  <c r="H1216" i="4"/>
  <c r="I1216" i="4" s="1"/>
  <c r="H1217" i="4"/>
  <c r="I1217" i="4" s="1"/>
  <c r="H1218" i="4"/>
  <c r="I1218" i="4" s="1"/>
  <c r="H1219" i="4"/>
  <c r="I1219" i="4" s="1"/>
  <c r="H1220" i="4"/>
  <c r="I1220" i="4" s="1"/>
  <c r="H1221" i="4"/>
  <c r="I1221" i="4" s="1"/>
  <c r="H1222" i="4"/>
  <c r="I1222" i="4" s="1"/>
  <c r="H1223" i="4"/>
  <c r="I1223" i="4" s="1"/>
  <c r="H1224" i="4"/>
  <c r="I1224" i="4" s="1"/>
  <c r="H1225" i="4"/>
  <c r="I1225" i="4" s="1"/>
  <c r="H1226" i="4"/>
  <c r="I1226" i="4" s="1"/>
  <c r="H1227" i="4"/>
  <c r="I1227" i="4" s="1"/>
  <c r="H1228" i="4"/>
  <c r="I1228" i="4" s="1"/>
  <c r="H1229" i="4"/>
  <c r="I1229" i="4" s="1"/>
  <c r="H1230" i="4"/>
  <c r="I1230" i="4" s="1"/>
  <c r="H1231" i="4"/>
  <c r="I1231" i="4" s="1"/>
  <c r="H1232" i="4"/>
  <c r="I1232" i="4" s="1"/>
  <c r="H1233" i="4"/>
  <c r="I1233" i="4" s="1"/>
  <c r="H1234" i="4"/>
  <c r="I1234" i="4" s="1"/>
  <c r="H1235" i="4"/>
  <c r="I1235" i="4" s="1"/>
  <c r="H1236" i="4"/>
  <c r="I1236" i="4" s="1"/>
  <c r="H1237" i="4"/>
  <c r="I1237" i="4" s="1"/>
  <c r="H1238" i="4"/>
  <c r="I1238" i="4" s="1"/>
  <c r="H1239" i="4"/>
  <c r="I1239" i="4" s="1"/>
  <c r="H1240" i="4"/>
  <c r="I1240" i="4" s="1"/>
  <c r="H1241" i="4"/>
  <c r="I1241" i="4" s="1"/>
  <c r="H1242" i="4"/>
  <c r="I1242" i="4" s="1"/>
  <c r="H1243" i="4"/>
  <c r="I1243" i="4" s="1"/>
  <c r="H1244" i="4"/>
  <c r="I1244" i="4" s="1"/>
  <c r="H1245" i="4"/>
  <c r="I1245" i="4" s="1"/>
  <c r="H1246" i="4"/>
  <c r="I1246" i="4" s="1"/>
  <c r="H1247" i="4"/>
  <c r="I1247" i="4" s="1"/>
  <c r="H1248" i="4"/>
  <c r="I1248" i="4" s="1"/>
  <c r="H1249" i="4"/>
  <c r="I1249" i="4" s="1"/>
  <c r="H1250" i="4"/>
  <c r="I1250" i="4" s="1"/>
  <c r="H1251" i="4"/>
  <c r="I1251" i="4" s="1"/>
  <c r="H1252" i="4"/>
  <c r="I1252" i="4" s="1"/>
  <c r="H1253" i="4"/>
  <c r="I1253" i="4" s="1"/>
  <c r="H1254" i="4"/>
  <c r="I1254" i="4" s="1"/>
  <c r="H1255" i="4"/>
  <c r="I1255" i="4" s="1"/>
  <c r="H1256" i="4"/>
  <c r="I1256" i="4" s="1"/>
  <c r="H1257" i="4"/>
  <c r="I1257" i="4" s="1"/>
  <c r="H1258" i="4"/>
  <c r="I1258" i="4" s="1"/>
  <c r="H1259" i="4"/>
  <c r="I1259" i="4" s="1"/>
  <c r="H1260" i="4"/>
  <c r="I1260" i="4" s="1"/>
  <c r="H1261" i="4"/>
  <c r="I1261" i="4" s="1"/>
  <c r="H1262" i="4"/>
  <c r="I1262" i="4" s="1"/>
  <c r="H1263" i="4"/>
  <c r="I1263" i="4" s="1"/>
  <c r="H1264" i="4"/>
  <c r="I1264" i="4" s="1"/>
  <c r="H1265" i="4"/>
  <c r="I1265" i="4" s="1"/>
  <c r="H1266" i="4"/>
  <c r="I1266" i="4" s="1"/>
  <c r="H1267" i="4"/>
  <c r="I1267" i="4" s="1"/>
  <c r="H1268" i="4"/>
  <c r="I1268" i="4" s="1"/>
  <c r="H1269" i="4"/>
  <c r="I1269" i="4" s="1"/>
  <c r="H1270" i="4"/>
  <c r="I1270" i="4" s="1"/>
  <c r="H1271" i="4"/>
  <c r="I1271" i="4" s="1"/>
  <c r="H1272" i="4"/>
  <c r="I1272" i="4" s="1"/>
  <c r="H1273" i="4"/>
  <c r="I1273" i="4" s="1"/>
  <c r="H1274" i="4"/>
  <c r="I1274" i="4" s="1"/>
  <c r="H1275" i="4"/>
  <c r="I1275" i="4" s="1"/>
  <c r="H1276" i="4"/>
  <c r="I1276" i="4" s="1"/>
  <c r="H1277" i="4"/>
  <c r="I1277" i="4" s="1"/>
  <c r="H1278" i="4"/>
  <c r="I1278" i="4" s="1"/>
  <c r="H1279" i="4"/>
  <c r="I1279" i="4" s="1"/>
  <c r="H1280" i="4"/>
  <c r="I1280" i="4" s="1"/>
  <c r="H1281" i="4"/>
  <c r="I1281" i="4" s="1"/>
  <c r="H1282" i="4"/>
  <c r="I1282" i="4" s="1"/>
  <c r="H1283" i="4"/>
  <c r="I1283" i="4" s="1"/>
  <c r="H1284" i="4"/>
  <c r="I1284" i="4" s="1"/>
  <c r="H1285" i="4"/>
  <c r="I1285" i="4" s="1"/>
  <c r="H1286" i="4"/>
  <c r="I1286" i="4" s="1"/>
  <c r="H1287" i="4"/>
  <c r="I1287" i="4" s="1"/>
  <c r="H1288" i="4"/>
  <c r="I1288" i="4" s="1"/>
  <c r="H1289" i="4"/>
  <c r="I1289" i="4" s="1"/>
  <c r="H1290" i="4"/>
  <c r="I1290" i="4" s="1"/>
  <c r="H1291" i="4"/>
  <c r="I1291" i="4" s="1"/>
  <c r="H1292" i="4"/>
  <c r="I1292" i="4" s="1"/>
  <c r="H1293" i="4"/>
  <c r="I1293" i="4" s="1"/>
  <c r="H1294" i="4"/>
  <c r="I1294" i="4" s="1"/>
  <c r="H1295" i="4"/>
  <c r="I1295" i="4" s="1"/>
  <c r="H1296" i="4"/>
  <c r="I1296" i="4" s="1"/>
  <c r="H1297" i="4"/>
  <c r="I1297" i="4" s="1"/>
  <c r="H1298" i="4"/>
  <c r="I1298" i="4" s="1"/>
  <c r="H1299" i="4"/>
  <c r="I1299" i="4" s="1"/>
  <c r="H1300" i="4"/>
  <c r="I1300" i="4" s="1"/>
  <c r="H1301" i="4"/>
  <c r="I1301" i="4" s="1"/>
  <c r="H1302" i="4"/>
  <c r="I1302" i="4" s="1"/>
  <c r="H1303" i="4"/>
  <c r="I1303" i="4" s="1"/>
  <c r="H1304" i="4"/>
  <c r="I1304" i="4" s="1"/>
  <c r="H1305" i="4"/>
  <c r="I1305" i="4" s="1"/>
  <c r="H1306" i="4"/>
  <c r="I1306" i="4" s="1"/>
  <c r="H1307" i="4"/>
  <c r="I1307" i="4" s="1"/>
  <c r="H1308" i="4"/>
  <c r="I1308" i="4" s="1"/>
  <c r="H1309" i="4"/>
  <c r="I1309" i="4" s="1"/>
  <c r="H1310" i="4"/>
  <c r="I1310" i="4" s="1"/>
  <c r="H1311" i="4"/>
  <c r="I1311" i="4" s="1"/>
  <c r="H1312" i="4"/>
  <c r="I1312" i="4" s="1"/>
  <c r="H1313" i="4"/>
  <c r="I1313" i="4" s="1"/>
  <c r="H1314" i="4"/>
  <c r="I1314" i="4" s="1"/>
  <c r="H1315" i="4"/>
  <c r="I1315" i="4" s="1"/>
  <c r="H1316" i="4"/>
  <c r="I1316" i="4" s="1"/>
  <c r="H1317" i="4"/>
  <c r="I1317" i="4" s="1"/>
  <c r="H1318" i="4"/>
  <c r="I1318" i="4" s="1"/>
  <c r="H1319" i="4"/>
  <c r="I1319" i="4" s="1"/>
  <c r="H1320" i="4"/>
  <c r="I1320" i="4" s="1"/>
  <c r="H1321" i="4"/>
  <c r="I1321" i="4" s="1"/>
  <c r="H1322" i="4"/>
  <c r="I1322" i="4" s="1"/>
  <c r="H1323" i="4"/>
  <c r="I1323" i="4" s="1"/>
  <c r="H1324" i="4"/>
  <c r="I1324" i="4" s="1"/>
  <c r="H1325" i="4"/>
  <c r="I1325" i="4" s="1"/>
  <c r="H1326" i="4"/>
  <c r="I1326" i="4" s="1"/>
  <c r="H1327" i="4"/>
  <c r="I1327" i="4" s="1"/>
  <c r="H1328" i="4"/>
  <c r="I1328" i="4" s="1"/>
  <c r="H1329" i="4"/>
  <c r="I1329" i="4" s="1"/>
  <c r="H1330" i="4"/>
  <c r="I1330" i="4" s="1"/>
  <c r="H1331" i="4"/>
  <c r="I1331" i="4" s="1"/>
  <c r="H1332" i="4"/>
  <c r="I1332" i="4" s="1"/>
  <c r="H1333" i="4"/>
  <c r="I1333" i="4" s="1"/>
  <c r="H1334" i="4"/>
  <c r="I1334" i="4" s="1"/>
  <c r="H1335" i="4"/>
  <c r="I1335" i="4" s="1"/>
  <c r="H1336" i="4"/>
  <c r="I1336" i="4" s="1"/>
  <c r="H1337" i="4"/>
  <c r="I1337" i="4" s="1"/>
  <c r="H1338" i="4"/>
  <c r="I1338" i="4" s="1"/>
  <c r="H1339" i="4"/>
  <c r="I1339" i="4" s="1"/>
  <c r="H1340" i="4"/>
  <c r="I1340" i="4" s="1"/>
  <c r="H1341" i="4"/>
  <c r="I1341" i="4" s="1"/>
  <c r="H1342" i="4"/>
  <c r="I1342" i="4" s="1"/>
  <c r="H1343" i="4"/>
  <c r="I1343" i="4" s="1"/>
  <c r="H1344" i="4"/>
  <c r="I1344" i="4" s="1"/>
  <c r="H1345" i="4"/>
  <c r="I1345" i="4" s="1"/>
  <c r="H1346" i="4"/>
  <c r="I1346" i="4" s="1"/>
  <c r="H1347" i="4"/>
  <c r="I1347" i="4" s="1"/>
  <c r="H1348" i="4"/>
  <c r="I1348" i="4" s="1"/>
  <c r="H1349" i="4"/>
  <c r="I1349" i="4" s="1"/>
  <c r="H1350" i="4"/>
  <c r="I1350" i="4" s="1"/>
  <c r="H1351" i="4"/>
  <c r="I1351" i="4" s="1"/>
  <c r="H1352" i="4"/>
  <c r="I1352" i="4" s="1"/>
  <c r="H1353" i="4"/>
  <c r="I1353" i="4" s="1"/>
  <c r="H1354" i="4"/>
  <c r="I1354" i="4" s="1"/>
  <c r="H1355" i="4"/>
  <c r="I1355" i="4" s="1"/>
  <c r="H1356" i="4"/>
  <c r="I1356" i="4" s="1"/>
  <c r="H1357" i="4"/>
  <c r="I1357" i="4" s="1"/>
  <c r="H1358" i="4"/>
  <c r="I1358" i="4" s="1"/>
  <c r="H1359" i="4"/>
  <c r="I1359" i="4" s="1"/>
  <c r="H1360" i="4"/>
  <c r="I1360" i="4" s="1"/>
  <c r="H1361" i="4"/>
  <c r="I1361" i="4" s="1"/>
  <c r="H1362" i="4"/>
  <c r="I1362" i="4" s="1"/>
  <c r="H1363" i="4"/>
  <c r="I1363" i="4" s="1"/>
  <c r="H1364" i="4"/>
  <c r="I1364" i="4" s="1"/>
  <c r="H1365" i="4"/>
  <c r="I1365" i="4" s="1"/>
  <c r="H1366" i="4"/>
  <c r="I1366" i="4" s="1"/>
  <c r="H1367" i="4"/>
  <c r="I1367" i="4" s="1"/>
  <c r="H1368" i="4"/>
  <c r="I1368" i="4" s="1"/>
  <c r="H1369" i="4"/>
  <c r="I1369" i="4" s="1"/>
  <c r="H1370" i="4"/>
  <c r="I1370" i="4" s="1"/>
  <c r="H1371" i="4"/>
  <c r="I1371" i="4" s="1"/>
  <c r="H1372" i="4"/>
  <c r="I1372" i="4" s="1"/>
  <c r="H1373" i="4"/>
  <c r="I1373" i="4" s="1"/>
  <c r="H1374" i="4"/>
  <c r="I1374" i="4" s="1"/>
  <c r="H1375" i="4"/>
  <c r="I1375" i="4" s="1"/>
  <c r="H1376" i="4"/>
  <c r="I1376" i="4" s="1"/>
  <c r="H1377" i="4"/>
  <c r="I1377" i="4" s="1"/>
  <c r="H1378" i="4"/>
  <c r="I1378" i="4" s="1"/>
  <c r="H1379" i="4"/>
  <c r="I1379" i="4" s="1"/>
  <c r="H1380" i="4"/>
  <c r="I1380" i="4" s="1"/>
  <c r="H1381" i="4"/>
  <c r="I1381" i="4" s="1"/>
  <c r="H1382" i="4"/>
  <c r="I1382" i="4" s="1"/>
  <c r="H1383" i="4"/>
  <c r="I1383" i="4" s="1"/>
  <c r="H1384" i="4"/>
  <c r="I1384" i="4" s="1"/>
  <c r="H1385" i="4"/>
  <c r="I1385" i="4" s="1"/>
  <c r="H1386" i="4"/>
  <c r="I1386" i="4" s="1"/>
  <c r="H1387" i="4"/>
  <c r="I1387" i="4" s="1"/>
  <c r="H1388" i="4"/>
  <c r="I1388" i="4" s="1"/>
  <c r="H1389" i="4"/>
  <c r="I1389" i="4" s="1"/>
  <c r="H1390" i="4"/>
  <c r="I1390" i="4" s="1"/>
  <c r="H1391" i="4"/>
  <c r="I1391" i="4" s="1"/>
  <c r="H1392" i="4"/>
  <c r="I1392" i="4" s="1"/>
  <c r="H1393" i="4"/>
  <c r="I1393" i="4" s="1"/>
  <c r="H1394" i="4"/>
  <c r="I1394" i="4" s="1"/>
  <c r="H1395" i="4"/>
  <c r="I1395" i="4" s="1"/>
  <c r="H1396" i="4"/>
  <c r="I1396" i="4" s="1"/>
  <c r="H1397" i="4"/>
  <c r="I1397" i="4" s="1"/>
  <c r="H1398" i="4"/>
  <c r="I1398" i="4" s="1"/>
  <c r="H1399" i="4"/>
  <c r="I1399" i="4" s="1"/>
  <c r="H1400" i="4"/>
  <c r="I1400" i="4" s="1"/>
  <c r="H1401" i="4"/>
  <c r="I1401" i="4" s="1"/>
  <c r="H1402" i="4"/>
  <c r="I1402" i="4" s="1"/>
  <c r="H1403" i="4"/>
  <c r="I1403" i="4" s="1"/>
  <c r="H1404" i="4"/>
  <c r="I1404" i="4" s="1"/>
  <c r="H1405" i="4"/>
  <c r="I1405" i="4" s="1"/>
  <c r="H1406" i="4"/>
  <c r="I1406" i="4" s="1"/>
  <c r="H1407" i="4"/>
  <c r="I1407" i="4" s="1"/>
  <c r="H1408" i="4"/>
  <c r="I1408" i="4" s="1"/>
  <c r="H1409" i="4"/>
  <c r="I1409" i="4" s="1"/>
  <c r="H1410" i="4"/>
  <c r="I1410" i="4" s="1"/>
  <c r="H1411" i="4"/>
  <c r="I1411" i="4" s="1"/>
  <c r="H1412" i="4"/>
  <c r="I1412" i="4" s="1"/>
  <c r="H1413" i="4"/>
  <c r="I1413" i="4" s="1"/>
  <c r="H1414" i="4"/>
  <c r="I1414" i="4" s="1"/>
  <c r="H1415" i="4"/>
  <c r="I1415" i="4" s="1"/>
  <c r="H1416" i="4"/>
  <c r="I1416" i="4" s="1"/>
  <c r="H1417" i="4"/>
  <c r="I1417" i="4" s="1"/>
  <c r="H1418" i="4"/>
  <c r="I1418" i="4" s="1"/>
  <c r="H1419" i="4"/>
  <c r="I1419" i="4" s="1"/>
  <c r="H1420" i="4"/>
  <c r="I1420" i="4" s="1"/>
  <c r="H1421" i="4"/>
  <c r="I1421" i="4" s="1"/>
  <c r="H1422" i="4"/>
  <c r="I1422" i="4" s="1"/>
  <c r="H1423" i="4"/>
  <c r="I1423" i="4" s="1"/>
  <c r="H1424" i="4"/>
  <c r="I1424" i="4" s="1"/>
  <c r="H1425" i="4"/>
  <c r="I1425" i="4" s="1"/>
  <c r="H1426" i="4"/>
  <c r="I1426" i="4" s="1"/>
  <c r="H1427" i="4"/>
  <c r="I1427" i="4" s="1"/>
  <c r="H1428" i="4"/>
  <c r="I1428" i="4" s="1"/>
  <c r="H1429" i="4"/>
  <c r="I1429" i="4" s="1"/>
  <c r="H1430" i="4"/>
  <c r="I1430" i="4" s="1"/>
  <c r="H1431" i="4"/>
  <c r="I1431" i="4" s="1"/>
  <c r="H1432" i="4"/>
  <c r="I1432" i="4" s="1"/>
  <c r="H1433" i="4"/>
  <c r="I1433" i="4" s="1"/>
  <c r="H1434" i="4"/>
  <c r="I1434" i="4" s="1"/>
  <c r="H1435" i="4"/>
  <c r="I1435" i="4" s="1"/>
  <c r="H1436" i="4"/>
  <c r="I1436" i="4" s="1"/>
  <c r="H1437" i="4"/>
  <c r="I1437" i="4" s="1"/>
  <c r="H1438" i="4"/>
  <c r="I1438" i="4" s="1"/>
  <c r="H1439" i="4"/>
  <c r="I1439" i="4" s="1"/>
  <c r="H1440" i="4"/>
  <c r="I1440" i="4" s="1"/>
  <c r="H1441" i="4"/>
  <c r="I1441" i="4" s="1"/>
  <c r="H1442" i="4"/>
  <c r="I1442" i="4" s="1"/>
  <c r="H1443" i="4"/>
  <c r="I1443" i="4" s="1"/>
  <c r="H1444" i="4"/>
  <c r="I1444" i="4" s="1"/>
  <c r="H1445" i="4"/>
  <c r="I1445" i="4" s="1"/>
  <c r="H1446" i="4"/>
  <c r="I1446" i="4" s="1"/>
  <c r="H1447" i="4"/>
  <c r="I1447" i="4" s="1"/>
  <c r="H1448" i="4"/>
  <c r="I1448" i="4" s="1"/>
  <c r="H1449" i="4"/>
  <c r="I1449" i="4" s="1"/>
  <c r="H1450" i="4"/>
  <c r="I1450" i="4" s="1"/>
  <c r="H1451" i="4"/>
  <c r="I1451" i="4" s="1"/>
  <c r="H1452" i="4"/>
  <c r="I1452" i="4" s="1"/>
  <c r="H1453" i="4"/>
  <c r="I1453" i="4" s="1"/>
  <c r="H1454" i="4"/>
  <c r="I1454" i="4" s="1"/>
  <c r="H1455" i="4"/>
  <c r="I1455" i="4" s="1"/>
  <c r="H1456" i="4"/>
  <c r="I1456" i="4" s="1"/>
  <c r="H1457" i="4"/>
  <c r="I1457" i="4" s="1"/>
  <c r="H1458" i="4"/>
  <c r="I1458" i="4" s="1"/>
  <c r="H1459" i="4"/>
  <c r="I1459" i="4" s="1"/>
  <c r="H1460" i="4"/>
  <c r="I1460" i="4" s="1"/>
  <c r="H1461" i="4"/>
  <c r="I1461" i="4" s="1"/>
  <c r="H1462" i="4"/>
  <c r="I1462" i="4" s="1"/>
  <c r="H1463" i="4"/>
  <c r="I1463" i="4" s="1"/>
  <c r="H1464" i="4"/>
  <c r="I1464" i="4" s="1"/>
  <c r="H1465" i="4"/>
  <c r="I1465" i="4" s="1"/>
  <c r="H1466" i="4"/>
  <c r="I1466" i="4" s="1"/>
  <c r="H1467" i="4"/>
  <c r="I1467" i="4" s="1"/>
  <c r="H1468" i="4"/>
  <c r="I1468" i="4" s="1"/>
  <c r="H1469" i="4"/>
  <c r="I1469" i="4" s="1"/>
  <c r="H1470" i="4"/>
  <c r="I1470" i="4" s="1"/>
  <c r="H1471" i="4"/>
  <c r="I1471" i="4" s="1"/>
  <c r="H1472" i="4"/>
  <c r="I1472" i="4" s="1"/>
  <c r="H1473" i="4"/>
  <c r="I1473" i="4" s="1"/>
  <c r="H1474" i="4"/>
  <c r="I1474" i="4" s="1"/>
  <c r="H1475" i="4"/>
  <c r="I1475" i="4" s="1"/>
  <c r="H1476" i="4"/>
  <c r="I1476" i="4" s="1"/>
  <c r="H1477" i="4"/>
  <c r="I1477" i="4" s="1"/>
  <c r="H1478" i="4"/>
  <c r="I1478" i="4" s="1"/>
  <c r="H1479" i="4"/>
  <c r="I1479" i="4" s="1"/>
  <c r="H1480" i="4"/>
  <c r="I1480" i="4" s="1"/>
  <c r="H1481" i="4"/>
  <c r="I1481" i="4" s="1"/>
  <c r="H1482" i="4"/>
  <c r="I1482" i="4" s="1"/>
  <c r="H1483" i="4"/>
  <c r="I1483" i="4" s="1"/>
  <c r="H1484" i="4"/>
  <c r="I1484" i="4" s="1"/>
  <c r="H1485" i="4"/>
  <c r="I1485" i="4" s="1"/>
  <c r="H1486" i="4"/>
  <c r="I1486" i="4" s="1"/>
  <c r="H1487" i="4"/>
  <c r="I1487" i="4" s="1"/>
  <c r="H1488" i="4"/>
  <c r="I1488" i="4" s="1"/>
  <c r="H1489" i="4"/>
  <c r="I1489" i="4" s="1"/>
  <c r="H1490" i="4"/>
  <c r="I1490" i="4" s="1"/>
  <c r="H1491" i="4"/>
  <c r="I1491" i="4" s="1"/>
  <c r="H1492" i="4"/>
  <c r="I1492" i="4" s="1"/>
  <c r="H1493" i="4"/>
  <c r="I1493" i="4" s="1"/>
  <c r="H1494" i="4"/>
  <c r="I1494" i="4" s="1"/>
  <c r="H1495" i="4"/>
  <c r="I1495" i="4" s="1"/>
  <c r="H1496" i="4"/>
  <c r="I1496" i="4" s="1"/>
  <c r="H1497" i="4"/>
  <c r="I1497" i="4" s="1"/>
  <c r="H1498" i="4"/>
  <c r="I1498" i="4" s="1"/>
  <c r="H1499" i="4"/>
  <c r="I1499" i="4" s="1"/>
  <c r="H1500" i="4"/>
  <c r="I1500" i="4" s="1"/>
  <c r="H1501" i="4"/>
  <c r="I1501" i="4" s="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20" i="5" l="1"/>
  <c r="B10" i="5"/>
  <c r="C14" i="5"/>
  <c r="C6" i="5"/>
  <c r="B27" i="5"/>
  <c r="D20" i="5"/>
  <c r="D24" i="5"/>
  <c r="C27" i="5"/>
  <c r="B9" i="5"/>
  <c r="C13" i="5"/>
  <c r="C5" i="5"/>
  <c r="B26" i="5"/>
  <c r="D31" i="5"/>
  <c r="D23" i="5"/>
  <c r="C26" i="5"/>
  <c r="B8" i="5"/>
  <c r="C12" i="5"/>
  <c r="C4" i="5"/>
  <c r="B25" i="5"/>
  <c r="D30" i="5"/>
  <c r="D22" i="5"/>
  <c r="C25" i="5"/>
  <c r="B7" i="5"/>
  <c r="C11" i="5"/>
  <c r="C3" i="5"/>
  <c r="B24" i="5"/>
  <c r="D29" i="5"/>
  <c r="D21" i="5"/>
  <c r="C24" i="5"/>
  <c r="B14" i="5"/>
  <c r="B6" i="5"/>
  <c r="C10" i="5"/>
  <c r="B31" i="5"/>
  <c r="B23" i="5"/>
  <c r="D28" i="5"/>
  <c r="C31" i="5"/>
  <c r="C23" i="5"/>
  <c r="B13" i="5"/>
  <c r="B5" i="5"/>
  <c r="C9" i="5"/>
  <c r="B30" i="5"/>
  <c r="B22" i="5"/>
  <c r="D27" i="5"/>
  <c r="C30" i="5"/>
  <c r="C22" i="5"/>
  <c r="B12" i="5"/>
  <c r="B4" i="5"/>
  <c r="C8" i="5"/>
  <c r="B29" i="5"/>
  <c r="B21" i="5"/>
  <c r="D26" i="5"/>
  <c r="C29" i="5"/>
  <c r="C21" i="5"/>
  <c r="B46" i="5"/>
  <c r="B54" i="5"/>
  <c r="B62" i="5"/>
  <c r="B70" i="5"/>
  <c r="B78" i="5"/>
  <c r="B86" i="5"/>
  <c r="B94" i="5"/>
  <c r="B102" i="5"/>
  <c r="B110" i="5"/>
  <c r="B118" i="5"/>
  <c r="B126" i="5"/>
  <c r="B134" i="5"/>
  <c r="B142" i="5"/>
  <c r="B150" i="5"/>
  <c r="B158" i="5"/>
  <c r="B166" i="5"/>
  <c r="B174" i="5"/>
  <c r="B182" i="5"/>
  <c r="B190" i="5"/>
  <c r="B198" i="5"/>
  <c r="B206" i="5"/>
  <c r="B214" i="5"/>
  <c r="B222" i="5"/>
  <c r="B230" i="5"/>
  <c r="B238" i="5"/>
  <c r="B246" i="5"/>
  <c r="B254" i="5"/>
  <c r="B262" i="5"/>
  <c r="B270" i="5"/>
  <c r="B278" i="5"/>
  <c r="B286" i="5"/>
  <c r="B294" i="5"/>
  <c r="B302" i="5"/>
  <c r="B310" i="5"/>
  <c r="B318" i="5"/>
  <c r="B326" i="5"/>
  <c r="B334" i="5"/>
  <c r="B342" i="5"/>
  <c r="B350" i="5"/>
  <c r="B358" i="5"/>
  <c r="B366" i="5"/>
  <c r="B374" i="5"/>
  <c r="B87" i="5"/>
  <c r="B95" i="5"/>
  <c r="B103" i="5"/>
  <c r="B111" i="5"/>
  <c r="B119" i="5"/>
  <c r="B159" i="5"/>
  <c r="B183" i="5"/>
  <c r="B223" i="5"/>
  <c r="B287" i="5"/>
  <c r="B319" i="5"/>
  <c r="B367" i="5"/>
  <c r="B47" i="5"/>
  <c r="B55" i="5"/>
  <c r="B63" i="5"/>
  <c r="B71" i="5"/>
  <c r="B79" i="5"/>
  <c r="B48" i="5"/>
  <c r="B56" i="5"/>
  <c r="B64" i="5"/>
  <c r="B72" i="5"/>
  <c r="B80" i="5"/>
  <c r="B88" i="5"/>
  <c r="B96" i="5"/>
  <c r="B104" i="5"/>
  <c r="B112" i="5"/>
  <c r="B120" i="5"/>
  <c r="B128" i="5"/>
  <c r="B136" i="5"/>
  <c r="B144" i="5"/>
  <c r="B152" i="5"/>
  <c r="B160" i="5"/>
  <c r="B168" i="5"/>
  <c r="B176" i="5"/>
  <c r="B184" i="5"/>
  <c r="B192" i="5"/>
  <c r="B200" i="5"/>
  <c r="B208" i="5"/>
  <c r="B216" i="5"/>
  <c r="B224" i="5"/>
  <c r="B232" i="5"/>
  <c r="B240" i="5"/>
  <c r="B248" i="5"/>
  <c r="B256" i="5"/>
  <c r="B264" i="5"/>
  <c r="B272" i="5"/>
  <c r="B280" i="5"/>
  <c r="B288" i="5"/>
  <c r="B296" i="5"/>
  <c r="B304" i="5"/>
  <c r="B312" i="5"/>
  <c r="B320" i="5"/>
  <c r="B328" i="5"/>
  <c r="B336" i="5"/>
  <c r="B344" i="5"/>
  <c r="B352" i="5"/>
  <c r="B360" i="5"/>
  <c r="B368" i="5"/>
  <c r="B376" i="5"/>
  <c r="B322" i="5"/>
  <c r="B346" i="5"/>
  <c r="B370" i="5"/>
  <c r="B355" i="5"/>
  <c r="B364" i="5"/>
  <c r="B127" i="5"/>
  <c r="B191" i="5"/>
  <c r="B231" i="5"/>
  <c r="B279" i="5"/>
  <c r="B327" i="5"/>
  <c r="B359" i="5"/>
  <c r="B49" i="5"/>
  <c r="B57" i="5"/>
  <c r="B65" i="5"/>
  <c r="B73" i="5"/>
  <c r="B81" i="5"/>
  <c r="B89" i="5"/>
  <c r="B97" i="5"/>
  <c r="B105" i="5"/>
  <c r="B113" i="5"/>
  <c r="B121" i="5"/>
  <c r="B129" i="5"/>
  <c r="B137" i="5"/>
  <c r="B145" i="5"/>
  <c r="B153" i="5"/>
  <c r="B161" i="5"/>
  <c r="B169" i="5"/>
  <c r="B177" i="5"/>
  <c r="B185" i="5"/>
  <c r="B193" i="5"/>
  <c r="B201" i="5"/>
  <c r="B209" i="5"/>
  <c r="B217" i="5"/>
  <c r="B225" i="5"/>
  <c r="B233" i="5"/>
  <c r="B241" i="5"/>
  <c r="B249" i="5"/>
  <c r="B257" i="5"/>
  <c r="B265" i="5"/>
  <c r="B273" i="5"/>
  <c r="B281" i="5"/>
  <c r="B289" i="5"/>
  <c r="B297" i="5"/>
  <c r="B305" i="5"/>
  <c r="B313" i="5"/>
  <c r="B321" i="5"/>
  <c r="B329" i="5"/>
  <c r="B337" i="5"/>
  <c r="B345" i="5"/>
  <c r="B353" i="5"/>
  <c r="B361" i="5"/>
  <c r="B369" i="5"/>
  <c r="B45" i="5"/>
  <c r="B338" i="5"/>
  <c r="B362" i="5"/>
  <c r="B347" i="5"/>
  <c r="B356" i="5"/>
  <c r="B135" i="5"/>
  <c r="B199" i="5"/>
  <c r="B255" i="5"/>
  <c r="B295" i="5"/>
  <c r="B351" i="5"/>
  <c r="B50" i="5"/>
  <c r="B58" i="5"/>
  <c r="B66" i="5"/>
  <c r="B74" i="5"/>
  <c r="B82" i="5"/>
  <c r="B90" i="5"/>
  <c r="B98" i="5"/>
  <c r="B106" i="5"/>
  <c r="B114" i="5"/>
  <c r="B122" i="5"/>
  <c r="B130" i="5"/>
  <c r="B138" i="5"/>
  <c r="B146" i="5"/>
  <c r="B154" i="5"/>
  <c r="B162" i="5"/>
  <c r="B170" i="5"/>
  <c r="B178" i="5"/>
  <c r="B186" i="5"/>
  <c r="B194" i="5"/>
  <c r="B202" i="5"/>
  <c r="B210" i="5"/>
  <c r="B218" i="5"/>
  <c r="B226" i="5"/>
  <c r="B234" i="5"/>
  <c r="B242" i="5"/>
  <c r="B250" i="5"/>
  <c r="B258" i="5"/>
  <c r="B266" i="5"/>
  <c r="B274" i="5"/>
  <c r="B282" i="5"/>
  <c r="B290" i="5"/>
  <c r="B298" i="5"/>
  <c r="B306" i="5"/>
  <c r="B314" i="5"/>
  <c r="B330" i="5"/>
  <c r="B354" i="5"/>
  <c r="B363" i="5"/>
  <c r="B372" i="5"/>
  <c r="B143" i="5"/>
  <c r="B207" i="5"/>
  <c r="B271" i="5"/>
  <c r="B335" i="5"/>
  <c r="B51" i="5"/>
  <c r="B59" i="5"/>
  <c r="B67" i="5"/>
  <c r="B75" i="5"/>
  <c r="B83" i="5"/>
  <c r="B91" i="5"/>
  <c r="B99" i="5"/>
  <c r="B107" i="5"/>
  <c r="B115" i="5"/>
  <c r="B123" i="5"/>
  <c r="B131" i="5"/>
  <c r="B139" i="5"/>
  <c r="B147" i="5"/>
  <c r="B155" i="5"/>
  <c r="B163" i="5"/>
  <c r="B171" i="5"/>
  <c r="B179" i="5"/>
  <c r="B187" i="5"/>
  <c r="B195" i="5"/>
  <c r="B203" i="5"/>
  <c r="B211" i="5"/>
  <c r="B219" i="5"/>
  <c r="B227" i="5"/>
  <c r="B235" i="5"/>
  <c r="B243" i="5"/>
  <c r="B251" i="5"/>
  <c r="B259" i="5"/>
  <c r="B267" i="5"/>
  <c r="B275" i="5"/>
  <c r="B283" i="5"/>
  <c r="B291" i="5"/>
  <c r="B299" i="5"/>
  <c r="B307" i="5"/>
  <c r="B315" i="5"/>
  <c r="B323" i="5"/>
  <c r="B331" i="5"/>
  <c r="B339" i="5"/>
  <c r="B371" i="5"/>
  <c r="B373" i="5"/>
  <c r="B167" i="5"/>
  <c r="B239" i="5"/>
  <c r="B303" i="5"/>
  <c r="B52" i="5"/>
  <c r="B60" i="5"/>
  <c r="B68" i="5"/>
  <c r="B76" i="5"/>
  <c r="B84" i="5"/>
  <c r="B92" i="5"/>
  <c r="B100" i="5"/>
  <c r="B108" i="5"/>
  <c r="B116" i="5"/>
  <c r="B124" i="5"/>
  <c r="B132" i="5"/>
  <c r="B140" i="5"/>
  <c r="B148" i="5"/>
  <c r="B156" i="5"/>
  <c r="B164" i="5"/>
  <c r="B172" i="5"/>
  <c r="B180" i="5"/>
  <c r="B188" i="5"/>
  <c r="B196" i="5"/>
  <c r="B204" i="5"/>
  <c r="B212" i="5"/>
  <c r="B220" i="5"/>
  <c r="B228" i="5"/>
  <c r="B236" i="5"/>
  <c r="B244" i="5"/>
  <c r="B252" i="5"/>
  <c r="B260" i="5"/>
  <c r="B268" i="5"/>
  <c r="B276" i="5"/>
  <c r="B284" i="5"/>
  <c r="B292" i="5"/>
  <c r="B300" i="5"/>
  <c r="B308" i="5"/>
  <c r="B316" i="5"/>
  <c r="B324" i="5"/>
  <c r="B332" i="5"/>
  <c r="B340" i="5"/>
  <c r="B348" i="5"/>
  <c r="B365" i="5"/>
  <c r="B175" i="5"/>
  <c r="B247" i="5"/>
  <c r="B311" i="5"/>
  <c r="B375" i="5"/>
  <c r="B53" i="5"/>
  <c r="B61" i="5"/>
  <c r="B69" i="5"/>
  <c r="B77" i="5"/>
  <c r="B85" i="5"/>
  <c r="B93" i="5"/>
  <c r="B101" i="5"/>
  <c r="B109" i="5"/>
  <c r="B117" i="5"/>
  <c r="B125" i="5"/>
  <c r="B133" i="5"/>
  <c r="B141" i="5"/>
  <c r="B149" i="5"/>
  <c r="B157" i="5"/>
  <c r="B165" i="5"/>
  <c r="B173" i="5"/>
  <c r="B181" i="5"/>
  <c r="B189" i="5"/>
  <c r="B197" i="5"/>
  <c r="B205" i="5"/>
  <c r="B213" i="5"/>
  <c r="B221" i="5"/>
  <c r="B229" i="5"/>
  <c r="B237" i="5"/>
  <c r="B245" i="5"/>
  <c r="B253" i="5"/>
  <c r="B261" i="5"/>
  <c r="B269" i="5"/>
  <c r="B277" i="5"/>
  <c r="B285" i="5"/>
  <c r="B293" i="5"/>
  <c r="B301" i="5"/>
  <c r="B309" i="5"/>
  <c r="B317" i="5"/>
  <c r="B325" i="5"/>
  <c r="B333" i="5"/>
  <c r="B341" i="5"/>
  <c r="B349" i="5"/>
  <c r="B357" i="5"/>
  <c r="B151" i="5"/>
  <c r="B215" i="5"/>
  <c r="B263" i="5"/>
  <c r="B343" i="5"/>
  <c r="B11" i="5"/>
  <c r="B3" i="5"/>
  <c r="C7" i="5"/>
  <c r="B28" i="5"/>
  <c r="B20" i="5"/>
  <c r="D25" i="5"/>
  <c r="C28" i="5"/>
  <c r="B38" i="5" l="1"/>
  <c r="D38" i="5" s="1"/>
  <c r="B39" i="5"/>
  <c r="E39" i="5" s="1"/>
  <c r="B37" i="5"/>
  <c r="E37" i="5" s="1"/>
  <c r="D39" i="5"/>
  <c r="D37" i="5" l="1"/>
  <c r="E3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7ED34D-D210-490D-B6B3-D54078240E2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8D78B13-314B-4C57-9C44-F75E20D45812}" name="WorksheetConnection_Mis_Project.xlsx!tbl_details5" type="102" refreshedVersion="6" minRefreshableVersion="5">
    <extLst>
      <ext xmlns:x15="http://schemas.microsoft.com/office/spreadsheetml/2010/11/main" uri="{DE250136-89BD-433C-8126-D09CA5730AF9}">
        <x15:connection id="tbl_details5" autoDelete="1">
          <x15:rangePr sourceName="_xlcn.WorksheetConnection_Mis_Project.xlsxtbl_details51"/>
        </x15:connection>
      </ext>
    </extLst>
  </connection>
</connections>
</file>

<file path=xl/sharedStrings.xml><?xml version="1.0" encoding="utf-8"?>
<sst xmlns="http://schemas.openxmlformats.org/spreadsheetml/2006/main" count="11500" uniqueCount="956">
  <si>
    <t>Order ID</t>
  </si>
  <si>
    <t>Order Date</t>
  </si>
  <si>
    <t>CustomerName</t>
  </si>
  <si>
    <t>State</t>
  </si>
  <si>
    <t>City</t>
  </si>
  <si>
    <t>B-25601</t>
  </si>
  <si>
    <t>Bharat</t>
  </si>
  <si>
    <t>Gujarat</t>
  </si>
  <si>
    <t>Ahmedabad</t>
  </si>
  <si>
    <t>B-25602</t>
  </si>
  <si>
    <t>Pearl</t>
  </si>
  <si>
    <t>Maharashtra</t>
  </si>
  <si>
    <t>Pune</t>
  </si>
  <si>
    <t>B-25603</t>
  </si>
  <si>
    <t>Jahan</t>
  </si>
  <si>
    <t>Madhya Pradesh</t>
  </si>
  <si>
    <t>Bhopal</t>
  </si>
  <si>
    <t>B-25604</t>
  </si>
  <si>
    <t>Divsha</t>
  </si>
  <si>
    <t>Rajasthan</t>
  </si>
  <si>
    <t>Jaipur</t>
  </si>
  <si>
    <t>B-25605</t>
  </si>
  <si>
    <t>Kasheen</t>
  </si>
  <si>
    <t>West Bengal</t>
  </si>
  <si>
    <t>Kolkata</t>
  </si>
  <si>
    <t>B-25606</t>
  </si>
  <si>
    <t>Hazel</t>
  </si>
  <si>
    <t>Karnataka</t>
  </si>
  <si>
    <t>Bangalore</t>
  </si>
  <si>
    <t>B-25607</t>
  </si>
  <si>
    <t>Sonakshi</t>
  </si>
  <si>
    <t>Jammu and Kashmir</t>
  </si>
  <si>
    <t>Kashmir</t>
  </si>
  <si>
    <t>B-25608</t>
  </si>
  <si>
    <t>Aarushi</t>
  </si>
  <si>
    <t>Tamil Nadu</t>
  </si>
  <si>
    <t>Chennai</t>
  </si>
  <si>
    <t>B-25609</t>
  </si>
  <si>
    <t>Jitesh</t>
  </si>
  <si>
    <t>Uttar Pradesh</t>
  </si>
  <si>
    <t>Lucknow</t>
  </si>
  <si>
    <t>B-25610</t>
  </si>
  <si>
    <t>Yogesh</t>
  </si>
  <si>
    <t>Bihar</t>
  </si>
  <si>
    <t>Patna</t>
  </si>
  <si>
    <t>B-25611</t>
  </si>
  <si>
    <t>Anita</t>
  </si>
  <si>
    <t xml:space="preserve">Kerala </t>
  </si>
  <si>
    <t>Thiruvananthapuram</t>
  </si>
  <si>
    <t>B-25612</t>
  </si>
  <si>
    <t>Shrichand</t>
  </si>
  <si>
    <t>Punjab</t>
  </si>
  <si>
    <t>Chandigarh</t>
  </si>
  <si>
    <t>B-25613</t>
  </si>
  <si>
    <t>Mukesh</t>
  </si>
  <si>
    <t>Haryana</t>
  </si>
  <si>
    <t>B-25614</t>
  </si>
  <si>
    <t>Vandana</t>
  </si>
  <si>
    <t>Himachal Pradesh</t>
  </si>
  <si>
    <t>Simla</t>
  </si>
  <si>
    <t>B-25615</t>
  </si>
  <si>
    <t>Bhavna</t>
  </si>
  <si>
    <t>Sikkim</t>
  </si>
  <si>
    <t>Gangtok</t>
  </si>
  <si>
    <t>B-25616</t>
  </si>
  <si>
    <t>Kanak</t>
  </si>
  <si>
    <t>Goa</t>
  </si>
  <si>
    <t>B-25617</t>
  </si>
  <si>
    <t>Sagar</t>
  </si>
  <si>
    <t>Nagaland</t>
  </si>
  <si>
    <t>Kohima</t>
  </si>
  <si>
    <t>B-25618</t>
  </si>
  <si>
    <t>Manju</t>
  </si>
  <si>
    <t>Andhra Pradesh</t>
  </si>
  <si>
    <t>Hyderabad</t>
  </si>
  <si>
    <t>B-25619</t>
  </si>
  <si>
    <t>Ramesh</t>
  </si>
  <si>
    <t>B-25620</t>
  </si>
  <si>
    <t>Sarita</t>
  </si>
  <si>
    <t>B-25621</t>
  </si>
  <si>
    <t>Deepak</t>
  </si>
  <si>
    <t>B-25622</t>
  </si>
  <si>
    <t>Monisha</t>
  </si>
  <si>
    <t>B-25623</t>
  </si>
  <si>
    <t>Atharv</t>
  </si>
  <si>
    <t>B-25624</t>
  </si>
  <si>
    <t>Vini</t>
  </si>
  <si>
    <t>B-25625</t>
  </si>
  <si>
    <t>Pinky</t>
  </si>
  <si>
    <t>B-25626</t>
  </si>
  <si>
    <t>Bhishm</t>
  </si>
  <si>
    <t>Mumbai</t>
  </si>
  <si>
    <t>B-25627</t>
  </si>
  <si>
    <t>Hitika</t>
  </si>
  <si>
    <t>Indore</t>
  </si>
  <si>
    <t>B-25628</t>
  </si>
  <si>
    <t>Pooja</t>
  </si>
  <si>
    <t>B-25629</t>
  </si>
  <si>
    <t>Hemant</t>
  </si>
  <si>
    <t>B-25630</t>
  </si>
  <si>
    <t>Sahil</t>
  </si>
  <si>
    <t>B-25631</t>
  </si>
  <si>
    <t>Ritu</t>
  </si>
  <si>
    <t>B-25632</t>
  </si>
  <si>
    <t>Manish</t>
  </si>
  <si>
    <t>B-25633</t>
  </si>
  <si>
    <t>Amit</t>
  </si>
  <si>
    <t>B-25634</t>
  </si>
  <si>
    <t>Sanjay</t>
  </si>
  <si>
    <t>B-25635</t>
  </si>
  <si>
    <t>Nidhi</t>
  </si>
  <si>
    <t>B-25636</t>
  </si>
  <si>
    <t>Nishi</t>
  </si>
  <si>
    <t>B-25637</t>
  </si>
  <si>
    <t>Ashmi</t>
  </si>
  <si>
    <t>B-25638</t>
  </si>
  <si>
    <t>Parth</t>
  </si>
  <si>
    <t>B-25639</t>
  </si>
  <si>
    <t>Lisha</t>
  </si>
  <si>
    <t>B-25640</t>
  </si>
  <si>
    <t>Paridhi</t>
  </si>
  <si>
    <t>B-25641</t>
  </si>
  <si>
    <t>Parishi</t>
  </si>
  <si>
    <t>B-25642</t>
  </si>
  <si>
    <t>Ajay</t>
  </si>
  <si>
    <t>B-25643</t>
  </si>
  <si>
    <t>Kirti</t>
  </si>
  <si>
    <t>B-25644</t>
  </si>
  <si>
    <t>Mayank</t>
  </si>
  <si>
    <t>B-25645</t>
  </si>
  <si>
    <t>Yaanvi</t>
  </si>
  <si>
    <t>B-25646</t>
  </si>
  <si>
    <t>Sonal</t>
  </si>
  <si>
    <t>B-25647</t>
  </si>
  <si>
    <t>Sharda</t>
  </si>
  <si>
    <t>B-25648</t>
  </si>
  <si>
    <t>Aditya</t>
  </si>
  <si>
    <t>B-25649</t>
  </si>
  <si>
    <t>Rachna</t>
  </si>
  <si>
    <t>B-25650</t>
  </si>
  <si>
    <t>Chirag</t>
  </si>
  <si>
    <t>B-25651</t>
  </si>
  <si>
    <t>Anurag</t>
  </si>
  <si>
    <t>B-25652</t>
  </si>
  <si>
    <t>Tushina</t>
  </si>
  <si>
    <t>B-25653</t>
  </si>
  <si>
    <t>Farah</t>
  </si>
  <si>
    <t>B-25654</t>
  </si>
  <si>
    <t>Sabah</t>
  </si>
  <si>
    <t>B-25655</t>
  </si>
  <si>
    <t>Nida</t>
  </si>
  <si>
    <t>B-25656</t>
  </si>
  <si>
    <t>Priyanka</t>
  </si>
  <si>
    <t>B-25657</t>
  </si>
  <si>
    <t>Tulika</t>
  </si>
  <si>
    <t>B-25658</t>
  </si>
  <si>
    <t>Shefali</t>
  </si>
  <si>
    <t>B-25659</t>
  </si>
  <si>
    <t>Sanskriti</t>
  </si>
  <si>
    <t>B-25660</t>
  </si>
  <si>
    <t>Shruti</t>
  </si>
  <si>
    <t>B-25661</t>
  </si>
  <si>
    <t>Subhashree</t>
  </si>
  <si>
    <t>B-25662</t>
  </si>
  <si>
    <t>Sweta</t>
  </si>
  <si>
    <t>B-25663</t>
  </si>
  <si>
    <t>Pournamasi</t>
  </si>
  <si>
    <t>B-25664</t>
  </si>
  <si>
    <t>Pratyusmita</t>
  </si>
  <si>
    <t>B-25665</t>
  </si>
  <si>
    <t>Chayanika</t>
  </si>
  <si>
    <t>B-25666</t>
  </si>
  <si>
    <t>Tanvi</t>
  </si>
  <si>
    <t>B-25667</t>
  </si>
  <si>
    <t>Anjali</t>
  </si>
  <si>
    <t>B-25668</t>
  </si>
  <si>
    <t>Rhea</t>
  </si>
  <si>
    <t>B-25669</t>
  </si>
  <si>
    <t>Piyali</t>
  </si>
  <si>
    <t>B-25670</t>
  </si>
  <si>
    <t>Charika</t>
  </si>
  <si>
    <t>B-25671</t>
  </si>
  <si>
    <t>Mitali</t>
  </si>
  <si>
    <t>B-25672</t>
  </si>
  <si>
    <t>Akanksha</t>
  </si>
  <si>
    <t>B-25673</t>
  </si>
  <si>
    <t>Arsheen</t>
  </si>
  <si>
    <t>B-25674</t>
  </si>
  <si>
    <t>Mahima</t>
  </si>
  <si>
    <t>B-25675</t>
  </si>
  <si>
    <t>Shreya</t>
  </si>
  <si>
    <t>B-25676</t>
  </si>
  <si>
    <t>Chandni</t>
  </si>
  <si>
    <t>B-25677</t>
  </si>
  <si>
    <t>Ekta</t>
  </si>
  <si>
    <t>B-25678</t>
  </si>
  <si>
    <t>Bathina</t>
  </si>
  <si>
    <t>B-25679</t>
  </si>
  <si>
    <t>Avni</t>
  </si>
  <si>
    <t>B-25680</t>
  </si>
  <si>
    <t>Aayushi</t>
  </si>
  <si>
    <t>B-25681</t>
  </si>
  <si>
    <t>Bhawna</t>
  </si>
  <si>
    <t>B-25682</t>
  </si>
  <si>
    <t>Krutika</t>
  </si>
  <si>
    <t>B-25683</t>
  </si>
  <si>
    <t>B-25684</t>
  </si>
  <si>
    <t>Samiksha</t>
  </si>
  <si>
    <t>B-25685</t>
  </si>
  <si>
    <t>Sheetal</t>
  </si>
  <si>
    <t>B-25686</t>
  </si>
  <si>
    <t>B-25687</t>
  </si>
  <si>
    <t>Sanjna</t>
  </si>
  <si>
    <t>B-25688</t>
  </si>
  <si>
    <t>Swetha</t>
  </si>
  <si>
    <t>B-25689</t>
  </si>
  <si>
    <t>Bhaggyasree</t>
  </si>
  <si>
    <t>B-25690</t>
  </si>
  <si>
    <t>Gunjan</t>
  </si>
  <si>
    <t>B-25691</t>
  </si>
  <si>
    <t>Akancha</t>
  </si>
  <si>
    <t>B-25692</t>
  </si>
  <si>
    <t>Rashmi</t>
  </si>
  <si>
    <t>B-25693</t>
  </si>
  <si>
    <t>Parna</t>
  </si>
  <si>
    <t>B-25694</t>
  </si>
  <si>
    <t>Subhasmita</t>
  </si>
  <si>
    <t>B-25695</t>
  </si>
  <si>
    <t>Suhani</t>
  </si>
  <si>
    <t>B-25696</t>
  </si>
  <si>
    <t>Noopur</t>
  </si>
  <si>
    <t>B-25697</t>
  </si>
  <si>
    <t>Vijay</t>
  </si>
  <si>
    <t>B-25698</t>
  </si>
  <si>
    <t>Amisha</t>
  </si>
  <si>
    <t>B-25699</t>
  </si>
  <si>
    <t>Kritika</t>
  </si>
  <si>
    <t>B-25700</t>
  </si>
  <si>
    <t>Shubhi</t>
  </si>
  <si>
    <t>B-25701</t>
  </si>
  <si>
    <t>Maithilee</t>
  </si>
  <si>
    <t>B-25702</t>
  </si>
  <si>
    <t>Shaily</t>
  </si>
  <si>
    <t>B-25703</t>
  </si>
  <si>
    <t>B-25704</t>
  </si>
  <si>
    <t>Riya</t>
  </si>
  <si>
    <t>B-25705</t>
  </si>
  <si>
    <t>Shweta</t>
  </si>
  <si>
    <t>B-25706</t>
  </si>
  <si>
    <t>Swetlana</t>
  </si>
  <si>
    <t>B-25707</t>
  </si>
  <si>
    <t>Shivani</t>
  </si>
  <si>
    <t>B-25708</t>
  </si>
  <si>
    <t>Kishwar</t>
  </si>
  <si>
    <t>B-25709</t>
  </si>
  <si>
    <t>Aakanksha</t>
  </si>
  <si>
    <t>B-25710</t>
  </si>
  <si>
    <t>Megha</t>
  </si>
  <si>
    <t>B-25711</t>
  </si>
  <si>
    <t>Sakshi</t>
  </si>
  <si>
    <t>B-25712</t>
  </si>
  <si>
    <t>Adhvaita</t>
  </si>
  <si>
    <t>B-25713</t>
  </si>
  <si>
    <t>Raksha</t>
  </si>
  <si>
    <t>B-25714</t>
  </si>
  <si>
    <t>Stuti</t>
  </si>
  <si>
    <t>B-25715</t>
  </si>
  <si>
    <t>Srishti</t>
  </si>
  <si>
    <t>B-25716</t>
  </si>
  <si>
    <t>Surabhi</t>
  </si>
  <si>
    <t>B-25717</t>
  </si>
  <si>
    <t>Manshul</t>
  </si>
  <si>
    <t>B-25718</t>
  </si>
  <si>
    <t>B-25719</t>
  </si>
  <si>
    <t>B-25720</t>
  </si>
  <si>
    <t>Namrata</t>
  </si>
  <si>
    <t>B-25721</t>
  </si>
  <si>
    <t>Anchal</t>
  </si>
  <si>
    <t>B-25722</t>
  </si>
  <si>
    <t>Inderpreet</t>
  </si>
  <si>
    <t>B-25723</t>
  </si>
  <si>
    <t>Wale</t>
  </si>
  <si>
    <t>B-25724</t>
  </si>
  <si>
    <t>B-25725</t>
  </si>
  <si>
    <t>Anisha</t>
  </si>
  <si>
    <t>B-25726</t>
  </si>
  <si>
    <t>Kiran</t>
  </si>
  <si>
    <t>B-25727</t>
  </si>
  <si>
    <t>Turumella</t>
  </si>
  <si>
    <t>B-25728</t>
  </si>
  <si>
    <t>Ameesha</t>
  </si>
  <si>
    <t>B-25729</t>
  </si>
  <si>
    <t>Madhulika</t>
  </si>
  <si>
    <t>B-25730</t>
  </si>
  <si>
    <t>Rishabh</t>
  </si>
  <si>
    <t>B-25731</t>
  </si>
  <si>
    <t>Akash</t>
  </si>
  <si>
    <t>B-25732</t>
  </si>
  <si>
    <t>Anubhaw</t>
  </si>
  <si>
    <t>B-25733</t>
  </si>
  <si>
    <t>Dhirajendu</t>
  </si>
  <si>
    <t>B-25734</t>
  </si>
  <si>
    <t>Pranav</t>
  </si>
  <si>
    <t>B-25735</t>
  </si>
  <si>
    <t>Arindam</t>
  </si>
  <si>
    <t>B-25736</t>
  </si>
  <si>
    <t>Akshat</t>
  </si>
  <si>
    <t>B-25737</t>
  </si>
  <si>
    <t>Shubham</t>
  </si>
  <si>
    <t>B-25738</t>
  </si>
  <si>
    <t>Ayush</t>
  </si>
  <si>
    <t>B-25739</t>
  </si>
  <si>
    <t>Daksh</t>
  </si>
  <si>
    <t>B-25740</t>
  </si>
  <si>
    <t>Rane</t>
  </si>
  <si>
    <t>B-25741</t>
  </si>
  <si>
    <t>Navdeep</t>
  </si>
  <si>
    <t>B-25742</t>
  </si>
  <si>
    <t>Ashwin</t>
  </si>
  <si>
    <t>B-25743</t>
  </si>
  <si>
    <t>Aman</t>
  </si>
  <si>
    <t>B-25744</t>
  </si>
  <si>
    <t>Devendra</t>
  </si>
  <si>
    <t>B-25745</t>
  </si>
  <si>
    <t>Kartik</t>
  </si>
  <si>
    <t>B-25746</t>
  </si>
  <si>
    <t>Shivam</t>
  </si>
  <si>
    <t>B-25747</t>
  </si>
  <si>
    <t>Harsh</t>
  </si>
  <si>
    <t>B-25748</t>
  </si>
  <si>
    <t>Nitant</t>
  </si>
  <si>
    <t>B-25749</t>
  </si>
  <si>
    <t>B-25750</t>
  </si>
  <si>
    <t>Priyanshu</t>
  </si>
  <si>
    <t>B-25751</t>
  </si>
  <si>
    <t>Nishant</t>
  </si>
  <si>
    <t>B-25752</t>
  </si>
  <si>
    <t>Vaibhav</t>
  </si>
  <si>
    <t>B-25753</t>
  </si>
  <si>
    <t>B-25754</t>
  </si>
  <si>
    <t>Akshay</t>
  </si>
  <si>
    <t>B-25755</t>
  </si>
  <si>
    <t>Shourya</t>
  </si>
  <si>
    <t>B-25756</t>
  </si>
  <si>
    <t>Mohan</t>
  </si>
  <si>
    <t>B-25757</t>
  </si>
  <si>
    <t>Mohit</t>
  </si>
  <si>
    <t>B-25758</t>
  </si>
  <si>
    <t>B-25759</t>
  </si>
  <si>
    <t>Soumya</t>
  </si>
  <si>
    <t>B-25760</t>
  </si>
  <si>
    <t>B-25761</t>
  </si>
  <si>
    <t>B-25762</t>
  </si>
  <si>
    <t>Anudeep</t>
  </si>
  <si>
    <t>B-25763</t>
  </si>
  <si>
    <t>Noshiba</t>
  </si>
  <si>
    <t>B-25764</t>
  </si>
  <si>
    <t>Sanjova</t>
  </si>
  <si>
    <t>B-25765</t>
  </si>
  <si>
    <t>Meghana</t>
  </si>
  <si>
    <t>B-25766</t>
  </si>
  <si>
    <t>B-25767</t>
  </si>
  <si>
    <t>Ashmeet</t>
  </si>
  <si>
    <t>B-25768</t>
  </si>
  <si>
    <t>Shreyoshe</t>
  </si>
  <si>
    <t>B-25769</t>
  </si>
  <si>
    <t>Surbhi</t>
  </si>
  <si>
    <t>B-25770</t>
  </si>
  <si>
    <t>B-25771</t>
  </si>
  <si>
    <t>Vaibhavi</t>
  </si>
  <si>
    <t>B-25772</t>
  </si>
  <si>
    <t>Sanjana</t>
  </si>
  <si>
    <t>B-25773</t>
  </si>
  <si>
    <t>B-25774</t>
  </si>
  <si>
    <t>Snehal</t>
  </si>
  <si>
    <t>B-25775</t>
  </si>
  <si>
    <t>Duhita</t>
  </si>
  <si>
    <t>B-25776</t>
  </si>
  <si>
    <t>Mousam</t>
  </si>
  <si>
    <t>B-25777</t>
  </si>
  <si>
    <t>Aditi</t>
  </si>
  <si>
    <t>B-25778</t>
  </si>
  <si>
    <t>B-25779</t>
  </si>
  <si>
    <t>Savi</t>
  </si>
  <si>
    <t>B-25780</t>
  </si>
  <si>
    <t>Teena</t>
  </si>
  <si>
    <t>B-25781</t>
  </si>
  <si>
    <t>Rutuja</t>
  </si>
  <si>
    <t>B-25782</t>
  </si>
  <si>
    <t>B-25783</t>
  </si>
  <si>
    <t>Shivangi</t>
  </si>
  <si>
    <t>B-25784</t>
  </si>
  <si>
    <t>Rohit</t>
  </si>
  <si>
    <t>B-25785</t>
  </si>
  <si>
    <t>B-25786</t>
  </si>
  <si>
    <t>Abhishek</t>
  </si>
  <si>
    <t>B-25787</t>
  </si>
  <si>
    <t>Asish</t>
  </si>
  <si>
    <t>B-25788</t>
  </si>
  <si>
    <t>Dinesh</t>
  </si>
  <si>
    <t>B-25789</t>
  </si>
  <si>
    <t>B-25790</t>
  </si>
  <si>
    <t>Sajal</t>
  </si>
  <si>
    <t>B-25791</t>
  </si>
  <si>
    <t>Avish</t>
  </si>
  <si>
    <t>B-25792</t>
  </si>
  <si>
    <t>B-25793</t>
  </si>
  <si>
    <t>Siddharth</t>
  </si>
  <si>
    <t>B-25794</t>
  </si>
  <si>
    <t>B-25795</t>
  </si>
  <si>
    <t>Sukant</t>
  </si>
  <si>
    <t>B-25796</t>
  </si>
  <si>
    <t>Sukrith</t>
  </si>
  <si>
    <t>B-25797</t>
  </si>
  <si>
    <t>Sauptik</t>
  </si>
  <si>
    <t>B-25798</t>
  </si>
  <si>
    <t>Shishu</t>
  </si>
  <si>
    <t>B-25799</t>
  </si>
  <si>
    <t>Divyansh</t>
  </si>
  <si>
    <t>B-25800</t>
  </si>
  <si>
    <t>Ishit</t>
  </si>
  <si>
    <t>B-25801</t>
  </si>
  <si>
    <t>Aryan</t>
  </si>
  <si>
    <t>B-25802</t>
  </si>
  <si>
    <t>Yash</t>
  </si>
  <si>
    <t>B-25803</t>
  </si>
  <si>
    <t>Shivanshu</t>
  </si>
  <si>
    <t>B-25804</t>
  </si>
  <si>
    <t>Sudheer</t>
  </si>
  <si>
    <t>B-25805</t>
  </si>
  <si>
    <t>Ankit</t>
  </si>
  <si>
    <t>B-25806</t>
  </si>
  <si>
    <t>Dhanraj</t>
  </si>
  <si>
    <t>B-25807</t>
  </si>
  <si>
    <t>Vipul</t>
  </si>
  <si>
    <t>B-25808</t>
  </si>
  <si>
    <t>Apsingekar</t>
  </si>
  <si>
    <t>B-25809</t>
  </si>
  <si>
    <t>Suman</t>
  </si>
  <si>
    <t>B-25810</t>
  </si>
  <si>
    <t>Nripraj</t>
  </si>
  <si>
    <t>B-25811</t>
  </si>
  <si>
    <t>Utsav</t>
  </si>
  <si>
    <t>B-25812</t>
  </si>
  <si>
    <t>Kshitij</t>
  </si>
  <si>
    <t>B-25813</t>
  </si>
  <si>
    <t>Hrisheekesh</t>
  </si>
  <si>
    <t>B-25814</t>
  </si>
  <si>
    <t>Swapnil</t>
  </si>
  <si>
    <t>B-25815</t>
  </si>
  <si>
    <t>B-25816</t>
  </si>
  <si>
    <t>Mane</t>
  </si>
  <si>
    <t>B-25817</t>
  </si>
  <si>
    <t>Praneet</t>
  </si>
  <si>
    <t>B-25818</t>
  </si>
  <si>
    <t>Sandeep</t>
  </si>
  <si>
    <t>B-25819</t>
  </si>
  <si>
    <t>Ankur</t>
  </si>
  <si>
    <t>B-25820</t>
  </si>
  <si>
    <t>Dheeraj</t>
  </si>
  <si>
    <t>B-25821</t>
  </si>
  <si>
    <t>B-25822</t>
  </si>
  <si>
    <t>Tejas</t>
  </si>
  <si>
    <t>B-25823</t>
  </si>
  <si>
    <t>Rohan</t>
  </si>
  <si>
    <t>B-25824</t>
  </si>
  <si>
    <t>Shyam</t>
  </si>
  <si>
    <t>B-25825</t>
  </si>
  <si>
    <t>B-25826</t>
  </si>
  <si>
    <t>Tanushree</t>
  </si>
  <si>
    <t>B-25827</t>
  </si>
  <si>
    <t>B-25828</t>
  </si>
  <si>
    <t>Nikita</t>
  </si>
  <si>
    <t>B-25829</t>
  </si>
  <si>
    <t>Apoorva</t>
  </si>
  <si>
    <t>B-25830</t>
  </si>
  <si>
    <t>Aastha</t>
  </si>
  <si>
    <t>B-25831</t>
  </si>
  <si>
    <t>B-25832</t>
  </si>
  <si>
    <t>Harshita</t>
  </si>
  <si>
    <t>B-25833</t>
  </si>
  <si>
    <t>Krishna</t>
  </si>
  <si>
    <t>B-25834</t>
  </si>
  <si>
    <t>Ananya</t>
  </si>
  <si>
    <t>B-25835</t>
  </si>
  <si>
    <t>Moumita</t>
  </si>
  <si>
    <t>B-25836</t>
  </si>
  <si>
    <t>Arti</t>
  </si>
  <si>
    <t>B-25837</t>
  </si>
  <si>
    <t>Palak</t>
  </si>
  <si>
    <t>B-25838</t>
  </si>
  <si>
    <t>B-25839</t>
  </si>
  <si>
    <t>Pranjali</t>
  </si>
  <si>
    <t>B-25840</t>
  </si>
  <si>
    <t>Sneha</t>
  </si>
  <si>
    <t>B-25841</t>
  </si>
  <si>
    <t>Ashvini</t>
  </si>
  <si>
    <t>B-25842</t>
  </si>
  <si>
    <t>B-25843</t>
  </si>
  <si>
    <t>Mrunal</t>
  </si>
  <si>
    <t>B-25844</t>
  </si>
  <si>
    <t>Swati</t>
  </si>
  <si>
    <t>B-25845</t>
  </si>
  <si>
    <t>Snel</t>
  </si>
  <si>
    <t>B-25846</t>
  </si>
  <si>
    <t>Soodesh</t>
  </si>
  <si>
    <t>B-25847</t>
  </si>
  <si>
    <t>Aniket</t>
  </si>
  <si>
    <t>B-25848</t>
  </si>
  <si>
    <t>B-25849</t>
  </si>
  <si>
    <t>K</t>
  </si>
  <si>
    <t>B-25850</t>
  </si>
  <si>
    <t>B-25851</t>
  </si>
  <si>
    <t>Kushal</t>
  </si>
  <si>
    <t>B-25852</t>
  </si>
  <si>
    <t>Soumyabrata</t>
  </si>
  <si>
    <t>B-25853</t>
  </si>
  <si>
    <t>Gaurav</t>
  </si>
  <si>
    <t>B-25854</t>
  </si>
  <si>
    <t>B-25855</t>
  </si>
  <si>
    <t>Abhijeet</t>
  </si>
  <si>
    <t>B-25856</t>
  </si>
  <si>
    <t>B-25857</t>
  </si>
  <si>
    <t>Anand</t>
  </si>
  <si>
    <t>B-25858</t>
  </si>
  <si>
    <t>B-25859</t>
  </si>
  <si>
    <t>Chikku</t>
  </si>
  <si>
    <t>B-25860</t>
  </si>
  <si>
    <t>B-25861</t>
  </si>
  <si>
    <t>Aayush</t>
  </si>
  <si>
    <t>B-25862</t>
  </si>
  <si>
    <t>Amol</t>
  </si>
  <si>
    <t>B-25863</t>
  </si>
  <si>
    <t>Manibalan</t>
  </si>
  <si>
    <t>B-25864</t>
  </si>
  <si>
    <t>Aromal</t>
  </si>
  <si>
    <t>B-25865</t>
  </si>
  <si>
    <t>Arun</t>
  </si>
  <si>
    <t>B-25866</t>
  </si>
  <si>
    <t>Komal</t>
  </si>
  <si>
    <t>B-25867</t>
  </si>
  <si>
    <t>B-25868</t>
  </si>
  <si>
    <t>Vikash</t>
  </si>
  <si>
    <t>B-25869</t>
  </si>
  <si>
    <t>Parakh</t>
  </si>
  <si>
    <t>B-25870</t>
  </si>
  <si>
    <t>B-25871</t>
  </si>
  <si>
    <t>Gunjal</t>
  </si>
  <si>
    <t>Surat</t>
  </si>
  <si>
    <t>B-25872</t>
  </si>
  <si>
    <t>Saurabh</t>
  </si>
  <si>
    <t>B-25873</t>
  </si>
  <si>
    <t>Divyeta</t>
  </si>
  <si>
    <t>B-25874</t>
  </si>
  <si>
    <t>Udaipur</t>
  </si>
  <si>
    <t>B-25875</t>
  </si>
  <si>
    <t>Divyeshkumar</t>
  </si>
  <si>
    <t>Allahabad</t>
  </si>
  <si>
    <t>B-25876</t>
  </si>
  <si>
    <t>Bhosale</t>
  </si>
  <si>
    <t>Amritsar</t>
  </si>
  <si>
    <t>B-25877</t>
  </si>
  <si>
    <t>Dashyam</t>
  </si>
  <si>
    <t>B-25878</t>
  </si>
  <si>
    <t>Mrinal</t>
  </si>
  <si>
    <t>B-25879</t>
  </si>
  <si>
    <t>B-25880</t>
  </si>
  <si>
    <t>Apoorv</t>
  </si>
  <si>
    <t>B-25881</t>
  </si>
  <si>
    <t>B-25882</t>
  </si>
  <si>
    <t>Masurkar</t>
  </si>
  <si>
    <t>B-25883</t>
  </si>
  <si>
    <t>Saptadeep</t>
  </si>
  <si>
    <t>B-25884</t>
  </si>
  <si>
    <t>Sumeet</t>
  </si>
  <si>
    <t>B-25885</t>
  </si>
  <si>
    <t>Shatayu</t>
  </si>
  <si>
    <t>B-25886</t>
  </si>
  <si>
    <t>Brijesh</t>
  </si>
  <si>
    <t>B-25887</t>
  </si>
  <si>
    <t>Vedant</t>
  </si>
  <si>
    <t>B-25888</t>
  </si>
  <si>
    <t>B-25889</t>
  </si>
  <si>
    <t>B-25890</t>
  </si>
  <si>
    <t>Divyansha</t>
  </si>
  <si>
    <t>B-25891</t>
  </si>
  <si>
    <t>B-25892</t>
  </si>
  <si>
    <t>B-25893</t>
  </si>
  <si>
    <t>Aashna</t>
  </si>
  <si>
    <t>B-25894</t>
  </si>
  <si>
    <t>Monu</t>
  </si>
  <si>
    <t>B-25895</t>
  </si>
  <si>
    <t>Sathya</t>
  </si>
  <si>
    <t>B-25896</t>
  </si>
  <si>
    <t>B-25897</t>
  </si>
  <si>
    <t>B-25898</t>
  </si>
  <si>
    <t>B-25899</t>
  </si>
  <si>
    <t>Aishwarya</t>
  </si>
  <si>
    <t>B-25900</t>
  </si>
  <si>
    <t>B-25901</t>
  </si>
  <si>
    <t>Suraj</t>
  </si>
  <si>
    <t>B-25902</t>
  </si>
  <si>
    <t>Ishpreet</t>
  </si>
  <si>
    <t>B-25903</t>
  </si>
  <si>
    <t>Amlan</t>
  </si>
  <si>
    <t>B-25904</t>
  </si>
  <si>
    <t>Delhi</t>
  </si>
  <si>
    <t>B-25905</t>
  </si>
  <si>
    <t>Bhargav</t>
  </si>
  <si>
    <t>B-25906</t>
  </si>
  <si>
    <t>Abhijit</t>
  </si>
  <si>
    <t>B-25907</t>
  </si>
  <si>
    <t>Jaydeep</t>
  </si>
  <si>
    <t>B-25908</t>
  </si>
  <si>
    <t>Pradeep</t>
  </si>
  <si>
    <t>B-25909</t>
  </si>
  <si>
    <t>Sujay</t>
  </si>
  <si>
    <t>B-25910</t>
  </si>
  <si>
    <t>Jay</t>
  </si>
  <si>
    <t>B-25911</t>
  </si>
  <si>
    <t>Phalguni</t>
  </si>
  <si>
    <t>B-25912</t>
  </si>
  <si>
    <t>Preksha</t>
  </si>
  <si>
    <t>B-25913</t>
  </si>
  <si>
    <t>Geetanjali</t>
  </si>
  <si>
    <t>B-25914</t>
  </si>
  <si>
    <t>Kajal</t>
  </si>
  <si>
    <t>B-25915</t>
  </si>
  <si>
    <t>Sukruta</t>
  </si>
  <si>
    <t>B-25916</t>
  </si>
  <si>
    <t>Utkarsh</t>
  </si>
  <si>
    <t>B-25917</t>
  </si>
  <si>
    <t>B-25918</t>
  </si>
  <si>
    <t>Karandeep</t>
  </si>
  <si>
    <t>B-25919</t>
  </si>
  <si>
    <t>Neha</t>
  </si>
  <si>
    <t>B-25920</t>
  </si>
  <si>
    <t>Jayanti</t>
  </si>
  <si>
    <t>B-25921</t>
  </si>
  <si>
    <t>Sandra</t>
  </si>
  <si>
    <t>B-25922</t>
  </si>
  <si>
    <t>Akshata</t>
  </si>
  <si>
    <t>B-25923</t>
  </si>
  <si>
    <t>Vishakha</t>
  </si>
  <si>
    <t>B-25924</t>
  </si>
  <si>
    <t>Prajakta</t>
  </si>
  <si>
    <t>B-25925</t>
  </si>
  <si>
    <t>B-25926</t>
  </si>
  <si>
    <t>Dipali</t>
  </si>
  <si>
    <t>B-25927</t>
  </si>
  <si>
    <t>B-25928</t>
  </si>
  <si>
    <t>Smriti</t>
  </si>
  <si>
    <t>B-25929</t>
  </si>
  <si>
    <t>Girase</t>
  </si>
  <si>
    <t>B-25930</t>
  </si>
  <si>
    <t>Monica</t>
  </si>
  <si>
    <t>B-25931</t>
  </si>
  <si>
    <t>Sidharth</t>
  </si>
  <si>
    <t>B-25932</t>
  </si>
  <si>
    <t>Bhutekar</t>
  </si>
  <si>
    <t>B-25933</t>
  </si>
  <si>
    <t>Shikhar</t>
  </si>
  <si>
    <t>B-25934</t>
  </si>
  <si>
    <t>Rahul</t>
  </si>
  <si>
    <t>B-25935</t>
  </si>
  <si>
    <t>Sudhir</t>
  </si>
  <si>
    <t>B-25936</t>
  </si>
  <si>
    <t>Nikhil</t>
  </si>
  <si>
    <t>B-25937</t>
  </si>
  <si>
    <t>B-25938</t>
  </si>
  <si>
    <t>B-25939</t>
  </si>
  <si>
    <t>Vineet</t>
  </si>
  <si>
    <t>B-25940</t>
  </si>
  <si>
    <t>Vivek</t>
  </si>
  <si>
    <t>B-25941</t>
  </si>
  <si>
    <t>Jaideep</t>
  </si>
  <si>
    <t>B-25942</t>
  </si>
  <si>
    <t>B-25943</t>
  </si>
  <si>
    <t>Shardul</t>
  </si>
  <si>
    <t>B-25944</t>
  </si>
  <si>
    <t>Syed</t>
  </si>
  <si>
    <t>B-25945</t>
  </si>
  <si>
    <t>Mhatre</t>
  </si>
  <si>
    <t>B-25946</t>
  </si>
  <si>
    <t>B-25947</t>
  </si>
  <si>
    <t>Chetan</t>
  </si>
  <si>
    <t>B-25948</t>
  </si>
  <si>
    <t>Mukund</t>
  </si>
  <si>
    <t>B-25949</t>
  </si>
  <si>
    <t>Shantanu</t>
  </si>
  <si>
    <t>B-25950</t>
  </si>
  <si>
    <t>B-25951</t>
  </si>
  <si>
    <t>Jesal</t>
  </si>
  <si>
    <t>B-25952</t>
  </si>
  <si>
    <t>B-25953</t>
  </si>
  <si>
    <t>B-25954</t>
  </si>
  <si>
    <t>Trupti</t>
  </si>
  <si>
    <t>B-25955</t>
  </si>
  <si>
    <t>B-25956</t>
  </si>
  <si>
    <t>B-25957</t>
  </si>
  <si>
    <t>B-25958</t>
  </si>
  <si>
    <t>Aparajita</t>
  </si>
  <si>
    <t>B-25959</t>
  </si>
  <si>
    <t>Muskan</t>
  </si>
  <si>
    <t>B-25960</t>
  </si>
  <si>
    <t>B-25961</t>
  </si>
  <si>
    <t>B-25962</t>
  </si>
  <si>
    <t>Tejeswini</t>
  </si>
  <si>
    <t>B-25963</t>
  </si>
  <si>
    <t>Pratiksha</t>
  </si>
  <si>
    <t>B-25964</t>
  </si>
  <si>
    <t>Oshin</t>
  </si>
  <si>
    <t>B-25965</t>
  </si>
  <si>
    <t>Saloni</t>
  </si>
  <si>
    <t>B-25966</t>
  </si>
  <si>
    <t>B-25967</t>
  </si>
  <si>
    <t>B-25968</t>
  </si>
  <si>
    <t>Paromita</t>
  </si>
  <si>
    <t>B-25969</t>
  </si>
  <si>
    <t>Shreyshi</t>
  </si>
  <si>
    <t>B-25970</t>
  </si>
  <si>
    <t>B-25971</t>
  </si>
  <si>
    <t>B-25972</t>
  </si>
  <si>
    <t>Jesslyn</t>
  </si>
  <si>
    <t>B-25973</t>
  </si>
  <si>
    <t>Seema</t>
  </si>
  <si>
    <t>B-25974</t>
  </si>
  <si>
    <t>Manisha</t>
  </si>
  <si>
    <t>B-25975</t>
  </si>
  <si>
    <t>B-25976</t>
  </si>
  <si>
    <t>Piyam</t>
  </si>
  <si>
    <t>B-25977</t>
  </si>
  <si>
    <t>B-25978</t>
  </si>
  <si>
    <t>Parin</t>
  </si>
  <si>
    <t>B-25979</t>
  </si>
  <si>
    <t>B-25980</t>
  </si>
  <si>
    <t>B-25981</t>
  </si>
  <si>
    <t>Amruta</t>
  </si>
  <si>
    <t>B-25982</t>
  </si>
  <si>
    <t>Hemangi</t>
  </si>
  <si>
    <t>B-25983</t>
  </si>
  <si>
    <t>Atul</t>
  </si>
  <si>
    <t>B-25984</t>
  </si>
  <si>
    <t>B-25985</t>
  </si>
  <si>
    <t>Ginny</t>
  </si>
  <si>
    <t>B-25986</t>
  </si>
  <si>
    <t>B-25987</t>
  </si>
  <si>
    <t>Manjiri</t>
  </si>
  <si>
    <t>B-25988</t>
  </si>
  <si>
    <t>Nirja</t>
  </si>
  <si>
    <t>B-25989</t>
  </si>
  <si>
    <t>B-25990</t>
  </si>
  <si>
    <t>Mugdha</t>
  </si>
  <si>
    <t>B-25991</t>
  </si>
  <si>
    <t>Mansi</t>
  </si>
  <si>
    <t>B-25992</t>
  </si>
  <si>
    <t>B-25993</t>
  </si>
  <si>
    <t>Harshal</t>
  </si>
  <si>
    <t>B-25994</t>
  </si>
  <si>
    <t>Omkar</t>
  </si>
  <si>
    <t>B-25995</t>
  </si>
  <si>
    <t>Yohann</t>
  </si>
  <si>
    <t>B-25996</t>
  </si>
  <si>
    <t>Prashant</t>
  </si>
  <si>
    <t>B-25997</t>
  </si>
  <si>
    <t>B-25998</t>
  </si>
  <si>
    <t>Anmol</t>
  </si>
  <si>
    <t>B-25999</t>
  </si>
  <si>
    <t>Diwakar</t>
  </si>
  <si>
    <t>B-26000</t>
  </si>
  <si>
    <t>B-26001</t>
  </si>
  <si>
    <t>Patil</t>
  </si>
  <si>
    <t>B-26002</t>
  </si>
  <si>
    <t>B-26003</t>
  </si>
  <si>
    <t>Hitesh</t>
  </si>
  <si>
    <t>B-26004</t>
  </si>
  <si>
    <t>Nandita</t>
  </si>
  <si>
    <t>B-26005</t>
  </si>
  <si>
    <t>Parnavi</t>
  </si>
  <si>
    <t>B-26006</t>
  </si>
  <si>
    <t>Arpita</t>
  </si>
  <si>
    <t>B-26007</t>
  </si>
  <si>
    <t>B-26008</t>
  </si>
  <si>
    <t>Kalyani</t>
  </si>
  <si>
    <t>B-26009</t>
  </si>
  <si>
    <t>B-26010</t>
  </si>
  <si>
    <t>Kartikay</t>
  </si>
  <si>
    <t>B-26011</t>
  </si>
  <si>
    <t>B-26012</t>
  </si>
  <si>
    <t>B-26013</t>
  </si>
  <si>
    <t>B-26014</t>
  </si>
  <si>
    <t>B-26015</t>
  </si>
  <si>
    <t>B-26016</t>
  </si>
  <si>
    <t>B-26017</t>
  </si>
  <si>
    <t>B-26018</t>
  </si>
  <si>
    <t>B-26019</t>
  </si>
  <si>
    <t>B-26020</t>
  </si>
  <si>
    <t>B-26021</t>
  </si>
  <si>
    <t>B-26022</t>
  </si>
  <si>
    <t>B-26023</t>
  </si>
  <si>
    <t>B-26024</t>
  </si>
  <si>
    <t>B-26025</t>
  </si>
  <si>
    <t>B-26026</t>
  </si>
  <si>
    <t>B-26027</t>
  </si>
  <si>
    <t>B-26028</t>
  </si>
  <si>
    <t>B-26029</t>
  </si>
  <si>
    <t>B-26030</t>
  </si>
  <si>
    <t>B-26031</t>
  </si>
  <si>
    <t>B-26032</t>
  </si>
  <si>
    <t>B-26033</t>
  </si>
  <si>
    <t>B-26034</t>
  </si>
  <si>
    <t>B-26035</t>
  </si>
  <si>
    <t>B-26036</t>
  </si>
  <si>
    <t>B-26037</t>
  </si>
  <si>
    <t>B-26038</t>
  </si>
  <si>
    <t>B-26039</t>
  </si>
  <si>
    <t>B-26040</t>
  </si>
  <si>
    <t>B-26041</t>
  </si>
  <si>
    <t>B-26042</t>
  </si>
  <si>
    <t>B-26043</t>
  </si>
  <si>
    <t>B-26044</t>
  </si>
  <si>
    <t>B-26045</t>
  </si>
  <si>
    <t>B-26046</t>
  </si>
  <si>
    <t>B-26047</t>
  </si>
  <si>
    <t>B-26048</t>
  </si>
  <si>
    <t>B-26049</t>
  </si>
  <si>
    <t>B-26050</t>
  </si>
  <si>
    <t>B-26051</t>
  </si>
  <si>
    <t>B-26052</t>
  </si>
  <si>
    <t>B-26053</t>
  </si>
  <si>
    <t>B-26054</t>
  </si>
  <si>
    <t>B-26055</t>
  </si>
  <si>
    <t>B-26056</t>
  </si>
  <si>
    <t>B-26057</t>
  </si>
  <si>
    <t>B-26058</t>
  </si>
  <si>
    <t>B-26059</t>
  </si>
  <si>
    <t>B-26060</t>
  </si>
  <si>
    <t>B-26061</t>
  </si>
  <si>
    <t>B-26062</t>
  </si>
  <si>
    <t>B-26063</t>
  </si>
  <si>
    <t>B-26064</t>
  </si>
  <si>
    <t>Ankita</t>
  </si>
  <si>
    <t>B-26065</t>
  </si>
  <si>
    <t>B-26066</t>
  </si>
  <si>
    <t>B-26067</t>
  </si>
  <si>
    <t>B-26068</t>
  </si>
  <si>
    <t>B-26069</t>
  </si>
  <si>
    <t>B-26070</t>
  </si>
  <si>
    <t>B-26071</t>
  </si>
  <si>
    <t>B-26072</t>
  </si>
  <si>
    <t>B-26073</t>
  </si>
  <si>
    <t>B-26074</t>
  </si>
  <si>
    <t>B-26075</t>
  </si>
  <si>
    <t>B-26076</t>
  </si>
  <si>
    <t>B-26077</t>
  </si>
  <si>
    <t>B-26078</t>
  </si>
  <si>
    <t>B-26079</t>
  </si>
  <si>
    <t>B-26080</t>
  </si>
  <si>
    <t>B-26081</t>
  </si>
  <si>
    <t>B-26082</t>
  </si>
  <si>
    <t>B-26083</t>
  </si>
  <si>
    <t>B-26084</t>
  </si>
  <si>
    <t>B-26085</t>
  </si>
  <si>
    <t>B-26086</t>
  </si>
  <si>
    <t>B-26087</t>
  </si>
  <si>
    <t>B-26088</t>
  </si>
  <si>
    <t>B-26089</t>
  </si>
  <si>
    <t>B-26090</t>
  </si>
  <si>
    <t>B-26091</t>
  </si>
  <si>
    <t>B-26092</t>
  </si>
  <si>
    <t>B-26093</t>
  </si>
  <si>
    <t>B-26094</t>
  </si>
  <si>
    <t>B-26095</t>
  </si>
  <si>
    <t>B-26096</t>
  </si>
  <si>
    <t>B-26097</t>
  </si>
  <si>
    <t>B-26098</t>
  </si>
  <si>
    <t>B-26099</t>
  </si>
  <si>
    <t>B-26100</t>
  </si>
  <si>
    <t>Amount</t>
  </si>
  <si>
    <t>Profit</t>
  </si>
  <si>
    <t>Quantity</t>
  </si>
  <si>
    <t>Category</t>
  </si>
  <si>
    <t>Sub-Category</t>
  </si>
  <si>
    <t>Furniture</t>
  </si>
  <si>
    <t>Bookcases</t>
  </si>
  <si>
    <t>Clothing</t>
  </si>
  <si>
    <t>Stole</t>
  </si>
  <si>
    <t>Hankerchief</t>
  </si>
  <si>
    <t>Electronics</t>
  </si>
  <si>
    <t>Electronic Games</t>
  </si>
  <si>
    <t>Phones</t>
  </si>
  <si>
    <t>Saree</t>
  </si>
  <si>
    <t>Trousers</t>
  </si>
  <si>
    <t>Chairs</t>
  </si>
  <si>
    <t>Kurti</t>
  </si>
  <si>
    <t>T-shirt</t>
  </si>
  <si>
    <t>Shirt</t>
  </si>
  <si>
    <t>Leggings</t>
  </si>
  <si>
    <t>Tables</t>
  </si>
  <si>
    <t>Printers</t>
  </si>
  <si>
    <t>Accessories</t>
  </si>
  <si>
    <t>Furnishings</t>
  </si>
  <si>
    <t>Skirt</t>
  </si>
  <si>
    <t>Target</t>
  </si>
  <si>
    <t>Order Month</t>
  </si>
  <si>
    <t>Customer Name</t>
  </si>
  <si>
    <t xml:space="preserve">Order Month </t>
  </si>
  <si>
    <t>Revenue</t>
  </si>
  <si>
    <t>Profit %</t>
  </si>
  <si>
    <t>Apr-18</t>
  </si>
  <si>
    <t>May-18</t>
  </si>
  <si>
    <t>Jun-18</t>
  </si>
  <si>
    <t>Jul-18</t>
  </si>
  <si>
    <t>Aug-18</t>
  </si>
  <si>
    <t>Sep-18</t>
  </si>
  <si>
    <t>Oct-18</t>
  </si>
  <si>
    <t>Nov-18</t>
  </si>
  <si>
    <t>Dec-18</t>
  </si>
  <si>
    <t>Jan-19</t>
  </si>
  <si>
    <t>Feb-19</t>
  </si>
  <si>
    <t>Mar-19</t>
  </si>
  <si>
    <t>Total Revenue</t>
  </si>
  <si>
    <t>Total Orders</t>
  </si>
  <si>
    <t>Category-Wise Revenue</t>
  </si>
  <si>
    <t>Target Furniture</t>
  </si>
  <si>
    <t>Target Clothing</t>
  </si>
  <si>
    <t>Target Electronics</t>
  </si>
  <si>
    <t>Customer</t>
  </si>
  <si>
    <t>Row Labels</t>
  </si>
  <si>
    <t>Grand Total</t>
  </si>
  <si>
    <t>2018</t>
  </si>
  <si>
    <t>Apr</t>
  </si>
  <si>
    <t>May</t>
  </si>
  <si>
    <t>Jun</t>
  </si>
  <si>
    <t>Jul</t>
  </si>
  <si>
    <t>Aug</t>
  </si>
  <si>
    <t>Sep</t>
  </si>
  <si>
    <t>Oct</t>
  </si>
  <si>
    <t>Nov</t>
  </si>
  <si>
    <t>Dec</t>
  </si>
  <si>
    <t>2019</t>
  </si>
  <si>
    <t>Jan</t>
  </si>
  <si>
    <t>Feb</t>
  </si>
  <si>
    <t>Mar</t>
  </si>
  <si>
    <t>Sum of Revenue</t>
  </si>
  <si>
    <t>Sum of Profit</t>
  </si>
  <si>
    <t>Count of Order ID</t>
  </si>
  <si>
    <t>E-Commerce Sales Performance Dashboard</t>
  </si>
  <si>
    <t>Avg Order Value</t>
  </si>
  <si>
    <t>Customer Rank</t>
  </si>
  <si>
    <t>Top 5 Customers</t>
  </si>
  <si>
    <t>Actual</t>
  </si>
  <si>
    <t>Variance</t>
  </si>
  <si>
    <t>Achievement%</t>
  </si>
  <si>
    <t>Target vs Actual Performance(Category-Wise)</t>
  </si>
  <si>
    <t>Monthly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</si>
</sst>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_-[$$-409]* #,##0.00_ ;_-[$$-409]* \-#,##0.00\ ;_-[$$-409]* &quot;-&quot;??_ ;_-@_ "/>
    <numFmt numFmtId="165" formatCode="_-[$$-409]* #,##0_ ;_-[$$-409]* \-#,##0\ ;_-[$$-409]* &quot;-&quot;??_ ;_-@_ "/>
    <numFmt numFmtId="170" formatCode="_ [$₹-4009]\ * #,##0_ ;_ [$₹-4009]\ * \-#,##0_ ;_ [$₹-4009]\ * &quot;-&quot;??_ ;_ @_ "/>
    <numFmt numFmtId="173" formatCode="_ &quot;₹&quot;\ * #,##0_ ;_ &quot;₹&quot;\ * \-#,##0_ ;_ &quot;₹&quot;\ * &quot;-&quot;??_ ;_ @_ "/>
  </numFmts>
  <fonts count="8" x14ac:knownFonts="1">
    <font>
      <sz val="11"/>
      <color theme="1"/>
      <name val="Calibri"/>
      <family val="2"/>
      <scheme val="minor"/>
    </font>
    <font>
      <sz val="11"/>
      <color theme="1"/>
      <name val="Calibri"/>
      <family val="2"/>
      <scheme val="minor"/>
    </font>
    <font>
      <b/>
      <sz val="11"/>
      <color theme="0"/>
      <name val="Calibri"/>
      <family val="2"/>
      <scheme val="minor"/>
    </font>
    <font>
      <sz val="14"/>
      <color theme="1"/>
      <name val="Calibri"/>
      <family val="2"/>
      <scheme val="minor"/>
    </font>
    <font>
      <b/>
      <sz val="14"/>
      <color theme="1"/>
      <name val="Calibri"/>
      <family val="2"/>
      <scheme val="minor"/>
    </font>
    <font>
      <sz val="16"/>
      <color theme="1"/>
      <name val="Calibri"/>
      <family val="2"/>
      <scheme val="minor"/>
    </font>
    <font>
      <b/>
      <sz val="22"/>
      <color theme="4" tint="-0.499984740745262"/>
      <name val="Calibri"/>
      <family val="2"/>
      <scheme val="minor"/>
    </font>
    <font>
      <b/>
      <sz val="18"/>
      <color theme="4" tint="-0.499984740745262"/>
      <name val="Calibri"/>
      <family val="2"/>
      <scheme val="minor"/>
    </font>
  </fonts>
  <fills count="3">
    <fill>
      <patternFill patternType="none"/>
    </fill>
    <fill>
      <patternFill patternType="gray125"/>
    </fill>
    <fill>
      <patternFill patternType="solid">
        <fgColor theme="4"/>
        <bgColor theme="4"/>
      </patternFill>
    </fill>
  </fills>
  <borders count="3">
    <border>
      <left/>
      <right/>
      <top/>
      <bottom/>
      <diagonal/>
    </border>
    <border>
      <left/>
      <right/>
      <top style="thin">
        <color theme="4"/>
      </top>
      <bottom/>
      <diagonal/>
    </border>
    <border>
      <left/>
      <right/>
      <top/>
      <bottom style="thin">
        <color theme="4"/>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30">
    <xf numFmtId="0" fontId="0" fillId="0" borderId="0" xfId="0"/>
    <xf numFmtId="14" fontId="0" fillId="0" borderId="0" xfId="0" applyNumberFormat="1"/>
    <xf numFmtId="17" fontId="0" fillId="0" borderId="0" xfId="0" applyNumberFormat="1"/>
    <xf numFmtId="14" fontId="0" fillId="0" borderId="1" xfId="0" applyNumberFormat="1" applyFont="1" applyBorder="1"/>
    <xf numFmtId="164" fontId="0" fillId="0" borderId="0" xfId="0" applyNumberFormat="1"/>
    <xf numFmtId="9" fontId="0" fillId="0" borderId="0" xfId="1" applyFont="1"/>
    <xf numFmtId="165" fontId="0" fillId="0" borderId="0" xfId="0" applyNumberFormat="1"/>
    <xf numFmtId="14" fontId="2" fillId="2" borderId="0" xfId="0" applyNumberFormat="1" applyFont="1" applyFill="1" applyBorder="1"/>
    <xf numFmtId="0" fontId="2" fillId="2" borderId="0" xfId="0" applyFont="1" applyFill="1" applyBorder="1"/>
    <xf numFmtId="14" fontId="3" fillId="0" borderId="0" xfId="0" applyNumberFormat="1" applyFont="1" applyAlignment="1"/>
    <xf numFmtId="0" fontId="2" fillId="2" borderId="0" xfId="0" applyFont="1" applyFill="1"/>
    <xf numFmtId="17" fontId="0" fillId="0" borderId="0" xfId="0" applyNumberFormat="1" applyFont="1" applyBorder="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3" fillId="0" borderId="0" xfId="0" applyFont="1"/>
    <xf numFmtId="1" fontId="0" fillId="0" borderId="0" xfId="0" applyNumberFormat="1"/>
    <xf numFmtId="0" fontId="7" fillId="0" borderId="0" xfId="0" applyFont="1" applyAlignment="1"/>
    <xf numFmtId="0" fontId="4" fillId="0" borderId="2" xfId="0" applyFont="1" applyBorder="1" applyAlignment="1">
      <alignment horizontal="center"/>
    </xf>
    <xf numFmtId="0" fontId="0" fillId="0" borderId="2" xfId="0" applyBorder="1" applyAlignment="1">
      <alignment horizontal="center"/>
    </xf>
    <xf numFmtId="14" fontId="4" fillId="0" borderId="0" xfId="0" applyNumberFormat="1"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170" fontId="0" fillId="0" borderId="0" xfId="0" applyNumberFormat="1"/>
    <xf numFmtId="9" fontId="0" fillId="0" borderId="0" xfId="1" applyNumberFormat="1" applyFont="1"/>
    <xf numFmtId="173" fontId="0" fillId="0" borderId="1" xfId="2" applyNumberFormat="1" applyFont="1" applyBorder="1"/>
    <xf numFmtId="173" fontId="0" fillId="0" borderId="0" xfId="2" applyNumberFormat="1" applyFont="1"/>
    <xf numFmtId="173" fontId="0" fillId="0" borderId="0" xfId="2" applyNumberFormat="1" applyFont="1" applyBorder="1"/>
  </cellXfs>
  <cellStyles count="3">
    <cellStyle name="Currency" xfId="2" builtinId="4"/>
    <cellStyle name="Normal" xfId="0" builtinId="0"/>
    <cellStyle name="Percent" xfId="1" builtinId="5"/>
  </cellStyles>
  <dxfs count="45">
    <dxf>
      <fill>
        <patternFill>
          <bgColor rgb="FFC6EFCE"/>
        </patternFill>
      </fill>
    </dxf>
    <dxf>
      <fill>
        <patternFill patternType="solid">
          <bgColor rgb="FFC6EFCE"/>
        </patternFill>
      </fill>
    </dxf>
    <dxf>
      <fill>
        <patternFill>
          <fgColor rgb="FFC6EFCE"/>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70" formatCode="_ [$₹-4009]\ * #,##0_ ;_ [$₹-4009]\ * \-#,##0_ ;_ [$₹-4009]\ * &quot;-&quot;??_ ;_ @_ "/>
    </dxf>
    <dxf>
      <numFmt numFmtId="0" formatCode="General"/>
    </dxf>
    <dxf>
      <font>
        <b val="0"/>
        <i val="0"/>
        <strike val="0"/>
        <condense val="0"/>
        <extend val="0"/>
        <outline val="0"/>
        <shadow val="0"/>
        <u val="none"/>
        <vertAlign val="baseline"/>
        <sz val="11"/>
        <color theme="1"/>
        <name val="Calibri"/>
        <family val="2"/>
        <scheme val="minor"/>
      </font>
      <numFmt numFmtId="19" formatCode="dd/mm/yyyy"/>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173" formatCode="_ &quot;₹&quot;\ * #,##0_ ;_ &quot;₹&quot;\ * \-#,##0_ ;_ &quot;₹&quot;\ * &quot;-&quot;??_ ;_ @_ "/>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numFmt numFmtId="22" formatCode="mmm/yy"/>
    </dxf>
    <dxf>
      <numFmt numFmtId="170" formatCode="_ [$₹-4009]\ * #,##0_ ;_ [$₹-4009]\ * \-#,##0_ ;_ [$₹-4009]\ * &quot;-&quot;??_ ;_ @_ "/>
    </dxf>
    <dxf>
      <font>
        <b val="0"/>
        <i val="0"/>
        <strike val="0"/>
        <condense val="0"/>
        <extend val="0"/>
        <outline val="0"/>
        <shadow val="0"/>
        <u val="none"/>
        <vertAlign val="baseline"/>
        <sz val="11"/>
        <color theme="1"/>
        <name val="Calibri"/>
        <family val="2"/>
        <scheme val="minor"/>
      </font>
      <numFmt numFmtId="13" formatCode="0%"/>
    </dxf>
    <dxf>
      <numFmt numFmtId="170" formatCode="_ [$₹-4009]\ * #,##0_ ;_ [$₹-4009]\ * \-#,##0_ ;_ [$₹-4009]\ * &quot;-&quot;??_ ;_ @_ "/>
    </dxf>
    <dxf>
      <numFmt numFmtId="170" formatCode="_ [$₹-4009]\ * #,##0_ ;_ [$₹-4009]\ * \-#,##0_ ;_ [$₹-4009]\ * &quot;-&quot;??_ ;_ @_ "/>
    </dxf>
    <dxf>
      <numFmt numFmtId="170" formatCode="_ [$₹-4009]\ * #,##0_ ;_ [$₹-4009]\ * \-#,##0_ ;_ [$₹-4009]\ * &quot;-&quot;??_ ;_ @_ "/>
    </dxf>
    <dxf>
      <numFmt numFmtId="170" formatCode="_ [$₹-4009]\ * #,##0_ ;_ [$₹-4009]\ * \-#,##0_ ;_ [$₹-4009]\ * &quot;-&quot;??_ ;_ @_ "/>
    </dxf>
    <dxf>
      <numFmt numFmtId="170" formatCode="_ [$₹-4009]\ * #,##0_ ;_ [$₹-4009]\ * \-#,##0_ ;_ [$₹-4009]\ * &quot;-&quot;??_ ;_ @_ "/>
    </dxf>
    <dxf>
      <numFmt numFmtId="170" formatCode="_ [$₹-4009]\ * #,##0_ ;_ [$₹-4009]\ * \-#,##0_ ;_ [$₹-4009]\ * &quot;-&quot;??_ ;_ @_ "/>
    </dxf>
    <dxf>
      <numFmt numFmtId="170" formatCode="_ [$₹-4009]\ * #,##0_ ;_ [$₹-4009]\ * \-#,##0_ ;_ [$₹-4009]\ * &quot;-&quot;??_ ;_ @_ "/>
    </dxf>
    <dxf>
      <numFmt numFmtId="170" formatCode="_ [$₹-4009]\ * #,##0_ ;_ [$₹-4009]\ * \-#,##0_ ;_ [$₹-4009]\ * &quot;-&quot;??_ ;_ @_ "/>
    </dxf>
    <dxf>
      <numFmt numFmtId="164" formatCode="_-[$$-409]* #,##0.00_ ;_-[$$-409]* \-#,##0.00\ ;_-[$$-409]* &quot;-&quot;??_ ;_-@_ "/>
    </dxf>
    <dxf>
      <numFmt numFmtId="165" formatCode="_-[$$-409]* #,##0_ ;_-[$$-409]* \-#,##0\ ;_-[$$-409]* &quot;-&quot;??_ ;_-@_ "/>
    </dxf>
    <dxf>
      <numFmt numFmtId="165" formatCode="_-[$$-409]* #,##0_ ;_-[$$-409]* \-#,##0\ ;_-[$$-409]* &quot;-&quot;??_ ;_-@_ "/>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19" formatCode="dd/mm/yyyy"/>
    </dxf>
    <dxf>
      <numFmt numFmtId="19" formatCode="dd/mm/yyyy"/>
    </dxf>
    <dxf>
      <numFmt numFmtId="164" formatCode="_-[$$-409]* #,##0.00_ ;_-[$$-409]* \-#,##0.00\ ;_-[$$-409]* &quot;-&quot;??_ ;_-@_ "/>
    </dxf>
    <dxf>
      <numFmt numFmtId="164" formatCode="_-[$$-409]* #,##0.00_ ;_-[$$-409]* \-#,##0.00\ ;_-[$$-409]* &quot;-&quot;??_ ;_-@_ "/>
    </dxf>
    <dxf>
      <numFmt numFmtId="22" formatCode="mmm/yy"/>
    </dxf>
    <dxf>
      <numFmt numFmtId="19" formatCode="dd/mm/yyyy"/>
    </dxf>
    <dxf>
      <numFmt numFmtId="19" formatCode="dd/mm/yyyy"/>
    </dxf>
    <dxf>
      <border>
        <top/>
        <bottom style="thin">
          <color theme="4" tint="-0.24994659260841701"/>
        </bottom>
        <horizontal style="thin">
          <color auto="1"/>
        </horizontal>
      </border>
    </dxf>
    <dxf>
      <border>
        <bottom style="thin">
          <color auto="1"/>
        </bottom>
      </border>
    </dxf>
  </dxfs>
  <tableStyles count="2" defaultTableStyle="TableStyleMedium2" defaultPivotStyle="PivotStyleLight16">
    <tableStyle name="Slicer Style 1" pivot="0" table="0" count="2" xr9:uid="{ABCABE34-631E-4B25-B11E-23A8B7D3AC75}">
      <tableStyleElement type="headerRow" dxfId="44"/>
    </tableStyle>
    <tableStyle name="Slicer Style 1 2" pivot="0" table="0" count="3" xr9:uid="{0E978C86-3ED2-4B7A-BCD6-FDDE29440F40}">
      <tableStyleElement type="headerRow" dxfId="43"/>
    </tableStyle>
  </tableStyles>
  <colors>
    <mruColors>
      <color rgb="FFC6EFCE"/>
      <color rgb="FF1EEAEA"/>
    </mruColors>
  </colors>
  <extLst>
    <ext xmlns:x14="http://schemas.microsoft.com/office/spreadsheetml/2009/9/main" uri="{46F421CA-312F-682f-3DD2-61675219B42D}">
      <x14:dxfs count="3">
        <dxf>
          <fill>
            <patternFill>
              <bgColor theme="4" tint="0.79998168889431442"/>
            </patternFill>
          </fill>
        </dxf>
        <dxf>
          <fill>
            <patternFill>
              <bgColor theme="4" tint="0.59996337778862885"/>
            </patternFill>
          </fill>
        </dxf>
        <dxf>
          <fill>
            <patternFill>
              <bgColor theme="4" tint="0.79998168889431442"/>
            </patternFill>
          </fill>
        </dxf>
      </x14:dxfs>
    </ext>
    <ext xmlns:x14="http://schemas.microsoft.com/office/spreadsheetml/2009/9/main" uri="{EB79DEF2-80B8-43e5-95BD-54CBDDF9020C}">
      <x14:slicerStyles defaultSlicerStyle="Slicer Style 1">
        <x14:slicerStyle name="Slicer Style 1">
          <x14:slicerStyleElements>
            <x14:slicerStyleElement type="selectedItemWithData" dxfId="2"/>
          </x14:slicerStyleElements>
        </x14:slicerStyle>
        <x14:slicerStyle name="Slicer Style 1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pivotCacheDefinition" Target="pivotCache/pivotCacheDefinition2.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“Monthly Revenue Trend – Peak in Jan (₹61K)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Pivot_Analysis!$B$1</c:f>
              <c:strCache>
                <c:ptCount val="1"/>
                <c:pt idx="0">
                  <c:v>Total</c:v>
                </c:pt>
              </c:strCache>
            </c:strRef>
          </c:tx>
          <c:spPr>
            <a:ln w="28575" cap="rnd">
              <a:solidFill>
                <a:schemeClr val="accent1"/>
              </a:solidFill>
              <a:round/>
            </a:ln>
            <a:effectLst/>
          </c:spPr>
          <c:marker>
            <c:symbol val="none"/>
          </c:marker>
          <c:cat>
            <c:multiLvlStrRef>
              <c:f>Pivot_Analysis!$A$2:$A$16</c:f>
              <c:multiLvlStrCache>
                <c:ptCount val="12"/>
                <c:lvl>
                  <c:pt idx="0">
                    <c:v>Apr</c:v>
                  </c:pt>
                  <c:pt idx="1">
                    <c:v>May</c:v>
                  </c:pt>
                  <c:pt idx="2">
                    <c:v>Jun</c:v>
                  </c:pt>
                  <c:pt idx="3">
                    <c:v>Jul</c:v>
                  </c:pt>
                  <c:pt idx="4">
                    <c:v>Aug</c:v>
                  </c:pt>
                  <c:pt idx="5">
                    <c:v>Sep</c:v>
                  </c:pt>
                  <c:pt idx="6">
                    <c:v>Oct</c:v>
                  </c:pt>
                  <c:pt idx="7">
                    <c:v>Nov</c:v>
                  </c:pt>
                  <c:pt idx="8">
                    <c:v>Dec</c:v>
                  </c:pt>
                  <c:pt idx="9">
                    <c:v>Jan</c:v>
                  </c:pt>
                  <c:pt idx="10">
                    <c:v>Feb</c:v>
                  </c:pt>
                  <c:pt idx="11">
                    <c:v>Mar</c:v>
                  </c:pt>
                </c:lvl>
                <c:lvl>
                  <c:pt idx="0">
                    <c:v>2018</c:v>
                  </c:pt>
                  <c:pt idx="9">
                    <c:v>2019</c:v>
                  </c:pt>
                </c:lvl>
              </c:multiLvlStrCache>
            </c:multiLvlStrRef>
          </c:cat>
          <c:val>
            <c:numRef>
              <c:f>Pivot_Analysis!$B$2:$B$16</c:f>
              <c:numCache>
                <c:formatCode>_ [$₹-4009]\ * #,##0_ ;_ [$₹-4009]\ * \-#,##0_ ;_ [$₹-4009]\ * "-"??_ ;_ @_ </c:formatCode>
                <c:ptCount val="12"/>
                <c:pt idx="0">
                  <c:v>32726</c:v>
                </c:pt>
                <c:pt idx="1">
                  <c:v>28545</c:v>
                </c:pt>
                <c:pt idx="2">
                  <c:v>23658</c:v>
                </c:pt>
                <c:pt idx="3">
                  <c:v>12966</c:v>
                </c:pt>
                <c:pt idx="4">
                  <c:v>30899</c:v>
                </c:pt>
                <c:pt idx="5">
                  <c:v>26628</c:v>
                </c:pt>
                <c:pt idx="6">
                  <c:v>31615</c:v>
                </c:pt>
                <c:pt idx="7">
                  <c:v>48086</c:v>
                </c:pt>
                <c:pt idx="8">
                  <c:v>37579</c:v>
                </c:pt>
                <c:pt idx="9">
                  <c:v>61439</c:v>
                </c:pt>
                <c:pt idx="10">
                  <c:v>38424</c:v>
                </c:pt>
                <c:pt idx="11">
                  <c:v>58937</c:v>
                </c:pt>
              </c:numCache>
            </c:numRef>
          </c:val>
          <c:smooth val="0"/>
          <c:extLst>
            <c:ext xmlns:c16="http://schemas.microsoft.com/office/drawing/2014/chart" uri="{C3380CC4-5D6E-409C-BE32-E72D297353CC}">
              <c16:uniqueId val="{00000000-071B-46D7-BB1B-842D203301D1}"/>
            </c:ext>
          </c:extLst>
        </c:ser>
        <c:dLbls>
          <c:showLegendKey val="0"/>
          <c:showVal val="0"/>
          <c:showCatName val="0"/>
          <c:showSerName val="0"/>
          <c:showPercent val="0"/>
          <c:showBubbleSize val="0"/>
        </c:dLbls>
        <c:smooth val="0"/>
        <c:axId val="933539839"/>
        <c:axId val="834707167"/>
      </c:lineChart>
      <c:catAx>
        <c:axId val="93353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707167"/>
        <c:crosses val="autoZero"/>
        <c:auto val="1"/>
        <c:lblAlgn val="ctr"/>
        <c:lblOffset val="100"/>
        <c:noMultiLvlLbl val="0"/>
      </c:catAx>
      <c:valAx>
        <c:axId val="834707167"/>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39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Electronics Leads Revenue (₹1.65L+)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Pivot_Analysis!$B$21</c:f>
              <c:strCache>
                <c:ptCount val="1"/>
                <c:pt idx="0">
                  <c:v>Total</c:v>
                </c:pt>
              </c:strCache>
            </c:strRef>
          </c:tx>
          <c:spPr>
            <a:solidFill>
              <a:schemeClr val="accent1"/>
            </a:solidFill>
            <a:ln>
              <a:noFill/>
            </a:ln>
            <a:effectLst/>
          </c:spPr>
          <c:invertIfNegative val="0"/>
          <c:cat>
            <c:strRef>
              <c:f>Pivot_Analysis!$A$22:$A$25</c:f>
              <c:strCache>
                <c:ptCount val="3"/>
                <c:pt idx="0">
                  <c:v>Clothing</c:v>
                </c:pt>
                <c:pt idx="1">
                  <c:v>Electronics</c:v>
                </c:pt>
                <c:pt idx="2">
                  <c:v>Furniture</c:v>
                </c:pt>
              </c:strCache>
            </c:strRef>
          </c:cat>
          <c:val>
            <c:numRef>
              <c:f>Pivot_Analysis!$B$22:$B$25</c:f>
              <c:numCache>
                <c:formatCode>_ [$₹-4009]\ * #,##0_ ;_ [$₹-4009]\ * \-#,##0_ ;_ [$₹-4009]\ * "-"??_ ;_ @_ </c:formatCode>
                <c:ptCount val="3"/>
                <c:pt idx="0">
                  <c:v>139054</c:v>
                </c:pt>
                <c:pt idx="1">
                  <c:v>165267</c:v>
                </c:pt>
                <c:pt idx="2">
                  <c:v>127181</c:v>
                </c:pt>
              </c:numCache>
            </c:numRef>
          </c:val>
          <c:extLst>
            <c:ext xmlns:c16="http://schemas.microsoft.com/office/drawing/2014/chart" uri="{C3380CC4-5D6E-409C-BE32-E72D297353CC}">
              <c16:uniqueId val="{00000000-CD17-4992-B8BF-C45B173ADE37}"/>
            </c:ext>
          </c:extLst>
        </c:ser>
        <c:dLbls>
          <c:showLegendKey val="0"/>
          <c:showVal val="0"/>
          <c:showCatName val="0"/>
          <c:showSerName val="0"/>
          <c:showPercent val="0"/>
          <c:showBubbleSize val="0"/>
        </c:dLbls>
        <c:gapWidth val="182"/>
        <c:axId val="995902431"/>
        <c:axId val="996981935"/>
      </c:barChart>
      <c:catAx>
        <c:axId val="995902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981935"/>
        <c:crosses val="autoZero"/>
        <c:auto val="1"/>
        <c:lblAlgn val="ctr"/>
        <c:lblOffset val="100"/>
        <c:noMultiLvlLbl val="0"/>
      </c:catAx>
      <c:valAx>
        <c:axId val="996981935"/>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902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Madhya Pradesh &amp; Maharashtra Drive Highest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Pivot_Analysis!$B$34</c:f>
              <c:strCache>
                <c:ptCount val="1"/>
                <c:pt idx="0">
                  <c:v>Total</c:v>
                </c:pt>
              </c:strCache>
            </c:strRef>
          </c:tx>
          <c:spPr>
            <a:solidFill>
              <a:schemeClr val="accent1"/>
            </a:solidFill>
            <a:ln>
              <a:noFill/>
            </a:ln>
            <a:effectLst/>
          </c:spPr>
          <c:invertIfNegative val="0"/>
          <c:cat>
            <c:strRef>
              <c:f>Pivot_Analysis!$A$35:$A$45</c:f>
              <c:strCache>
                <c:ptCount val="10"/>
                <c:pt idx="0">
                  <c:v>Kerala </c:v>
                </c:pt>
                <c:pt idx="1">
                  <c:v>West Bengal</c:v>
                </c:pt>
                <c:pt idx="2">
                  <c:v>Karnataka</c:v>
                </c:pt>
                <c:pt idx="3">
                  <c:v>Punjab</c:v>
                </c:pt>
                <c:pt idx="4">
                  <c:v>Gujarat</c:v>
                </c:pt>
                <c:pt idx="5">
                  <c:v>Rajasthan</c:v>
                </c:pt>
                <c:pt idx="6">
                  <c:v>Uttar Pradesh</c:v>
                </c:pt>
                <c:pt idx="7">
                  <c:v>Delhi</c:v>
                </c:pt>
                <c:pt idx="8">
                  <c:v>Maharashtra</c:v>
                </c:pt>
                <c:pt idx="9">
                  <c:v>Madhya Pradesh</c:v>
                </c:pt>
              </c:strCache>
            </c:strRef>
          </c:cat>
          <c:val>
            <c:numRef>
              <c:f>Pivot_Analysis!$B$35:$B$45</c:f>
              <c:numCache>
                <c:formatCode>_ [$₹-4009]\ * #,##0_ ;_ [$₹-4009]\ * \-#,##0_ ;_ [$₹-4009]\ * "-"??_ ;_ @_ </c:formatCode>
                <c:ptCount val="10"/>
                <c:pt idx="0">
                  <c:v>13459</c:v>
                </c:pt>
                <c:pt idx="1">
                  <c:v>14086</c:v>
                </c:pt>
                <c:pt idx="2">
                  <c:v>15058</c:v>
                </c:pt>
                <c:pt idx="3">
                  <c:v>16786</c:v>
                </c:pt>
                <c:pt idx="4">
                  <c:v>21058</c:v>
                </c:pt>
                <c:pt idx="5">
                  <c:v>21149</c:v>
                </c:pt>
                <c:pt idx="6">
                  <c:v>22359</c:v>
                </c:pt>
                <c:pt idx="7">
                  <c:v>22531</c:v>
                </c:pt>
                <c:pt idx="8">
                  <c:v>95348</c:v>
                </c:pt>
                <c:pt idx="9">
                  <c:v>105140</c:v>
                </c:pt>
              </c:numCache>
            </c:numRef>
          </c:val>
          <c:extLst>
            <c:ext xmlns:c16="http://schemas.microsoft.com/office/drawing/2014/chart" uri="{C3380CC4-5D6E-409C-BE32-E72D297353CC}">
              <c16:uniqueId val="{00000000-C013-47C5-B26C-32C8D00DC198}"/>
            </c:ext>
          </c:extLst>
        </c:ser>
        <c:dLbls>
          <c:showLegendKey val="0"/>
          <c:showVal val="0"/>
          <c:showCatName val="0"/>
          <c:showSerName val="0"/>
          <c:showPercent val="0"/>
          <c:showBubbleSize val="0"/>
        </c:dLbls>
        <c:gapWidth val="182"/>
        <c:axId val="995911231"/>
        <c:axId val="994753583"/>
      </c:barChart>
      <c:catAx>
        <c:axId val="995911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753583"/>
        <c:crosses val="autoZero"/>
        <c:auto val="1"/>
        <c:lblAlgn val="ctr"/>
        <c:lblOffset val="100"/>
        <c:noMultiLvlLbl val="0"/>
      </c:catAx>
      <c:valAx>
        <c:axId val="994753583"/>
        <c:scaling>
          <c:orientation val="minMax"/>
        </c:scaling>
        <c:delete val="0"/>
        <c:axPos val="b"/>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911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Printers &amp; Bookcases are Top Selling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Pivot_Analysis!$B$55</c:f>
              <c:strCache>
                <c:ptCount val="1"/>
                <c:pt idx="0">
                  <c:v>Total</c:v>
                </c:pt>
              </c:strCache>
            </c:strRef>
          </c:tx>
          <c:spPr>
            <a:solidFill>
              <a:schemeClr val="accent1"/>
            </a:solidFill>
            <a:ln>
              <a:noFill/>
            </a:ln>
            <a:effectLst/>
          </c:spPr>
          <c:invertIfNegative val="0"/>
          <c:cat>
            <c:strRef>
              <c:f>Pivot_Analysis!$A$56:$A$61</c:f>
              <c:strCache>
                <c:ptCount val="5"/>
                <c:pt idx="0">
                  <c:v>Printers</c:v>
                </c:pt>
                <c:pt idx="1">
                  <c:v>Bookcases</c:v>
                </c:pt>
                <c:pt idx="2">
                  <c:v>Saree</c:v>
                </c:pt>
                <c:pt idx="3">
                  <c:v>Phones</c:v>
                </c:pt>
                <c:pt idx="4">
                  <c:v>Electronic Games</c:v>
                </c:pt>
              </c:strCache>
            </c:strRef>
          </c:cat>
          <c:val>
            <c:numRef>
              <c:f>Pivot_Analysis!$B$56:$B$61</c:f>
              <c:numCache>
                <c:formatCode>_ [$₹-4009]\ * #,##0_ ;_ [$₹-4009]\ * \-#,##0_ ;_ [$₹-4009]\ * "-"??_ ;_ @_ </c:formatCode>
                <c:ptCount val="5"/>
                <c:pt idx="0">
                  <c:v>58252</c:v>
                </c:pt>
                <c:pt idx="1">
                  <c:v>56861</c:v>
                </c:pt>
                <c:pt idx="2">
                  <c:v>53511</c:v>
                </c:pt>
                <c:pt idx="3">
                  <c:v>46119</c:v>
                </c:pt>
                <c:pt idx="4">
                  <c:v>39168</c:v>
                </c:pt>
              </c:numCache>
            </c:numRef>
          </c:val>
          <c:extLst>
            <c:ext xmlns:c16="http://schemas.microsoft.com/office/drawing/2014/chart" uri="{C3380CC4-5D6E-409C-BE32-E72D297353CC}">
              <c16:uniqueId val="{00000000-905B-43FC-B68E-01B907EC3C22}"/>
            </c:ext>
          </c:extLst>
        </c:ser>
        <c:dLbls>
          <c:showLegendKey val="0"/>
          <c:showVal val="0"/>
          <c:showCatName val="0"/>
          <c:showSerName val="0"/>
          <c:showPercent val="0"/>
          <c:showBubbleSize val="0"/>
        </c:dLbls>
        <c:gapWidth val="219"/>
        <c:overlap val="-27"/>
        <c:axId val="1000822511"/>
        <c:axId val="1062185743"/>
      </c:barChart>
      <c:catAx>
        <c:axId val="100082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185743"/>
        <c:crosses val="autoZero"/>
        <c:auto val="1"/>
        <c:lblAlgn val="ctr"/>
        <c:lblOffset val="100"/>
        <c:noMultiLvlLbl val="0"/>
      </c:catAx>
      <c:valAx>
        <c:axId val="1062185743"/>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Customers Driving Revenue (Top 10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strRef>
              <c:f>Pivot_Analysis!$B$71</c:f>
              <c:strCache>
                <c:ptCount val="1"/>
                <c:pt idx="0">
                  <c:v>Sum of Revenue</c:v>
                </c:pt>
              </c:strCache>
            </c:strRef>
          </c:tx>
          <c:spPr>
            <a:solidFill>
              <a:schemeClr val="accent1"/>
            </a:solidFill>
            <a:ln>
              <a:noFill/>
            </a:ln>
            <a:effectLst/>
          </c:spPr>
          <c:invertIfNegative val="0"/>
          <c:cat>
            <c:strRef>
              <c:f>Pivot_Analysis!$A$72:$A$82</c:f>
              <c:strCache>
                <c:ptCount val="10"/>
                <c:pt idx="0">
                  <c:v>Yaanvi</c:v>
                </c:pt>
                <c:pt idx="1">
                  <c:v>Pooja</c:v>
                </c:pt>
                <c:pt idx="2">
                  <c:v>Abhishek</c:v>
                </c:pt>
                <c:pt idx="3">
                  <c:v>Surabhi</c:v>
                </c:pt>
                <c:pt idx="4">
                  <c:v>Soumya</c:v>
                </c:pt>
                <c:pt idx="5">
                  <c:v>Harshal</c:v>
                </c:pt>
                <c:pt idx="6">
                  <c:v>Priyanka</c:v>
                </c:pt>
                <c:pt idx="7">
                  <c:v>Shruti</c:v>
                </c:pt>
                <c:pt idx="8">
                  <c:v>Abhijeet</c:v>
                </c:pt>
                <c:pt idx="9">
                  <c:v>Sarita</c:v>
                </c:pt>
              </c:strCache>
            </c:strRef>
          </c:cat>
          <c:val>
            <c:numRef>
              <c:f>Pivot_Analysis!$B$72:$B$82</c:f>
              <c:numCache>
                <c:formatCode>_ [$₹-4009]\ * #,##0_ ;_ [$₹-4009]\ * \-#,##0_ ;_ [$₹-4009]\ * "-"??_ ;_ @_ </c:formatCode>
                <c:ptCount val="10"/>
                <c:pt idx="0">
                  <c:v>9177</c:v>
                </c:pt>
                <c:pt idx="1">
                  <c:v>9030</c:v>
                </c:pt>
                <c:pt idx="2">
                  <c:v>8135</c:v>
                </c:pt>
                <c:pt idx="3">
                  <c:v>6889</c:v>
                </c:pt>
                <c:pt idx="4">
                  <c:v>6869</c:v>
                </c:pt>
                <c:pt idx="5">
                  <c:v>6026</c:v>
                </c:pt>
                <c:pt idx="6">
                  <c:v>5762</c:v>
                </c:pt>
                <c:pt idx="7">
                  <c:v>5750</c:v>
                </c:pt>
                <c:pt idx="8">
                  <c:v>5691</c:v>
                </c:pt>
                <c:pt idx="9">
                  <c:v>5449</c:v>
                </c:pt>
              </c:numCache>
            </c:numRef>
          </c:val>
          <c:extLst>
            <c:ext xmlns:c16="http://schemas.microsoft.com/office/drawing/2014/chart" uri="{C3380CC4-5D6E-409C-BE32-E72D297353CC}">
              <c16:uniqueId val="{00000000-E9CE-4447-9008-0B5F0E4FD8BB}"/>
            </c:ext>
          </c:extLst>
        </c:ser>
        <c:dLbls>
          <c:showLegendKey val="0"/>
          <c:showVal val="0"/>
          <c:showCatName val="0"/>
          <c:showSerName val="0"/>
          <c:showPercent val="0"/>
          <c:showBubbleSize val="0"/>
        </c:dLbls>
        <c:gapWidth val="219"/>
        <c:overlap val="-27"/>
        <c:axId val="1070142959"/>
        <c:axId val="719096703"/>
      </c:barChart>
      <c:lineChart>
        <c:grouping val="standard"/>
        <c:varyColors val="0"/>
        <c:ser>
          <c:idx val="1"/>
          <c:order val="1"/>
          <c:tx>
            <c:strRef>
              <c:f>Pivot_Analysis!$C$71</c:f>
              <c:strCache>
                <c:ptCount val="1"/>
                <c:pt idx="0">
                  <c:v>Customer Rank</c:v>
                </c:pt>
              </c:strCache>
            </c:strRef>
          </c:tx>
          <c:spPr>
            <a:ln w="28575" cap="rnd">
              <a:solidFill>
                <a:schemeClr val="accent2"/>
              </a:solidFill>
              <a:round/>
            </a:ln>
            <a:effectLst/>
          </c:spPr>
          <c:marker>
            <c:symbol val="none"/>
          </c:marker>
          <c:cat>
            <c:strRef>
              <c:f>Pivot_Analysis!$A$72:$A$82</c:f>
              <c:strCache>
                <c:ptCount val="10"/>
                <c:pt idx="0">
                  <c:v>Yaanvi</c:v>
                </c:pt>
                <c:pt idx="1">
                  <c:v>Pooja</c:v>
                </c:pt>
                <c:pt idx="2">
                  <c:v>Abhishek</c:v>
                </c:pt>
                <c:pt idx="3">
                  <c:v>Surabhi</c:v>
                </c:pt>
                <c:pt idx="4">
                  <c:v>Soumya</c:v>
                </c:pt>
                <c:pt idx="5">
                  <c:v>Harshal</c:v>
                </c:pt>
                <c:pt idx="6">
                  <c:v>Priyanka</c:v>
                </c:pt>
                <c:pt idx="7">
                  <c:v>Shruti</c:v>
                </c:pt>
                <c:pt idx="8">
                  <c:v>Abhijeet</c:v>
                </c:pt>
                <c:pt idx="9">
                  <c:v>Sarita</c:v>
                </c:pt>
              </c:strCache>
            </c:strRef>
          </c:cat>
          <c:val>
            <c:numRef>
              <c:f>Pivot_Analysis!$C$72:$C$82</c:f>
              <c:numCache>
                <c:formatCode>General</c:formatCode>
                <c:ptCount val="10"/>
                <c:pt idx="0">
                  <c:v>1</c:v>
                </c:pt>
                <c:pt idx="1">
                  <c:v>2</c:v>
                </c:pt>
                <c:pt idx="2">
                  <c:v>3</c:v>
                </c:pt>
                <c:pt idx="3">
                  <c:v>4</c:v>
                </c:pt>
                <c:pt idx="4">
                  <c:v>5</c:v>
                </c:pt>
                <c:pt idx="5">
                  <c:v>6</c:v>
                </c:pt>
                <c:pt idx="6">
                  <c:v>7</c:v>
                </c:pt>
                <c:pt idx="7">
                  <c:v>8</c:v>
                </c:pt>
                <c:pt idx="8">
                  <c:v>9</c:v>
                </c:pt>
                <c:pt idx="9">
                  <c:v>10</c:v>
                </c:pt>
              </c:numCache>
            </c:numRef>
          </c:val>
          <c:smooth val="0"/>
          <c:extLst>
            <c:ext xmlns:c16="http://schemas.microsoft.com/office/drawing/2014/chart" uri="{C3380CC4-5D6E-409C-BE32-E72D297353CC}">
              <c16:uniqueId val="{00000001-E9CE-4447-9008-0B5F0E4FD8BB}"/>
            </c:ext>
          </c:extLst>
        </c:ser>
        <c:dLbls>
          <c:showLegendKey val="0"/>
          <c:showVal val="0"/>
          <c:showCatName val="0"/>
          <c:showSerName val="0"/>
          <c:showPercent val="0"/>
          <c:showBubbleSize val="0"/>
        </c:dLbls>
        <c:marker val="1"/>
        <c:smooth val="0"/>
        <c:axId val="1063696015"/>
        <c:axId val="719097535"/>
      </c:lineChart>
      <c:catAx>
        <c:axId val="1070142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096703"/>
        <c:crosses val="autoZero"/>
        <c:auto val="1"/>
        <c:lblAlgn val="ctr"/>
        <c:lblOffset val="100"/>
        <c:noMultiLvlLbl val="0"/>
      </c:catAx>
      <c:valAx>
        <c:axId val="719096703"/>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142959"/>
        <c:crosses val="autoZero"/>
        <c:crossBetween val="between"/>
      </c:valAx>
      <c:valAx>
        <c:axId val="7190975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696015"/>
        <c:crosses val="max"/>
        <c:crossBetween val="between"/>
      </c:valAx>
      <c:catAx>
        <c:axId val="1063696015"/>
        <c:scaling>
          <c:orientation val="minMax"/>
        </c:scaling>
        <c:delete val="1"/>
        <c:axPos val="b"/>
        <c:numFmt formatCode="General" sourceLinked="1"/>
        <c:majorTickMark val="out"/>
        <c:minorTickMark val="none"/>
        <c:tickLblPos val="nextTo"/>
        <c:crossAx val="7190975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Profit Contribution – Clothing Leads (47%)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1734007822822115"/>
              <c:y val="5.835155479325860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6.296296880538696E-2"/>
              <c:y val="0.1283734205451689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0.16885523452353782"/>
              <c:y val="5.8351554793258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Pivot_Analysis!$B$88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DC-465D-971A-2F77A502AA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DC-465D-971A-2F77A502AA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DC-465D-971A-2F77A502AA19}"/>
              </c:ext>
            </c:extLst>
          </c:dPt>
          <c:dLbls>
            <c:dLbl>
              <c:idx val="0"/>
              <c:layout>
                <c:manualLayout>
                  <c:x val="0.11734007822822115"/>
                  <c:y val="5.835155479325860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2DC-465D-971A-2F77A502AA19}"/>
                </c:ext>
              </c:extLst>
            </c:dLbl>
            <c:dLbl>
              <c:idx val="1"/>
              <c:layout>
                <c:manualLayout>
                  <c:x val="-6.296296880538696E-2"/>
                  <c:y val="0.1283734205451689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2DC-465D-971A-2F77A502AA19}"/>
                </c:ext>
              </c:extLst>
            </c:dLbl>
            <c:dLbl>
              <c:idx val="2"/>
              <c:layout>
                <c:manualLayout>
                  <c:x val="-0.16885523452353782"/>
                  <c:y val="5.835155479325887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2DC-465D-971A-2F77A502AA1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Pivot_Analysis!$A$89:$A$92</c:f>
              <c:strCache>
                <c:ptCount val="3"/>
                <c:pt idx="0">
                  <c:v>Clothing</c:v>
                </c:pt>
                <c:pt idx="1">
                  <c:v>Electronics</c:v>
                </c:pt>
                <c:pt idx="2">
                  <c:v>Furniture</c:v>
                </c:pt>
              </c:strCache>
            </c:strRef>
          </c:cat>
          <c:val>
            <c:numRef>
              <c:f>Pivot_Analysis!$B$89:$B$92</c:f>
              <c:numCache>
                <c:formatCode>_ [$₹-4009]\ * #,##0_ ;_ [$₹-4009]\ * \-#,##0_ ;_ [$₹-4009]\ * "-"??_ ;_ @_ </c:formatCode>
                <c:ptCount val="3"/>
                <c:pt idx="0">
                  <c:v>11163</c:v>
                </c:pt>
                <c:pt idx="1">
                  <c:v>10494</c:v>
                </c:pt>
                <c:pt idx="2">
                  <c:v>2298</c:v>
                </c:pt>
              </c:numCache>
            </c:numRef>
          </c:val>
          <c:extLst>
            <c:ext xmlns:c16="http://schemas.microsoft.com/office/drawing/2014/chart" uri="{C3380CC4-5D6E-409C-BE32-E72D297353CC}">
              <c16:uniqueId val="{00000000-186F-4822-B446-1DD95940669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Monthly Revenue Trend – Peak in Jan ($60K+)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5">
                <a:lumMod val="75000"/>
              </a:schemeClr>
            </a:solidFill>
            <a:round/>
          </a:ln>
          <a:effectLst/>
        </c:spPr>
        <c:marker>
          <c:symbol val="none"/>
        </c:marker>
      </c:pivotFmt>
    </c:pivotFmts>
    <c:plotArea>
      <c:layout/>
      <c:lineChart>
        <c:grouping val="standard"/>
        <c:varyColors val="0"/>
        <c:ser>
          <c:idx val="0"/>
          <c:order val="0"/>
          <c:tx>
            <c:strRef>
              <c:f>Pivot_Analysis!$B$1</c:f>
              <c:strCache>
                <c:ptCount val="1"/>
                <c:pt idx="0">
                  <c:v>Total</c:v>
                </c:pt>
              </c:strCache>
            </c:strRef>
          </c:tx>
          <c:spPr>
            <a:ln w="28575" cap="rnd">
              <a:solidFill>
                <a:schemeClr val="accent5">
                  <a:lumMod val="75000"/>
                </a:schemeClr>
              </a:solidFill>
              <a:round/>
            </a:ln>
            <a:effectLst/>
          </c:spPr>
          <c:marker>
            <c:symbol val="none"/>
          </c:marker>
          <c:cat>
            <c:multiLvlStrRef>
              <c:f>Pivot_Analysis!$A$2:$A$16</c:f>
              <c:multiLvlStrCache>
                <c:ptCount val="12"/>
                <c:lvl>
                  <c:pt idx="0">
                    <c:v>Apr</c:v>
                  </c:pt>
                  <c:pt idx="1">
                    <c:v>May</c:v>
                  </c:pt>
                  <c:pt idx="2">
                    <c:v>Jun</c:v>
                  </c:pt>
                  <c:pt idx="3">
                    <c:v>Jul</c:v>
                  </c:pt>
                  <c:pt idx="4">
                    <c:v>Aug</c:v>
                  </c:pt>
                  <c:pt idx="5">
                    <c:v>Sep</c:v>
                  </c:pt>
                  <c:pt idx="6">
                    <c:v>Oct</c:v>
                  </c:pt>
                  <c:pt idx="7">
                    <c:v>Nov</c:v>
                  </c:pt>
                  <c:pt idx="8">
                    <c:v>Dec</c:v>
                  </c:pt>
                  <c:pt idx="9">
                    <c:v>Jan</c:v>
                  </c:pt>
                  <c:pt idx="10">
                    <c:v>Feb</c:v>
                  </c:pt>
                  <c:pt idx="11">
                    <c:v>Mar</c:v>
                  </c:pt>
                </c:lvl>
                <c:lvl>
                  <c:pt idx="0">
                    <c:v>2018</c:v>
                  </c:pt>
                  <c:pt idx="9">
                    <c:v>2019</c:v>
                  </c:pt>
                </c:lvl>
              </c:multiLvlStrCache>
            </c:multiLvlStrRef>
          </c:cat>
          <c:val>
            <c:numRef>
              <c:f>Pivot_Analysis!$B$2:$B$16</c:f>
              <c:numCache>
                <c:formatCode>_ [$₹-4009]\ * #,##0_ ;_ [$₹-4009]\ * \-#,##0_ ;_ [$₹-4009]\ * "-"??_ ;_ @_ </c:formatCode>
                <c:ptCount val="12"/>
                <c:pt idx="0">
                  <c:v>32726</c:v>
                </c:pt>
                <c:pt idx="1">
                  <c:v>28545</c:v>
                </c:pt>
                <c:pt idx="2">
                  <c:v>23658</c:v>
                </c:pt>
                <c:pt idx="3">
                  <c:v>12966</c:v>
                </c:pt>
                <c:pt idx="4">
                  <c:v>30899</c:v>
                </c:pt>
                <c:pt idx="5">
                  <c:v>26628</c:v>
                </c:pt>
                <c:pt idx="6">
                  <c:v>31615</c:v>
                </c:pt>
                <c:pt idx="7">
                  <c:v>48086</c:v>
                </c:pt>
                <c:pt idx="8">
                  <c:v>37579</c:v>
                </c:pt>
                <c:pt idx="9">
                  <c:v>61439</c:v>
                </c:pt>
                <c:pt idx="10">
                  <c:v>38424</c:v>
                </c:pt>
                <c:pt idx="11">
                  <c:v>58937</c:v>
                </c:pt>
              </c:numCache>
            </c:numRef>
          </c:val>
          <c:smooth val="0"/>
          <c:extLst>
            <c:ext xmlns:c16="http://schemas.microsoft.com/office/drawing/2014/chart" uri="{C3380CC4-5D6E-409C-BE32-E72D297353CC}">
              <c16:uniqueId val="{00000000-63EE-422C-B881-52DC7C61A2DA}"/>
            </c:ext>
          </c:extLst>
        </c:ser>
        <c:dLbls>
          <c:showLegendKey val="0"/>
          <c:showVal val="0"/>
          <c:showCatName val="0"/>
          <c:showSerName val="0"/>
          <c:showPercent val="0"/>
          <c:showBubbleSize val="0"/>
        </c:dLbls>
        <c:smooth val="0"/>
        <c:axId val="933539839"/>
        <c:axId val="834707167"/>
      </c:lineChart>
      <c:catAx>
        <c:axId val="93353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707167"/>
        <c:crosses val="autoZero"/>
        <c:auto val="1"/>
        <c:lblAlgn val="ctr"/>
        <c:lblOffset val="100"/>
        <c:noMultiLvlLbl val="0"/>
      </c:catAx>
      <c:valAx>
        <c:axId val="834707167"/>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39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Electronics Category Generates Highest Revenue ($165K+)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Pivot_Analysis!$B$21</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Pivot_Analysis!$A$22:$A$25</c:f>
              <c:strCache>
                <c:ptCount val="3"/>
                <c:pt idx="0">
                  <c:v>Clothing</c:v>
                </c:pt>
                <c:pt idx="1">
                  <c:v>Electronics</c:v>
                </c:pt>
                <c:pt idx="2">
                  <c:v>Furniture</c:v>
                </c:pt>
              </c:strCache>
            </c:strRef>
          </c:cat>
          <c:val>
            <c:numRef>
              <c:f>Pivot_Analysis!$B$22:$B$25</c:f>
              <c:numCache>
                <c:formatCode>_ [$₹-4009]\ * #,##0_ ;_ [$₹-4009]\ * \-#,##0_ ;_ [$₹-4009]\ * "-"??_ ;_ @_ </c:formatCode>
                <c:ptCount val="3"/>
                <c:pt idx="0">
                  <c:v>139054</c:v>
                </c:pt>
                <c:pt idx="1">
                  <c:v>165267</c:v>
                </c:pt>
                <c:pt idx="2">
                  <c:v>127181</c:v>
                </c:pt>
              </c:numCache>
            </c:numRef>
          </c:val>
          <c:extLst>
            <c:ext xmlns:c16="http://schemas.microsoft.com/office/drawing/2014/chart" uri="{C3380CC4-5D6E-409C-BE32-E72D297353CC}">
              <c16:uniqueId val="{00000000-E950-4D4E-8212-9196E64E400E}"/>
            </c:ext>
          </c:extLst>
        </c:ser>
        <c:dLbls>
          <c:dLblPos val="outEnd"/>
          <c:showLegendKey val="0"/>
          <c:showVal val="1"/>
          <c:showCatName val="0"/>
          <c:showSerName val="0"/>
          <c:showPercent val="0"/>
          <c:showBubbleSize val="0"/>
        </c:dLbls>
        <c:gapWidth val="182"/>
        <c:axId val="995902431"/>
        <c:axId val="996981935"/>
      </c:barChart>
      <c:catAx>
        <c:axId val="995902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981935"/>
        <c:crosses val="autoZero"/>
        <c:auto val="1"/>
        <c:lblAlgn val="ctr"/>
        <c:lblOffset val="100"/>
        <c:noMultiLvlLbl val="0"/>
      </c:catAx>
      <c:valAx>
        <c:axId val="996981935"/>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902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States by Revenue – Maharashtra Dominates</a:t>
            </a:r>
            <a:endParaRPr lang="en-US" sz="14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5">
              <a:lumMod val="75000"/>
            </a:schemeClr>
          </a:solidFill>
          <a:ln>
            <a:solidFill>
              <a:schemeClr val="accent5">
                <a:lumMod val="20000"/>
                <a:lumOff val="80000"/>
              </a:schemeClr>
            </a:solidFill>
          </a:ln>
          <a:effectLst/>
        </c:spPr>
        <c:marker>
          <c:symbol val="none"/>
        </c:marker>
      </c:pivotFmt>
    </c:pivotFmts>
    <c:plotArea>
      <c:layout>
        <c:manualLayout>
          <c:layoutTarget val="inner"/>
          <c:xMode val="edge"/>
          <c:yMode val="edge"/>
          <c:x val="0.17039610645016229"/>
          <c:y val="0.15736335384238723"/>
          <c:w val="0.7850527925461851"/>
          <c:h val="0.69109836424779159"/>
        </c:manualLayout>
      </c:layout>
      <c:barChart>
        <c:barDir val="bar"/>
        <c:grouping val="clustered"/>
        <c:varyColors val="0"/>
        <c:ser>
          <c:idx val="0"/>
          <c:order val="0"/>
          <c:tx>
            <c:strRef>
              <c:f>Pivot_Analysis!$B$34</c:f>
              <c:strCache>
                <c:ptCount val="1"/>
                <c:pt idx="0">
                  <c:v>Total</c:v>
                </c:pt>
              </c:strCache>
            </c:strRef>
          </c:tx>
          <c:spPr>
            <a:solidFill>
              <a:schemeClr val="accent5">
                <a:lumMod val="75000"/>
              </a:schemeClr>
            </a:solidFill>
            <a:ln>
              <a:solidFill>
                <a:schemeClr val="accent5">
                  <a:lumMod val="20000"/>
                  <a:lumOff val="80000"/>
                </a:schemeClr>
              </a:solidFill>
            </a:ln>
            <a:effectLst/>
          </c:spPr>
          <c:invertIfNegative val="0"/>
          <c:cat>
            <c:strRef>
              <c:f>Pivot_Analysis!$A$35:$A$45</c:f>
              <c:strCache>
                <c:ptCount val="10"/>
                <c:pt idx="0">
                  <c:v>Kerala </c:v>
                </c:pt>
                <c:pt idx="1">
                  <c:v>West Bengal</c:v>
                </c:pt>
                <c:pt idx="2">
                  <c:v>Karnataka</c:v>
                </c:pt>
                <c:pt idx="3">
                  <c:v>Punjab</c:v>
                </c:pt>
                <c:pt idx="4">
                  <c:v>Gujarat</c:v>
                </c:pt>
                <c:pt idx="5">
                  <c:v>Rajasthan</c:v>
                </c:pt>
                <c:pt idx="6">
                  <c:v>Uttar Pradesh</c:v>
                </c:pt>
                <c:pt idx="7">
                  <c:v>Delhi</c:v>
                </c:pt>
                <c:pt idx="8">
                  <c:v>Maharashtra</c:v>
                </c:pt>
                <c:pt idx="9">
                  <c:v>Madhya Pradesh</c:v>
                </c:pt>
              </c:strCache>
            </c:strRef>
          </c:cat>
          <c:val>
            <c:numRef>
              <c:f>Pivot_Analysis!$B$35:$B$45</c:f>
              <c:numCache>
                <c:formatCode>_ [$₹-4009]\ * #,##0_ ;_ [$₹-4009]\ * \-#,##0_ ;_ [$₹-4009]\ * "-"??_ ;_ @_ </c:formatCode>
                <c:ptCount val="10"/>
                <c:pt idx="0">
                  <c:v>13459</c:v>
                </c:pt>
                <c:pt idx="1">
                  <c:v>14086</c:v>
                </c:pt>
                <c:pt idx="2">
                  <c:v>15058</c:v>
                </c:pt>
                <c:pt idx="3">
                  <c:v>16786</c:v>
                </c:pt>
                <c:pt idx="4">
                  <c:v>21058</c:v>
                </c:pt>
                <c:pt idx="5">
                  <c:v>21149</c:v>
                </c:pt>
                <c:pt idx="6">
                  <c:v>22359</c:v>
                </c:pt>
                <c:pt idx="7">
                  <c:v>22531</c:v>
                </c:pt>
                <c:pt idx="8">
                  <c:v>95348</c:v>
                </c:pt>
                <c:pt idx="9">
                  <c:v>105140</c:v>
                </c:pt>
              </c:numCache>
            </c:numRef>
          </c:val>
          <c:extLst>
            <c:ext xmlns:c16="http://schemas.microsoft.com/office/drawing/2014/chart" uri="{C3380CC4-5D6E-409C-BE32-E72D297353CC}">
              <c16:uniqueId val="{00000000-A148-4770-8B44-A880AD338BC1}"/>
            </c:ext>
          </c:extLst>
        </c:ser>
        <c:dLbls>
          <c:showLegendKey val="0"/>
          <c:showVal val="0"/>
          <c:showCatName val="0"/>
          <c:showSerName val="0"/>
          <c:showPercent val="0"/>
          <c:showBubbleSize val="0"/>
        </c:dLbls>
        <c:gapWidth val="182"/>
        <c:axId val="995911231"/>
        <c:axId val="994753583"/>
      </c:barChart>
      <c:catAx>
        <c:axId val="995911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753583"/>
        <c:crosses val="autoZero"/>
        <c:auto val="1"/>
        <c:lblAlgn val="ctr"/>
        <c:lblOffset val="100"/>
        <c:noMultiLvlLbl val="0"/>
      </c:catAx>
      <c:valAx>
        <c:axId val="994753583"/>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911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[Mis_Project_final.xlsm]Pivot_Analysis!PivotTable5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Revenue Concentration – Few Customers Drive Sales</a:t>
            </a:r>
            <a:endParaRPr lang="en-IN" sz="1200"/>
          </a:p>
        </c:rich>
      </c:tx>
      <c:layout>
        <c:manualLayout>
          <c:xMode val="edge"/>
          <c:yMode val="edge"/>
          <c:x val="9.2116681617329499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rgbClr val="1EEAEA"/>
          </a:solidFill>
          <a:ln>
            <a:noFill/>
          </a:ln>
          <a:effectLst/>
        </c:spPr>
        <c:marker>
          <c:symbol val="none"/>
        </c:marker>
      </c:pivotFmt>
      <c:pivotFmt>
        <c:idx val="5"/>
        <c:spPr>
          <a:ln w="28575" cap="rnd">
            <a:solidFill>
              <a:schemeClr val="accent1">
                <a:lumMod val="75000"/>
              </a:schemeClr>
            </a:solidFill>
            <a:round/>
          </a:ln>
          <a:effectLst/>
        </c:spPr>
        <c:marker>
          <c:symbol val="none"/>
        </c:marker>
      </c:pivotFmt>
    </c:pivotFmts>
    <c:plotArea>
      <c:layout>
        <c:manualLayout>
          <c:layoutTarget val="inner"/>
          <c:xMode val="edge"/>
          <c:yMode val="edge"/>
          <c:x val="0.14006086039631632"/>
          <c:y val="0.23365228174603178"/>
          <c:w val="0.79497951834997738"/>
          <c:h val="0.42249702380952381"/>
        </c:manualLayout>
      </c:layout>
      <c:barChart>
        <c:barDir val="col"/>
        <c:grouping val="clustered"/>
        <c:varyColors val="0"/>
        <c:ser>
          <c:idx val="0"/>
          <c:order val="0"/>
          <c:tx>
            <c:strRef>
              <c:f>Pivot_Analysis!$B$71</c:f>
              <c:strCache>
                <c:ptCount val="1"/>
                <c:pt idx="0">
                  <c:v>Sum of Revenue</c:v>
                </c:pt>
              </c:strCache>
            </c:strRef>
          </c:tx>
          <c:spPr>
            <a:solidFill>
              <a:srgbClr val="1EEAEA"/>
            </a:solidFill>
            <a:ln>
              <a:noFill/>
            </a:ln>
            <a:effectLst/>
          </c:spPr>
          <c:invertIfNegative val="0"/>
          <c:cat>
            <c:strRef>
              <c:f>Pivot_Analysis!$A$72:$A$82</c:f>
              <c:strCache>
                <c:ptCount val="10"/>
                <c:pt idx="0">
                  <c:v>Yaanvi</c:v>
                </c:pt>
                <c:pt idx="1">
                  <c:v>Pooja</c:v>
                </c:pt>
                <c:pt idx="2">
                  <c:v>Abhishek</c:v>
                </c:pt>
                <c:pt idx="3">
                  <c:v>Surabhi</c:v>
                </c:pt>
                <c:pt idx="4">
                  <c:v>Soumya</c:v>
                </c:pt>
                <c:pt idx="5">
                  <c:v>Harshal</c:v>
                </c:pt>
                <c:pt idx="6">
                  <c:v>Priyanka</c:v>
                </c:pt>
                <c:pt idx="7">
                  <c:v>Shruti</c:v>
                </c:pt>
                <c:pt idx="8">
                  <c:v>Abhijeet</c:v>
                </c:pt>
                <c:pt idx="9">
                  <c:v>Sarita</c:v>
                </c:pt>
              </c:strCache>
            </c:strRef>
          </c:cat>
          <c:val>
            <c:numRef>
              <c:f>Pivot_Analysis!$B$72:$B$82</c:f>
              <c:numCache>
                <c:formatCode>_ [$₹-4009]\ * #,##0_ ;_ [$₹-4009]\ * \-#,##0_ ;_ [$₹-4009]\ * "-"??_ ;_ @_ </c:formatCode>
                <c:ptCount val="10"/>
                <c:pt idx="0">
                  <c:v>9177</c:v>
                </c:pt>
                <c:pt idx="1">
                  <c:v>9030</c:v>
                </c:pt>
                <c:pt idx="2">
                  <c:v>8135</c:v>
                </c:pt>
                <c:pt idx="3">
                  <c:v>6889</c:v>
                </c:pt>
                <c:pt idx="4">
                  <c:v>6869</c:v>
                </c:pt>
                <c:pt idx="5">
                  <c:v>6026</c:v>
                </c:pt>
                <c:pt idx="6">
                  <c:v>5762</c:v>
                </c:pt>
                <c:pt idx="7">
                  <c:v>5750</c:v>
                </c:pt>
                <c:pt idx="8">
                  <c:v>5691</c:v>
                </c:pt>
                <c:pt idx="9">
                  <c:v>5449</c:v>
                </c:pt>
              </c:numCache>
            </c:numRef>
          </c:val>
          <c:extLst>
            <c:ext xmlns:c16="http://schemas.microsoft.com/office/drawing/2014/chart" uri="{C3380CC4-5D6E-409C-BE32-E72D297353CC}">
              <c16:uniqueId val="{00000000-BFA5-46AA-B988-BEE8AA0665BD}"/>
            </c:ext>
          </c:extLst>
        </c:ser>
        <c:dLbls>
          <c:showLegendKey val="0"/>
          <c:showVal val="0"/>
          <c:showCatName val="0"/>
          <c:showSerName val="0"/>
          <c:showPercent val="0"/>
          <c:showBubbleSize val="0"/>
        </c:dLbls>
        <c:gapWidth val="219"/>
        <c:overlap val="-27"/>
        <c:axId val="1070142959"/>
        <c:axId val="719096703"/>
      </c:barChart>
      <c:lineChart>
        <c:grouping val="standard"/>
        <c:varyColors val="0"/>
        <c:ser>
          <c:idx val="1"/>
          <c:order val="1"/>
          <c:tx>
            <c:strRef>
              <c:f>Pivot_Analysis!$C$71</c:f>
              <c:strCache>
                <c:ptCount val="1"/>
                <c:pt idx="0">
                  <c:v>Customer Rank</c:v>
                </c:pt>
              </c:strCache>
            </c:strRef>
          </c:tx>
          <c:spPr>
            <a:ln w="28575" cap="rnd">
              <a:solidFill>
                <a:schemeClr val="accent1">
                  <a:lumMod val="75000"/>
                </a:schemeClr>
              </a:solidFill>
              <a:round/>
            </a:ln>
            <a:effectLst/>
          </c:spPr>
          <c:marker>
            <c:symbol val="none"/>
          </c:marker>
          <c:cat>
            <c:strRef>
              <c:f>Pivot_Analysis!$A$72:$A$82</c:f>
              <c:strCache>
                <c:ptCount val="10"/>
                <c:pt idx="0">
                  <c:v>Yaanvi</c:v>
                </c:pt>
                <c:pt idx="1">
                  <c:v>Pooja</c:v>
                </c:pt>
                <c:pt idx="2">
                  <c:v>Abhishek</c:v>
                </c:pt>
                <c:pt idx="3">
                  <c:v>Surabhi</c:v>
                </c:pt>
                <c:pt idx="4">
                  <c:v>Soumya</c:v>
                </c:pt>
                <c:pt idx="5">
                  <c:v>Harshal</c:v>
                </c:pt>
                <c:pt idx="6">
                  <c:v>Priyanka</c:v>
                </c:pt>
                <c:pt idx="7">
                  <c:v>Shruti</c:v>
                </c:pt>
                <c:pt idx="8">
                  <c:v>Abhijeet</c:v>
                </c:pt>
                <c:pt idx="9">
                  <c:v>Sarita</c:v>
                </c:pt>
              </c:strCache>
            </c:strRef>
          </c:cat>
          <c:val>
            <c:numRef>
              <c:f>Pivot_Analysis!$C$72:$C$82</c:f>
              <c:numCache>
                <c:formatCode>General</c:formatCode>
                <c:ptCount val="10"/>
                <c:pt idx="0">
                  <c:v>1</c:v>
                </c:pt>
                <c:pt idx="1">
                  <c:v>2</c:v>
                </c:pt>
                <c:pt idx="2">
                  <c:v>3</c:v>
                </c:pt>
                <c:pt idx="3">
                  <c:v>4</c:v>
                </c:pt>
                <c:pt idx="4">
                  <c:v>5</c:v>
                </c:pt>
                <c:pt idx="5">
                  <c:v>6</c:v>
                </c:pt>
                <c:pt idx="6">
                  <c:v>7</c:v>
                </c:pt>
                <c:pt idx="7">
                  <c:v>8</c:v>
                </c:pt>
                <c:pt idx="8">
                  <c:v>9</c:v>
                </c:pt>
                <c:pt idx="9">
                  <c:v>10</c:v>
                </c:pt>
              </c:numCache>
            </c:numRef>
          </c:val>
          <c:smooth val="0"/>
          <c:extLst>
            <c:ext xmlns:c16="http://schemas.microsoft.com/office/drawing/2014/chart" uri="{C3380CC4-5D6E-409C-BE32-E72D297353CC}">
              <c16:uniqueId val="{00000001-BFA5-46AA-B988-BEE8AA0665BD}"/>
            </c:ext>
          </c:extLst>
        </c:ser>
        <c:dLbls>
          <c:showLegendKey val="0"/>
          <c:showVal val="0"/>
          <c:showCatName val="0"/>
          <c:showSerName val="0"/>
          <c:showPercent val="0"/>
          <c:showBubbleSize val="0"/>
        </c:dLbls>
        <c:marker val="1"/>
        <c:smooth val="0"/>
        <c:axId val="1063696015"/>
        <c:axId val="719097535"/>
      </c:lineChart>
      <c:catAx>
        <c:axId val="1070142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096703"/>
        <c:crosses val="autoZero"/>
        <c:auto val="1"/>
        <c:lblAlgn val="ctr"/>
        <c:lblOffset val="100"/>
        <c:noMultiLvlLbl val="0"/>
      </c:catAx>
      <c:valAx>
        <c:axId val="719096703"/>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142959"/>
        <c:crosses val="autoZero"/>
        <c:crossBetween val="between"/>
      </c:valAx>
      <c:valAx>
        <c:axId val="7190975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696015"/>
        <c:crosses val="max"/>
        <c:crossBetween val="between"/>
      </c:valAx>
      <c:catAx>
        <c:axId val="1063696015"/>
        <c:scaling>
          <c:orientation val="minMax"/>
        </c:scaling>
        <c:delete val="1"/>
        <c:axPos val="b"/>
        <c:numFmt formatCode="General" sourceLinked="1"/>
        <c:majorTickMark val="out"/>
        <c:minorTickMark val="none"/>
        <c:tickLblPos val="nextTo"/>
        <c:crossAx val="719097535"/>
        <c:crosses val="autoZero"/>
        <c:auto val="1"/>
        <c:lblAlgn val="ctr"/>
        <c:lblOffset val="100"/>
        <c:noMultiLvlLbl val="0"/>
      </c:catAx>
      <c:spPr>
        <a:noFill/>
        <a:ln>
          <a:noFill/>
        </a:ln>
        <a:effectLst/>
      </c:spPr>
    </c:plotArea>
    <c:legend>
      <c:legendPos val="b"/>
      <c:layout>
        <c:manualLayout>
          <c:xMode val="edge"/>
          <c:yMode val="edge"/>
          <c:x val="0.22466593574537361"/>
          <c:y val="0.89369345238095244"/>
          <c:w val="0.55066812850925284"/>
          <c:h val="0.10630654761904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9.xml"/><Relationship Id="rId7" Type="http://schemas.openxmlformats.org/officeDocument/2006/relationships/image" Target="../media/image3.png"/><Relationship Id="rId12" Type="http://schemas.openxmlformats.org/officeDocument/2006/relationships/image" Target="../media/image8.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10.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2241</xdr:colOff>
      <xdr:row>0</xdr:row>
      <xdr:rowOff>183215</xdr:rowOff>
    </xdr:from>
    <xdr:to>
      <xdr:col>11</xdr:col>
      <xdr:colOff>503991</xdr:colOff>
      <xdr:row>15</xdr:row>
      <xdr:rowOff>68915</xdr:rowOff>
    </xdr:to>
    <xdr:graphicFrame macro="">
      <xdr:nvGraphicFramePr>
        <xdr:cNvPr id="2" name="Chart 1">
          <a:extLst>
            <a:ext uri="{FF2B5EF4-FFF2-40B4-BE49-F238E27FC236}">
              <a16:creationId xmlns:a16="http://schemas.microsoft.com/office/drawing/2014/main" id="{A8038B2C-0979-4F7A-9755-E82D64F923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529</xdr:colOff>
      <xdr:row>19</xdr:row>
      <xdr:rowOff>181503</xdr:rowOff>
    </xdr:from>
    <xdr:to>
      <xdr:col>11</xdr:col>
      <xdr:colOff>502278</xdr:colOff>
      <xdr:row>30</xdr:row>
      <xdr:rowOff>179916</xdr:rowOff>
    </xdr:to>
    <xdr:graphicFrame macro="">
      <xdr:nvGraphicFramePr>
        <xdr:cNvPr id="3" name="Chart 2">
          <a:extLst>
            <a:ext uri="{FF2B5EF4-FFF2-40B4-BE49-F238E27FC236}">
              <a16:creationId xmlns:a16="http://schemas.microsoft.com/office/drawing/2014/main" id="{269EDBE6-CA01-44CD-9BAE-DA6B7581E3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1587</xdr:colOff>
      <xdr:row>33</xdr:row>
      <xdr:rowOff>179387</xdr:rowOff>
    </xdr:from>
    <xdr:to>
      <xdr:col>11</xdr:col>
      <xdr:colOff>504849</xdr:colOff>
      <xdr:row>48</xdr:row>
      <xdr:rowOff>65087</xdr:rowOff>
    </xdr:to>
    <xdr:graphicFrame macro="">
      <xdr:nvGraphicFramePr>
        <xdr:cNvPr id="4" name="Chart 3">
          <a:extLst>
            <a:ext uri="{FF2B5EF4-FFF2-40B4-BE49-F238E27FC236}">
              <a16:creationId xmlns:a16="http://schemas.microsoft.com/office/drawing/2014/main" id="{9FB9AE0C-7D7D-4E64-8C03-4A0C6CAF0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12170</xdr:colOff>
      <xdr:row>54</xdr:row>
      <xdr:rowOff>23812</xdr:rowOff>
    </xdr:from>
    <xdr:to>
      <xdr:col>11</xdr:col>
      <xdr:colOff>513919</xdr:colOff>
      <xdr:row>66</xdr:row>
      <xdr:rowOff>171450</xdr:rowOff>
    </xdr:to>
    <xdr:graphicFrame macro="">
      <xdr:nvGraphicFramePr>
        <xdr:cNvPr id="5" name="Chart 4">
          <a:extLst>
            <a:ext uri="{FF2B5EF4-FFF2-40B4-BE49-F238E27FC236}">
              <a16:creationId xmlns:a16="http://schemas.microsoft.com/office/drawing/2014/main" id="{D152DCBD-0D79-468C-B4D7-1B2AA1D52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5821</xdr:colOff>
      <xdr:row>69</xdr:row>
      <xdr:rowOff>175153</xdr:rowOff>
    </xdr:from>
    <xdr:to>
      <xdr:col>11</xdr:col>
      <xdr:colOff>507570</xdr:colOff>
      <xdr:row>84</xdr:row>
      <xdr:rowOff>60853</xdr:rowOff>
    </xdr:to>
    <xdr:graphicFrame macro="">
      <xdr:nvGraphicFramePr>
        <xdr:cNvPr id="6" name="Chart 5">
          <a:extLst>
            <a:ext uri="{FF2B5EF4-FFF2-40B4-BE49-F238E27FC236}">
              <a16:creationId xmlns:a16="http://schemas.microsoft.com/office/drawing/2014/main" id="{EE398BEE-0895-47C2-9B85-46DD568B2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599515</xdr:colOff>
      <xdr:row>87</xdr:row>
      <xdr:rowOff>6879</xdr:rowOff>
    </xdr:from>
    <xdr:to>
      <xdr:col>11</xdr:col>
      <xdr:colOff>488943</xdr:colOff>
      <xdr:row>98</xdr:row>
      <xdr:rowOff>87842</xdr:rowOff>
    </xdr:to>
    <xdr:graphicFrame macro="">
      <xdr:nvGraphicFramePr>
        <xdr:cNvPr id="7" name="Chart 6">
          <a:extLst>
            <a:ext uri="{FF2B5EF4-FFF2-40B4-BE49-F238E27FC236}">
              <a16:creationId xmlns:a16="http://schemas.microsoft.com/office/drawing/2014/main" id="{53FE9CC5-E07F-4D95-90F7-5644726072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42956</xdr:colOff>
      <xdr:row>101</xdr:row>
      <xdr:rowOff>21789</xdr:rowOff>
    </xdr:from>
    <xdr:to>
      <xdr:col>4</xdr:col>
      <xdr:colOff>75329</xdr:colOff>
      <xdr:row>109</xdr:row>
      <xdr:rowOff>21789</xdr:rowOff>
    </xdr:to>
    <xdr:sp macro="" textlink="">
      <xdr:nvSpPr>
        <xdr:cNvPr id="8" name="TextBox 7">
          <a:extLst>
            <a:ext uri="{FF2B5EF4-FFF2-40B4-BE49-F238E27FC236}">
              <a16:creationId xmlns:a16="http://schemas.microsoft.com/office/drawing/2014/main" id="{6D75177B-5A8D-418A-86B7-035DF9DF0534}"/>
            </a:ext>
          </a:extLst>
        </xdr:cNvPr>
        <xdr:cNvSpPr txBox="1"/>
      </xdr:nvSpPr>
      <xdr:spPr>
        <a:xfrm>
          <a:off x="42956" y="18690789"/>
          <a:ext cx="3694206"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 Key Insights:</a:t>
          </a:r>
        </a:p>
        <a:p>
          <a:endParaRPr lang="en-IN" sz="1400" b="1"/>
        </a:p>
        <a:p>
          <a:r>
            <a:rPr lang="en-IN" sz="1100"/>
            <a:t>• January is highest revenue month (~₹61K)</a:t>
          </a:r>
        </a:p>
        <a:p>
          <a:r>
            <a:rPr lang="en-IN" sz="1100"/>
            <a:t>• Electronics category contributes highest sales</a:t>
          </a:r>
        </a:p>
        <a:p>
          <a:r>
            <a:rPr lang="en-IN" sz="1100"/>
            <a:t>• Madhya Pradesh is top-performing state</a:t>
          </a:r>
        </a:p>
        <a:p>
          <a:r>
            <a:rPr lang="en-IN" sz="1100"/>
            <a:t>• Top 3 products generate majority revenue</a:t>
          </a:r>
        </a:p>
        <a:p>
          <a:r>
            <a:rPr lang="en-IN" sz="1100"/>
            <a:t>• Clothing contributes highest profit share (47%)</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159355</xdr:colOff>
      <xdr:row>2</xdr:row>
      <xdr:rowOff>117082</xdr:rowOff>
    </xdr:from>
    <xdr:to>
      <xdr:col>3</xdr:col>
      <xdr:colOff>428625</xdr:colOff>
      <xdr:row>5</xdr:row>
      <xdr:rowOff>85582</xdr:rowOff>
    </xdr:to>
    <xdr:sp macro="" textlink="">
      <xdr:nvSpPr>
        <xdr:cNvPr id="7" name="Rectangle: Rounded Corners 6">
          <a:extLst>
            <a:ext uri="{FF2B5EF4-FFF2-40B4-BE49-F238E27FC236}">
              <a16:creationId xmlns:a16="http://schemas.microsoft.com/office/drawing/2014/main" id="{0259933E-7044-4DAC-BD38-923E73820381}"/>
            </a:ext>
          </a:extLst>
        </xdr:cNvPr>
        <xdr:cNvSpPr/>
      </xdr:nvSpPr>
      <xdr:spPr>
        <a:xfrm>
          <a:off x="159355" y="498082"/>
          <a:ext cx="2288570" cy="54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00"/>
            <a:t>431502</a:t>
          </a:r>
        </a:p>
      </xdr:txBody>
    </xdr:sp>
    <xdr:clientData/>
  </xdr:twoCellAnchor>
  <xdr:twoCellAnchor>
    <xdr:from>
      <xdr:col>0</xdr:col>
      <xdr:colOff>367515</xdr:colOff>
      <xdr:row>2</xdr:row>
      <xdr:rowOff>155121</xdr:rowOff>
    </xdr:from>
    <xdr:to>
      <xdr:col>3</xdr:col>
      <xdr:colOff>249790</xdr:colOff>
      <xdr:row>4</xdr:row>
      <xdr:rowOff>12246</xdr:rowOff>
    </xdr:to>
    <xdr:sp macro="" textlink="">
      <xdr:nvSpPr>
        <xdr:cNvPr id="11" name="TextBox 10">
          <a:extLst>
            <a:ext uri="{FF2B5EF4-FFF2-40B4-BE49-F238E27FC236}">
              <a16:creationId xmlns:a16="http://schemas.microsoft.com/office/drawing/2014/main" id="{157D84EC-5431-48C9-A4C6-F7A2274C9AEB}"/>
            </a:ext>
          </a:extLst>
        </xdr:cNvPr>
        <xdr:cNvSpPr txBox="1"/>
      </xdr:nvSpPr>
      <xdr:spPr>
        <a:xfrm>
          <a:off x="367515" y="536121"/>
          <a:ext cx="190973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pPr algn="ctr"/>
          <a:r>
            <a:rPr lang="en-IN" b="1">
              <a:solidFill>
                <a:schemeClr val="bg1">
                  <a:lumMod val="50000"/>
                </a:schemeClr>
              </a:solidFill>
            </a:rPr>
            <a:t>Total Revenue Generated</a:t>
          </a:r>
          <a:endParaRPr lang="en-IN" sz="1100" b="1">
            <a:solidFill>
              <a:schemeClr val="bg1">
                <a:lumMod val="50000"/>
              </a:schemeClr>
            </a:solidFill>
          </a:endParaRPr>
        </a:p>
      </xdr:txBody>
    </xdr:sp>
    <xdr:clientData/>
  </xdr:twoCellAnchor>
  <xdr:twoCellAnchor editAs="absolute">
    <xdr:from>
      <xdr:col>3</xdr:col>
      <xdr:colOff>531151</xdr:colOff>
      <xdr:row>2</xdr:row>
      <xdr:rowOff>117082</xdr:rowOff>
    </xdr:from>
    <xdr:to>
      <xdr:col>7</xdr:col>
      <xdr:colOff>379395</xdr:colOff>
      <xdr:row>5</xdr:row>
      <xdr:rowOff>85582</xdr:rowOff>
    </xdr:to>
    <xdr:sp macro="" textlink="">
      <xdr:nvSpPr>
        <xdr:cNvPr id="12" name="Rectangle: Rounded Corners 11">
          <a:extLst>
            <a:ext uri="{FF2B5EF4-FFF2-40B4-BE49-F238E27FC236}">
              <a16:creationId xmlns:a16="http://schemas.microsoft.com/office/drawing/2014/main" id="{B91DB643-0284-4CFB-805B-79E61578413D}"/>
            </a:ext>
          </a:extLst>
        </xdr:cNvPr>
        <xdr:cNvSpPr/>
      </xdr:nvSpPr>
      <xdr:spPr>
        <a:xfrm>
          <a:off x="2550451" y="498082"/>
          <a:ext cx="2286644" cy="54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00"/>
            <a:t>431502</a:t>
          </a:r>
        </a:p>
      </xdr:txBody>
    </xdr:sp>
    <xdr:clientData/>
  </xdr:twoCellAnchor>
  <xdr:twoCellAnchor editAs="absolute">
    <xdr:from>
      <xdr:col>7</xdr:col>
      <xdr:colOff>481921</xdr:colOff>
      <xdr:row>2</xdr:row>
      <xdr:rowOff>117082</xdr:rowOff>
    </xdr:from>
    <xdr:to>
      <xdr:col>11</xdr:col>
      <xdr:colOff>338513</xdr:colOff>
      <xdr:row>5</xdr:row>
      <xdr:rowOff>85582</xdr:rowOff>
    </xdr:to>
    <xdr:sp macro="" textlink="">
      <xdr:nvSpPr>
        <xdr:cNvPr id="13" name="Rectangle: Rounded Corners 12">
          <a:extLst>
            <a:ext uri="{FF2B5EF4-FFF2-40B4-BE49-F238E27FC236}">
              <a16:creationId xmlns:a16="http://schemas.microsoft.com/office/drawing/2014/main" id="{241C5628-A0B0-4835-A4E8-514374BC03A0}"/>
            </a:ext>
          </a:extLst>
        </xdr:cNvPr>
        <xdr:cNvSpPr/>
      </xdr:nvSpPr>
      <xdr:spPr>
        <a:xfrm>
          <a:off x="4939621" y="498082"/>
          <a:ext cx="2294992" cy="54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00"/>
            <a:t>431502</a:t>
          </a:r>
        </a:p>
      </xdr:txBody>
    </xdr:sp>
    <xdr:clientData/>
  </xdr:twoCellAnchor>
  <xdr:twoCellAnchor editAs="absolute">
    <xdr:from>
      <xdr:col>11</xdr:col>
      <xdr:colOff>441038</xdr:colOff>
      <xdr:row>2</xdr:row>
      <xdr:rowOff>117082</xdr:rowOff>
    </xdr:from>
    <xdr:to>
      <xdr:col>15</xdr:col>
      <xdr:colOff>438150</xdr:colOff>
      <xdr:row>5</xdr:row>
      <xdr:rowOff>85582</xdr:rowOff>
    </xdr:to>
    <xdr:sp macro="" textlink="">
      <xdr:nvSpPr>
        <xdr:cNvPr id="14" name="Rectangle: Rounded Corners 13">
          <a:extLst>
            <a:ext uri="{FF2B5EF4-FFF2-40B4-BE49-F238E27FC236}">
              <a16:creationId xmlns:a16="http://schemas.microsoft.com/office/drawing/2014/main" id="{8A614A1B-FD13-4D46-B170-EF9A3DA0EE6A}"/>
            </a:ext>
          </a:extLst>
        </xdr:cNvPr>
        <xdr:cNvSpPr/>
      </xdr:nvSpPr>
      <xdr:spPr>
        <a:xfrm>
          <a:off x="7337138" y="498082"/>
          <a:ext cx="2435512" cy="54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00"/>
            <a:t>431502</a:t>
          </a:r>
        </a:p>
      </xdr:txBody>
    </xdr:sp>
    <xdr:clientData/>
  </xdr:twoCellAnchor>
  <xdr:twoCellAnchor>
    <xdr:from>
      <xdr:col>4</xdr:col>
      <xdr:colOff>76092</xdr:colOff>
      <xdr:row>2</xdr:row>
      <xdr:rowOff>142875</xdr:rowOff>
    </xdr:from>
    <xdr:to>
      <xdr:col>7</xdr:col>
      <xdr:colOff>151008</xdr:colOff>
      <xdr:row>3</xdr:row>
      <xdr:rowOff>180975</xdr:rowOff>
    </xdr:to>
    <xdr:sp macro="" textlink="">
      <xdr:nvSpPr>
        <xdr:cNvPr id="15" name="TextBox 14">
          <a:extLst>
            <a:ext uri="{FF2B5EF4-FFF2-40B4-BE49-F238E27FC236}">
              <a16:creationId xmlns:a16="http://schemas.microsoft.com/office/drawing/2014/main" id="{B0473C5C-4839-41EC-95DA-36152D3EA8C1}"/>
            </a:ext>
          </a:extLst>
        </xdr:cNvPr>
        <xdr:cNvSpPr txBox="1"/>
      </xdr:nvSpPr>
      <xdr:spPr>
        <a:xfrm>
          <a:off x="2704992" y="523875"/>
          <a:ext cx="190371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288000" bIns="0" rtlCol="0" anchor="t"/>
        <a:lstStyle/>
        <a:p>
          <a:pPr algn="ctr"/>
          <a:r>
            <a:rPr lang="en-IN" b="1">
              <a:solidFill>
                <a:schemeClr val="bg1">
                  <a:lumMod val="50000"/>
                </a:schemeClr>
              </a:solidFill>
            </a:rPr>
            <a:t>Net Profit Earned</a:t>
          </a:r>
          <a:endParaRPr lang="en-IN" sz="1100" b="1">
            <a:solidFill>
              <a:schemeClr val="bg1">
                <a:lumMod val="50000"/>
              </a:schemeClr>
            </a:solidFill>
          </a:endParaRPr>
        </a:p>
        <a:p>
          <a:endParaRPr lang="en-IN" sz="1100"/>
        </a:p>
      </xdr:txBody>
    </xdr:sp>
    <xdr:clientData/>
  </xdr:twoCellAnchor>
  <xdr:twoCellAnchor>
    <xdr:from>
      <xdr:col>8</xdr:col>
      <xdr:colOff>59397</xdr:colOff>
      <xdr:row>2</xdr:row>
      <xdr:rowOff>163913</xdr:rowOff>
    </xdr:from>
    <xdr:to>
      <xdr:col>11</xdr:col>
      <xdr:colOff>134313</xdr:colOff>
      <xdr:row>3</xdr:row>
      <xdr:rowOff>171451</xdr:rowOff>
    </xdr:to>
    <xdr:sp macro="" textlink="">
      <xdr:nvSpPr>
        <xdr:cNvPr id="16" name="TextBox 15">
          <a:extLst>
            <a:ext uri="{FF2B5EF4-FFF2-40B4-BE49-F238E27FC236}">
              <a16:creationId xmlns:a16="http://schemas.microsoft.com/office/drawing/2014/main" id="{E8E845DA-1C29-42E3-AC69-BB7C2D49444B}"/>
            </a:ext>
          </a:extLst>
        </xdr:cNvPr>
        <xdr:cNvSpPr txBox="1"/>
      </xdr:nvSpPr>
      <xdr:spPr>
        <a:xfrm>
          <a:off x="5126697" y="544913"/>
          <a:ext cx="1903716" cy="198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pPr algn="ctr"/>
          <a:r>
            <a:rPr lang="en-IN" b="1">
              <a:solidFill>
                <a:schemeClr val="bg1">
                  <a:lumMod val="50000"/>
                </a:schemeClr>
              </a:solidFill>
            </a:rPr>
            <a:t>Total Orders Processed</a:t>
          </a:r>
          <a:endParaRPr lang="en-IN" sz="1100" b="1">
            <a:solidFill>
              <a:schemeClr val="bg1">
                <a:lumMod val="50000"/>
              </a:schemeClr>
            </a:solidFill>
          </a:endParaRPr>
        </a:p>
      </xdr:txBody>
    </xdr:sp>
    <xdr:clientData/>
  </xdr:twoCellAnchor>
  <xdr:twoCellAnchor>
    <xdr:from>
      <xdr:col>11</xdr:col>
      <xdr:colOff>601144</xdr:colOff>
      <xdr:row>2</xdr:row>
      <xdr:rowOff>172627</xdr:rowOff>
    </xdr:from>
    <xdr:to>
      <xdr:col>15</xdr:col>
      <xdr:colOff>66460</xdr:colOff>
      <xdr:row>4</xdr:row>
      <xdr:rowOff>19050</xdr:rowOff>
    </xdr:to>
    <xdr:sp macro="" textlink="">
      <xdr:nvSpPr>
        <xdr:cNvPr id="17" name="TextBox 16">
          <a:extLst>
            <a:ext uri="{FF2B5EF4-FFF2-40B4-BE49-F238E27FC236}">
              <a16:creationId xmlns:a16="http://schemas.microsoft.com/office/drawing/2014/main" id="{A62A5DF7-A67D-4E71-A0EE-33BCE9DD5CFF}"/>
            </a:ext>
          </a:extLst>
        </xdr:cNvPr>
        <xdr:cNvSpPr txBox="1"/>
      </xdr:nvSpPr>
      <xdr:spPr>
        <a:xfrm>
          <a:off x="7497244" y="553627"/>
          <a:ext cx="1903716" cy="227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pPr algn="ctr"/>
          <a:r>
            <a:rPr lang="en-IN" sz="1100" b="1">
              <a:solidFill>
                <a:schemeClr val="bg1">
                  <a:lumMod val="50000"/>
                </a:schemeClr>
              </a:solidFill>
            </a:rPr>
            <a:t>Average</a:t>
          </a:r>
          <a:r>
            <a:rPr lang="en-IN" sz="1100" b="1" baseline="0">
              <a:solidFill>
                <a:schemeClr val="bg1">
                  <a:lumMod val="50000"/>
                </a:schemeClr>
              </a:solidFill>
            </a:rPr>
            <a:t> Order Value (AOV)</a:t>
          </a:r>
          <a:endParaRPr lang="en-IN" sz="1100" b="1">
            <a:solidFill>
              <a:schemeClr val="bg1">
                <a:lumMod val="50000"/>
              </a:schemeClr>
            </a:solidFill>
          </a:endParaRPr>
        </a:p>
        <a:p>
          <a:endParaRPr lang="en-IN" sz="1100"/>
        </a:p>
      </xdr:txBody>
    </xdr:sp>
    <xdr:clientData/>
  </xdr:twoCellAnchor>
  <xdr:twoCellAnchor>
    <xdr:from>
      <xdr:col>0</xdr:col>
      <xdr:colOff>448317</xdr:colOff>
      <xdr:row>3</xdr:row>
      <xdr:rowOff>144052</xdr:rowOff>
    </xdr:from>
    <xdr:to>
      <xdr:col>2</xdr:col>
      <xdr:colOff>598148</xdr:colOff>
      <xdr:row>5</xdr:row>
      <xdr:rowOff>43986</xdr:rowOff>
    </xdr:to>
    <xdr:sp macro="" textlink="'KPI''s'!A3">
      <xdr:nvSpPr>
        <xdr:cNvPr id="19" name="TextBox 18">
          <a:extLst>
            <a:ext uri="{FF2B5EF4-FFF2-40B4-BE49-F238E27FC236}">
              <a16:creationId xmlns:a16="http://schemas.microsoft.com/office/drawing/2014/main" id="{344A082F-8137-43FE-94D2-41325380163D}"/>
            </a:ext>
          </a:extLst>
        </xdr:cNvPr>
        <xdr:cNvSpPr txBox="1"/>
      </xdr:nvSpPr>
      <xdr:spPr>
        <a:xfrm>
          <a:off x="448317" y="715552"/>
          <a:ext cx="1559531" cy="2809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B2371F2-8033-4F0C-B0EB-93A83320CF55}" type="TxLink">
            <a:rPr lang="en-US" sz="1400" b="0" i="0" u="none" strike="noStrike">
              <a:solidFill>
                <a:srgbClr val="000000"/>
              </a:solidFill>
              <a:latin typeface="Calibri"/>
              <a:cs typeface="Calibri"/>
            </a:rPr>
            <a:pPr algn="ctr"/>
            <a:t> $4,31,502 </a:t>
          </a:fld>
          <a:endParaRPr lang="en-IN" sz="1400"/>
        </a:p>
      </xdr:txBody>
    </xdr:sp>
    <xdr:clientData/>
  </xdr:twoCellAnchor>
  <xdr:twoCellAnchor>
    <xdr:from>
      <xdr:col>4</xdr:col>
      <xdr:colOff>177229</xdr:colOff>
      <xdr:row>3</xdr:row>
      <xdr:rowOff>161925</xdr:rowOff>
    </xdr:from>
    <xdr:to>
      <xdr:col>6</xdr:col>
      <xdr:colOff>519701</xdr:colOff>
      <xdr:row>5</xdr:row>
      <xdr:rowOff>61859</xdr:rowOff>
    </xdr:to>
    <xdr:sp macro="" textlink="'KPI''s'!A11">
      <xdr:nvSpPr>
        <xdr:cNvPr id="20" name="TextBox 19">
          <a:extLst>
            <a:ext uri="{FF2B5EF4-FFF2-40B4-BE49-F238E27FC236}">
              <a16:creationId xmlns:a16="http://schemas.microsoft.com/office/drawing/2014/main" id="{C29CD742-C965-46CD-9DC7-00F9624002B6}"/>
            </a:ext>
          </a:extLst>
        </xdr:cNvPr>
        <xdr:cNvSpPr txBox="1"/>
      </xdr:nvSpPr>
      <xdr:spPr>
        <a:xfrm>
          <a:off x="2806129" y="733425"/>
          <a:ext cx="1561672" cy="2809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2F65019-2BE9-469C-B294-6F952062A475}" type="TxLink">
            <a:rPr lang="en-US" sz="1400" b="0" i="0" u="none" strike="noStrike">
              <a:solidFill>
                <a:srgbClr val="000000"/>
              </a:solidFill>
              <a:latin typeface="Calibri"/>
              <a:cs typeface="Calibri"/>
            </a:rPr>
            <a:pPr algn="ctr"/>
            <a:t> $23,955 </a:t>
          </a:fld>
          <a:endParaRPr lang="en-IN" sz="2400"/>
        </a:p>
      </xdr:txBody>
    </xdr:sp>
    <xdr:clientData/>
  </xdr:twoCellAnchor>
  <xdr:twoCellAnchor>
    <xdr:from>
      <xdr:col>8</xdr:col>
      <xdr:colOff>200989</xdr:colOff>
      <xdr:row>3</xdr:row>
      <xdr:rowOff>174982</xdr:rowOff>
    </xdr:from>
    <xdr:to>
      <xdr:col>10</xdr:col>
      <xdr:colOff>543461</xdr:colOff>
      <xdr:row>5</xdr:row>
      <xdr:rowOff>74916</xdr:rowOff>
    </xdr:to>
    <xdr:sp macro="" textlink="'KPI''s'!A7">
      <xdr:nvSpPr>
        <xdr:cNvPr id="21" name="TextBox 20">
          <a:extLst>
            <a:ext uri="{FF2B5EF4-FFF2-40B4-BE49-F238E27FC236}">
              <a16:creationId xmlns:a16="http://schemas.microsoft.com/office/drawing/2014/main" id="{31D9F9F3-5401-4F3C-B533-AEF8BE198924}"/>
            </a:ext>
          </a:extLst>
        </xdr:cNvPr>
        <xdr:cNvSpPr txBox="1"/>
      </xdr:nvSpPr>
      <xdr:spPr>
        <a:xfrm>
          <a:off x="5268289" y="746482"/>
          <a:ext cx="1561672" cy="28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F86AFA9-E653-4EAD-BF50-EE3CBF710FF9}" type="TxLink">
            <a:rPr lang="en-US" sz="1400" b="0" i="0" u="none" strike="noStrike">
              <a:solidFill>
                <a:srgbClr val="000000"/>
              </a:solidFill>
              <a:latin typeface="Calibri"/>
              <a:cs typeface="Calibri"/>
            </a:rPr>
            <a:pPr algn="ctr"/>
            <a:t>1500</a:t>
          </a:fld>
          <a:endParaRPr lang="en-IN" sz="2400"/>
        </a:p>
      </xdr:txBody>
    </xdr:sp>
    <xdr:clientData/>
  </xdr:twoCellAnchor>
  <xdr:twoCellAnchor>
    <xdr:from>
      <xdr:col>12</xdr:col>
      <xdr:colOff>160640</xdr:colOff>
      <xdr:row>3</xdr:row>
      <xdr:rowOff>183329</xdr:rowOff>
    </xdr:from>
    <xdr:to>
      <xdr:col>14</xdr:col>
      <xdr:colOff>503112</xdr:colOff>
      <xdr:row>5</xdr:row>
      <xdr:rowOff>83263</xdr:rowOff>
    </xdr:to>
    <xdr:sp macro="" textlink="'KPI''s'!A15">
      <xdr:nvSpPr>
        <xdr:cNvPr id="22" name="TextBox 21">
          <a:extLst>
            <a:ext uri="{FF2B5EF4-FFF2-40B4-BE49-F238E27FC236}">
              <a16:creationId xmlns:a16="http://schemas.microsoft.com/office/drawing/2014/main" id="{E8EAF0F9-0C9B-4D8E-86C8-3C5E71404AF1}"/>
            </a:ext>
          </a:extLst>
        </xdr:cNvPr>
        <xdr:cNvSpPr txBox="1"/>
      </xdr:nvSpPr>
      <xdr:spPr>
        <a:xfrm>
          <a:off x="7666340" y="754829"/>
          <a:ext cx="1561672" cy="28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7913BA-AA99-4248-A7F7-57BEB8CB3688}" type="TxLink">
            <a:rPr lang="en-US" sz="1400" b="0" i="0" u="none" strike="noStrike">
              <a:solidFill>
                <a:srgbClr val="000000"/>
              </a:solidFill>
              <a:latin typeface="Calibri"/>
              <a:cs typeface="Calibri"/>
            </a:rPr>
            <a:pPr algn="ctr"/>
            <a:t>288</a:t>
          </a:fld>
          <a:endParaRPr lang="en-IN" sz="1800"/>
        </a:p>
      </xdr:txBody>
    </xdr:sp>
    <xdr:clientData/>
  </xdr:twoCellAnchor>
  <xdr:twoCellAnchor>
    <xdr:from>
      <xdr:col>0</xdr:col>
      <xdr:colOff>165242</xdr:colOff>
      <xdr:row>6</xdr:row>
      <xdr:rowOff>23075</xdr:rowOff>
    </xdr:from>
    <xdr:to>
      <xdr:col>7</xdr:col>
      <xdr:colOff>228599</xdr:colOff>
      <xdr:row>15</xdr:row>
      <xdr:rowOff>84081</xdr:rowOff>
    </xdr:to>
    <xdr:graphicFrame macro="">
      <xdr:nvGraphicFramePr>
        <xdr:cNvPr id="23" name="Chart 22">
          <a:extLst>
            <a:ext uri="{FF2B5EF4-FFF2-40B4-BE49-F238E27FC236}">
              <a16:creationId xmlns:a16="http://schemas.microsoft.com/office/drawing/2014/main" id="{A6559EBF-52D7-4347-BAF4-529DB43AA4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91168</xdr:colOff>
      <xdr:row>2</xdr:row>
      <xdr:rowOff>161925</xdr:rowOff>
    </xdr:from>
    <xdr:to>
      <xdr:col>18</xdr:col>
      <xdr:colOff>209550</xdr:colOff>
      <xdr:row>16</xdr:row>
      <xdr:rowOff>76200</xdr:rowOff>
    </xdr:to>
    <mc:AlternateContent xmlns:mc="http://schemas.openxmlformats.org/markup-compatibility/2006" xmlns:a14="http://schemas.microsoft.com/office/drawing/2010/main">
      <mc:Choice Requires="a14">
        <xdr:graphicFrame macro="">
          <xdr:nvGraphicFramePr>
            <xdr:cNvPr id="24" name="Order Month">
              <a:extLst>
                <a:ext uri="{FF2B5EF4-FFF2-40B4-BE49-F238E27FC236}">
                  <a16:creationId xmlns:a16="http://schemas.microsoft.com/office/drawing/2014/main" id="{E7C02FE6-3595-4A20-A590-E9DEE7970053}"/>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0035268" y="542925"/>
              <a:ext cx="1337582" cy="2771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109311</xdr:colOff>
      <xdr:row>19</xdr:row>
      <xdr:rowOff>42031</xdr:rowOff>
    </xdr:from>
    <xdr:to>
      <xdr:col>18</xdr:col>
      <xdr:colOff>209551</xdr:colOff>
      <xdr:row>25</xdr:row>
      <xdr:rowOff>161925</xdr:rowOff>
    </xdr:to>
    <mc:AlternateContent xmlns:mc="http://schemas.openxmlformats.org/markup-compatibility/2006" xmlns:a14="http://schemas.microsoft.com/office/drawing/2010/main">
      <mc:Choice Requires="a14">
        <xdr:graphicFrame macro="">
          <xdr:nvGraphicFramePr>
            <xdr:cNvPr id="25" name="Category">
              <a:extLst>
                <a:ext uri="{FF2B5EF4-FFF2-40B4-BE49-F238E27FC236}">
                  <a16:creationId xmlns:a16="http://schemas.microsoft.com/office/drawing/2014/main" id="{5BF250D0-3813-4832-81ED-868C77C8A3E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053411" y="3852031"/>
              <a:ext cx="1319440" cy="12628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371475</xdr:colOff>
      <xdr:row>16</xdr:row>
      <xdr:rowOff>73025</xdr:rowOff>
    </xdr:from>
    <xdr:to>
      <xdr:col>15</xdr:col>
      <xdr:colOff>433484</xdr:colOff>
      <xdr:row>26</xdr:row>
      <xdr:rowOff>184025</xdr:rowOff>
    </xdr:to>
    <xdr:graphicFrame macro="">
      <xdr:nvGraphicFramePr>
        <xdr:cNvPr id="26" name="Chart 25">
          <a:extLst>
            <a:ext uri="{FF2B5EF4-FFF2-40B4-BE49-F238E27FC236}">
              <a16:creationId xmlns:a16="http://schemas.microsoft.com/office/drawing/2014/main" id="{04251A84-A2C7-431F-A777-A497A27276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390525</xdr:colOff>
      <xdr:row>6</xdr:row>
      <xdr:rowOff>16668</xdr:rowOff>
    </xdr:from>
    <xdr:to>
      <xdr:col>15</xdr:col>
      <xdr:colOff>438149</xdr:colOff>
      <xdr:row>15</xdr:row>
      <xdr:rowOff>90487</xdr:rowOff>
    </xdr:to>
    <xdr:graphicFrame macro="">
      <xdr:nvGraphicFramePr>
        <xdr:cNvPr id="28" name="Chart 27">
          <a:extLst>
            <a:ext uri="{FF2B5EF4-FFF2-40B4-BE49-F238E27FC236}">
              <a16:creationId xmlns:a16="http://schemas.microsoft.com/office/drawing/2014/main" id="{C77170D6-1336-4E5D-81B2-408F55A21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161925</xdr:colOff>
      <xdr:row>16</xdr:row>
      <xdr:rowOff>73025</xdr:rowOff>
    </xdr:from>
    <xdr:to>
      <xdr:col>7</xdr:col>
      <xdr:colOff>219075</xdr:colOff>
      <xdr:row>26</xdr:row>
      <xdr:rowOff>184025</xdr:rowOff>
    </xdr:to>
    <xdr:graphicFrame macro="">
      <xdr:nvGraphicFramePr>
        <xdr:cNvPr id="29" name="Chart 28">
          <a:extLst>
            <a:ext uri="{FF2B5EF4-FFF2-40B4-BE49-F238E27FC236}">
              <a16:creationId xmlns:a16="http://schemas.microsoft.com/office/drawing/2014/main" id="{F1FD916E-87C9-42D5-A856-34C7B0601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600075</xdr:colOff>
      <xdr:row>2</xdr:row>
      <xdr:rowOff>123825</xdr:rowOff>
    </xdr:from>
    <xdr:to>
      <xdr:col>18</xdr:col>
      <xdr:colOff>209550</xdr:colOff>
      <xdr:row>17</xdr:row>
      <xdr:rowOff>47625</xdr:rowOff>
    </xdr:to>
    <xdr:sp macro="" textlink="">
      <xdr:nvSpPr>
        <xdr:cNvPr id="36" name="Rectangle: Rounded Corners 35">
          <a:extLst>
            <a:ext uri="{FF2B5EF4-FFF2-40B4-BE49-F238E27FC236}">
              <a16:creationId xmlns:a16="http://schemas.microsoft.com/office/drawing/2014/main" id="{CFDE6333-144B-4D65-97EB-F59C6CD20BC0}"/>
            </a:ext>
          </a:extLst>
        </xdr:cNvPr>
        <xdr:cNvSpPr/>
      </xdr:nvSpPr>
      <xdr:spPr>
        <a:xfrm>
          <a:off x="9934575" y="504825"/>
          <a:ext cx="1438275" cy="29718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161925</xdr:colOff>
      <xdr:row>0</xdr:row>
      <xdr:rowOff>57150</xdr:rowOff>
    </xdr:from>
    <xdr:to>
      <xdr:col>18</xdr:col>
      <xdr:colOff>247650</xdr:colOff>
      <xdr:row>2</xdr:row>
      <xdr:rowOff>19050</xdr:rowOff>
    </xdr:to>
    <xdr:sp macro="" textlink="">
      <xdr:nvSpPr>
        <xdr:cNvPr id="35" name="Rectangle: Rounded Corners 34">
          <a:extLst>
            <a:ext uri="{FF2B5EF4-FFF2-40B4-BE49-F238E27FC236}">
              <a16:creationId xmlns:a16="http://schemas.microsoft.com/office/drawing/2014/main" id="{66253E6F-57E4-4ED6-962A-58D7B1193A84}"/>
            </a:ext>
          </a:extLst>
        </xdr:cNvPr>
        <xdr:cNvSpPr/>
      </xdr:nvSpPr>
      <xdr:spPr>
        <a:xfrm>
          <a:off x="161925" y="57150"/>
          <a:ext cx="11249025" cy="3429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0</xdr:colOff>
      <xdr:row>17</xdr:row>
      <xdr:rowOff>161924</xdr:rowOff>
    </xdr:from>
    <xdr:to>
      <xdr:col>18</xdr:col>
      <xdr:colOff>247650</xdr:colOff>
      <xdr:row>26</xdr:row>
      <xdr:rowOff>171449</xdr:rowOff>
    </xdr:to>
    <xdr:sp macro="" textlink="">
      <xdr:nvSpPr>
        <xdr:cNvPr id="37" name="Rectangle: Rounded Corners 36">
          <a:extLst>
            <a:ext uri="{FF2B5EF4-FFF2-40B4-BE49-F238E27FC236}">
              <a16:creationId xmlns:a16="http://schemas.microsoft.com/office/drawing/2014/main" id="{D0FA3379-4DC5-4D8B-B660-0E86577EFA17}"/>
            </a:ext>
          </a:extLst>
        </xdr:cNvPr>
        <xdr:cNvSpPr/>
      </xdr:nvSpPr>
      <xdr:spPr>
        <a:xfrm>
          <a:off x="9944100" y="3590924"/>
          <a:ext cx="1466850" cy="17240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571500</xdr:colOff>
      <xdr:row>3</xdr:row>
      <xdr:rowOff>0</xdr:rowOff>
    </xdr:from>
    <xdr:to>
      <xdr:col>3</xdr:col>
      <xdr:colOff>321900</xdr:colOff>
      <xdr:row>4</xdr:row>
      <xdr:rowOff>169500</xdr:rowOff>
    </xdr:to>
    <xdr:pic>
      <xdr:nvPicPr>
        <xdr:cNvPr id="39" name="Graphic 38" descr="Money">
          <a:extLst>
            <a:ext uri="{FF2B5EF4-FFF2-40B4-BE49-F238E27FC236}">
              <a16:creationId xmlns:a16="http://schemas.microsoft.com/office/drawing/2014/main" id="{DEA636D3-45A7-4ABA-BA3A-F75978FDB9A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81200" y="571500"/>
          <a:ext cx="360000" cy="360000"/>
        </a:xfrm>
        <a:prstGeom prst="rect">
          <a:avLst/>
        </a:prstGeom>
      </xdr:spPr>
    </xdr:pic>
    <xdr:clientData/>
  </xdr:twoCellAnchor>
  <xdr:twoCellAnchor editAs="oneCell">
    <xdr:from>
      <xdr:col>6</xdr:col>
      <xdr:colOff>552450</xdr:colOff>
      <xdr:row>3</xdr:row>
      <xdr:rowOff>19050</xdr:rowOff>
    </xdr:from>
    <xdr:to>
      <xdr:col>7</xdr:col>
      <xdr:colOff>302850</xdr:colOff>
      <xdr:row>4</xdr:row>
      <xdr:rowOff>188550</xdr:rowOff>
    </xdr:to>
    <xdr:pic>
      <xdr:nvPicPr>
        <xdr:cNvPr id="41" name="Graphic 40" descr="Bar graph with upward trend RTL">
          <a:extLst>
            <a:ext uri="{FF2B5EF4-FFF2-40B4-BE49-F238E27FC236}">
              <a16:creationId xmlns:a16="http://schemas.microsoft.com/office/drawing/2014/main" id="{4E97FA40-A384-4885-8307-CA80A7B09FD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00550" y="590550"/>
          <a:ext cx="360000" cy="360000"/>
        </a:xfrm>
        <a:prstGeom prst="rect">
          <a:avLst/>
        </a:prstGeom>
      </xdr:spPr>
    </xdr:pic>
    <xdr:clientData/>
  </xdr:twoCellAnchor>
  <xdr:twoCellAnchor editAs="oneCell">
    <xdr:from>
      <xdr:col>10</xdr:col>
      <xdr:colOff>533400</xdr:colOff>
      <xdr:row>3</xdr:row>
      <xdr:rowOff>9525</xdr:rowOff>
    </xdr:from>
    <xdr:to>
      <xdr:col>11</xdr:col>
      <xdr:colOff>283800</xdr:colOff>
      <xdr:row>4</xdr:row>
      <xdr:rowOff>179025</xdr:rowOff>
    </xdr:to>
    <xdr:pic>
      <xdr:nvPicPr>
        <xdr:cNvPr id="43" name="Graphic 42" descr="Database">
          <a:extLst>
            <a:ext uri="{FF2B5EF4-FFF2-40B4-BE49-F238E27FC236}">
              <a16:creationId xmlns:a16="http://schemas.microsoft.com/office/drawing/2014/main" id="{305D061B-9C17-4534-915D-743C733F09D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19900" y="581025"/>
          <a:ext cx="360000" cy="360000"/>
        </a:xfrm>
        <a:prstGeom prst="rect">
          <a:avLst/>
        </a:prstGeom>
      </xdr:spPr>
    </xdr:pic>
    <xdr:clientData/>
  </xdr:twoCellAnchor>
  <xdr:twoCellAnchor editAs="oneCell">
    <xdr:from>
      <xdr:col>15</xdr:col>
      <xdr:colOff>28575</xdr:colOff>
      <xdr:row>3</xdr:row>
      <xdr:rowOff>38100</xdr:rowOff>
    </xdr:from>
    <xdr:to>
      <xdr:col>15</xdr:col>
      <xdr:colOff>388575</xdr:colOff>
      <xdr:row>5</xdr:row>
      <xdr:rowOff>17100</xdr:rowOff>
    </xdr:to>
    <xdr:pic>
      <xdr:nvPicPr>
        <xdr:cNvPr id="45" name="Picture 44">
          <a:extLst>
            <a:ext uri="{FF2B5EF4-FFF2-40B4-BE49-F238E27FC236}">
              <a16:creationId xmlns:a16="http://schemas.microsoft.com/office/drawing/2014/main" id="{F760CDB0-0F5F-4518-A21A-9BA019AD583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363075" y="609600"/>
          <a:ext cx="360000" cy="360000"/>
        </a:xfrm>
        <a:prstGeom prst="rect">
          <a:avLst/>
        </a:prstGeom>
      </xdr:spPr>
    </xdr:pic>
    <xdr:clientData/>
  </xdr:twoCellAnchor>
  <xdr:twoCellAnchor editAs="oneCell">
    <xdr:from>
      <xdr:col>4</xdr:col>
      <xdr:colOff>581024</xdr:colOff>
      <xdr:row>0</xdr:row>
      <xdr:rowOff>95250</xdr:rowOff>
    </xdr:from>
    <xdr:to>
      <xdr:col>5</xdr:col>
      <xdr:colOff>380999</xdr:colOff>
      <xdr:row>1</xdr:row>
      <xdr:rowOff>180975</xdr:rowOff>
    </xdr:to>
    <xdr:pic>
      <xdr:nvPicPr>
        <xdr:cNvPr id="47" name="Picture 46">
          <a:extLst>
            <a:ext uri="{FF2B5EF4-FFF2-40B4-BE49-F238E27FC236}">
              <a16:creationId xmlns:a16="http://schemas.microsoft.com/office/drawing/2014/main" id="{FF1E2AFC-0F89-4BED-844B-C1AAC3576C9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209924" y="95250"/>
          <a:ext cx="409575" cy="27622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180975</xdr:colOff>
          <xdr:row>0</xdr:row>
          <xdr:rowOff>104775</xdr:rowOff>
        </xdr:from>
        <xdr:to>
          <xdr:col>18</xdr:col>
          <xdr:colOff>200025</xdr:colOff>
          <xdr:row>1</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677D7737-89D6-45C7-B194-C6358F6589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cs typeface="Calibri"/>
                </a:rPr>
                <a:t>Refresh Dashboard</a:t>
              </a:r>
            </a:p>
          </xdr:txBody>
        </xdr:sp>
        <xdr:clientData fPrintsWithSheet="0"/>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27.315775694442" backgroundQuery="1" createdVersion="6" refreshedVersion="6" minRefreshableVersion="3" recordCount="0" supportSubquery="1" supportAdvancedDrill="1" xr:uid="{E973E703-2D4A-4B61-A59F-0ADF6A021F10}">
  <cacheSource type="external" connectionId="1"/>
  <cacheFields count="3">
    <cacheField name="[Measures].[Sum of Revenue]" caption="Sum of Revenue" numFmtId="0" hierarchy="12" level="32767"/>
    <cacheField name="[tbl_details5].[Order Month].[Order Month]" caption="Order Month" numFmtId="0" hierarchy="8" level="1">
      <sharedItems containsSemiMixedTypes="0" containsNonDate="0" containsString="0"/>
    </cacheField>
    <cacheField name="[tbl_details5].[Category].[Category]" caption="Category" numFmtId="0" hierarchy="5" level="1">
      <sharedItems containsSemiMixedTypes="0" containsNonDate="0" containsString="0"/>
    </cacheField>
  </cacheFields>
  <cacheHierarchies count="18">
    <cacheHierarchy uniqueName="[tbl_details5].[Order ID]" caption="Order ID" attribute="1" defaultMemberUniqueName="[tbl_details5].[Order ID].[All]" allUniqueName="[tbl_details5].[Order ID].[All]" dimensionUniqueName="[tbl_details5]" displayFolder="" count="0" memberValueDatatype="130" unbalanced="0"/>
    <cacheHierarchy uniqueName="[tbl_details5].[Revenue]" caption="Revenue" attribute="1" defaultMemberUniqueName="[tbl_details5].[Revenue].[All]" allUniqueName="[tbl_details5].[Revenue].[All]" dimensionUniqueName="[tbl_details5]" displayFolder="" count="0" memberValueDatatype="20" unbalanced="0"/>
    <cacheHierarchy uniqueName="[tbl_details5].[Profit]" caption="Profit" attribute="1" defaultMemberUniqueName="[tbl_details5].[Profit].[All]" allUniqueName="[tbl_details5].[Profit].[All]" dimensionUniqueName="[tbl_details5]" displayFolder="" count="0" memberValueDatatype="20" unbalanced="0"/>
    <cacheHierarchy uniqueName="[tbl_details5].[Profit %]" caption="Profit %" attribute="1" defaultMemberUniqueName="[tbl_details5].[Profit %].[All]" allUniqueName="[tbl_details5].[Profit %].[All]" dimensionUniqueName="[tbl_details5]" displayFolder="" count="0" memberValueDatatype="5" unbalanced="0"/>
    <cacheHierarchy uniqueName="[tbl_details5].[Quantity]" caption="Quantity" attribute="1" defaultMemberUniqueName="[tbl_details5].[Quantity].[All]" allUniqueName="[tbl_details5].[Quantity].[All]" dimensionUniqueName="[tbl_details5]" displayFolder="" count="0" memberValueDatatype="20" unbalanced="0"/>
    <cacheHierarchy uniqueName="[tbl_details5].[Category]" caption="Category" attribute="1" defaultMemberUniqueName="[tbl_details5].[Category].[All]" allUniqueName="[tbl_details5].[Category].[All]" dimensionUniqueName="[tbl_details5]" displayFolder="" count="2" memberValueDatatype="130" unbalanced="0">
      <fieldsUsage count="2">
        <fieldUsage x="-1"/>
        <fieldUsage x="2"/>
      </fieldsUsage>
    </cacheHierarchy>
    <cacheHierarchy uniqueName="[tbl_details5].[Sub-Category]" caption="Sub-Category" attribute="1" defaultMemberUniqueName="[tbl_details5].[Sub-Category].[All]" allUniqueName="[tbl_details5].[Sub-Category].[All]" dimensionUniqueName="[tbl_details5]" displayFolder="" count="0" memberValueDatatype="130" unbalanced="0"/>
    <cacheHierarchy uniqueName="[tbl_details5].[Order Date]" caption="Order Date" attribute="1" time="1" defaultMemberUniqueName="[tbl_details5].[Order Date].[All]" allUniqueName="[tbl_details5].[Order Date].[All]" dimensionUniqueName="[tbl_details5]" displayFolder="" count="0" memberValueDatatype="7" unbalanced="0"/>
    <cacheHierarchy uniqueName="[tbl_details5].[Order Month]" caption="Order Month" attribute="1" defaultMemberUniqueName="[tbl_details5].[Order Month].[All]" allUniqueName="[tbl_details5].[Order Month].[All]" dimensionUniqueName="[tbl_details5]" displayFolder="" count="2" memberValueDatatype="130" unbalanced="0">
      <fieldsUsage count="2">
        <fieldUsage x="-1"/>
        <fieldUsage x="1"/>
      </fieldsUsage>
    </cacheHierarchy>
    <cacheHierarchy uniqueName="[tbl_details5].[Customer Name]" caption="Customer Name" attribute="1" defaultMemberUniqueName="[tbl_details5].[Customer Name].[All]" allUniqueName="[tbl_details5].[Customer Name].[All]" dimensionUniqueName="[tbl_details5]" displayFolder="" count="0" memberValueDatatype="130" unbalanced="0"/>
    <cacheHierarchy uniqueName="[tbl_details5].[State]" caption="State" attribute="1" defaultMemberUniqueName="[tbl_details5].[State].[All]" allUniqueName="[tbl_details5].[State].[All]" dimensionUniqueName="[tbl_details5]" displayFolder="" count="0" memberValueDatatype="130" unbalanced="0"/>
    <cacheHierarchy uniqueName="[tbl_details5].[City]" caption="City" attribute="1" defaultMemberUniqueName="[tbl_details5].[City].[All]" allUniqueName="[tbl_details5].[City].[All]" dimensionUniqueName="[tbl_details5]" displayFolder="" count="0" memberValueDatatype="130" unbalanced="0"/>
    <cacheHierarchy uniqueName="[Measures].[Sum of Revenue]" caption="Sum of Revenue" measure="1" displayFolder="" measureGroup="tbl_details5" count="0" oneField="1">
      <fieldsUsage count="1">
        <fieldUsage x="0"/>
      </fieldsUsage>
      <extLst>
        <ext xmlns:x15="http://schemas.microsoft.com/office/spreadsheetml/2010/11/main" uri="{B97F6D7D-B522-45F9-BDA1-12C45D357490}">
          <x15:cacheHierarchy aggregatedColumn="1"/>
        </ext>
      </extLst>
    </cacheHierarchy>
    <cacheHierarchy uniqueName="[Measures].[Count of Order ID]" caption="Count of Order ID" measure="1" displayFolder="" measureGroup="tbl_details5" count="0">
      <extLst>
        <ext xmlns:x15="http://schemas.microsoft.com/office/spreadsheetml/2010/11/main" uri="{B97F6D7D-B522-45F9-BDA1-12C45D357490}">
          <x15:cacheHierarchy aggregatedColumn="0"/>
        </ext>
      </extLst>
    </cacheHierarchy>
    <cacheHierarchy uniqueName="[Measures].[Sum of Profit]" caption="Sum of Profit" measure="1" displayFolder="" measureGroup="tbl_details5" count="0">
      <extLst>
        <ext xmlns:x15="http://schemas.microsoft.com/office/spreadsheetml/2010/11/main" uri="{B97F6D7D-B522-45F9-BDA1-12C45D357490}">
          <x15:cacheHierarchy aggregatedColumn="2"/>
        </ext>
      </extLst>
    </cacheHierarchy>
    <cacheHierarchy uniqueName="[Measures].[AOV]" caption="AOV" measure="1" displayFolder="" measureGroup="tbl_details5" count="0"/>
    <cacheHierarchy uniqueName="[Measures].[__XL_Count tbl_details5]" caption="__XL_Count tbl_details5" measure="1" displayFolder="" measureGroup="tbl_details5" count="0" hidden="1"/>
    <cacheHierarchy uniqueName="[Measures].[__No measures defined]" caption="__No measures defined" measure="1" displayFolder="" count="0" hidden="1"/>
  </cacheHierarchies>
  <kpis count="0"/>
  <dimensions count="2">
    <dimension measure="1" name="Measures" uniqueName="[Measures]" caption="Measures"/>
    <dimension name="tbl_details5" uniqueName="[tbl_details5]" caption="tbl_details5"/>
  </dimensions>
  <measureGroups count="1">
    <measureGroup name="tbl_details5" caption="tbl_details5"/>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27.315776504627" backgroundQuery="1" createdVersion="6" refreshedVersion="6" minRefreshableVersion="3" recordCount="0" supportSubquery="1" supportAdvancedDrill="1" xr:uid="{809C7D0D-4037-40A3-BBFF-9B45B57F6F1C}">
  <cacheSource type="external" connectionId="1"/>
  <cacheFields count="3">
    <cacheField name="[Measures].[Sum of Profit]" caption="Sum of Profit" numFmtId="0" hierarchy="14" level="32767"/>
    <cacheField name="[tbl_details5].[Order Month].[Order Month]" caption="Order Month" numFmtId="0" hierarchy="8" level="1">
      <sharedItems containsSemiMixedTypes="0" containsNonDate="0" containsString="0"/>
    </cacheField>
    <cacheField name="[tbl_details5].[Category].[Category]" caption="Category" numFmtId="0" hierarchy="5" level="1">
      <sharedItems containsSemiMixedTypes="0" containsNonDate="0" containsString="0"/>
    </cacheField>
  </cacheFields>
  <cacheHierarchies count="18">
    <cacheHierarchy uniqueName="[tbl_details5].[Order ID]" caption="Order ID" attribute="1" defaultMemberUniqueName="[tbl_details5].[Order ID].[All]" allUniqueName="[tbl_details5].[Order ID].[All]" dimensionUniqueName="[tbl_details5]" displayFolder="" count="0" memberValueDatatype="130" unbalanced="0"/>
    <cacheHierarchy uniqueName="[tbl_details5].[Revenue]" caption="Revenue" attribute="1" defaultMemberUniqueName="[tbl_details5].[Revenue].[All]" allUniqueName="[tbl_details5].[Revenue].[All]" dimensionUniqueName="[tbl_details5]" displayFolder="" count="0" memberValueDatatype="20" unbalanced="0"/>
    <cacheHierarchy uniqueName="[tbl_details5].[Profit]" caption="Profit" attribute="1" defaultMemberUniqueName="[tbl_details5].[Profit].[All]" allUniqueName="[tbl_details5].[Profit].[All]" dimensionUniqueName="[tbl_details5]" displayFolder="" count="0" memberValueDatatype="20" unbalanced="0"/>
    <cacheHierarchy uniqueName="[tbl_details5].[Profit %]" caption="Profit %" attribute="1" defaultMemberUniqueName="[tbl_details5].[Profit %].[All]" allUniqueName="[tbl_details5].[Profit %].[All]" dimensionUniqueName="[tbl_details5]" displayFolder="" count="0" memberValueDatatype="5" unbalanced="0"/>
    <cacheHierarchy uniqueName="[tbl_details5].[Quantity]" caption="Quantity" attribute="1" defaultMemberUniqueName="[tbl_details5].[Quantity].[All]" allUniqueName="[tbl_details5].[Quantity].[All]" dimensionUniqueName="[tbl_details5]" displayFolder="" count="0" memberValueDatatype="20" unbalanced="0"/>
    <cacheHierarchy uniqueName="[tbl_details5].[Category]" caption="Category" attribute="1" defaultMemberUniqueName="[tbl_details5].[Category].[All]" allUniqueName="[tbl_details5].[Category].[All]" dimensionUniqueName="[tbl_details5]" displayFolder="" count="2" memberValueDatatype="130" unbalanced="0">
      <fieldsUsage count="2">
        <fieldUsage x="-1"/>
        <fieldUsage x="2"/>
      </fieldsUsage>
    </cacheHierarchy>
    <cacheHierarchy uniqueName="[tbl_details5].[Sub-Category]" caption="Sub-Category" attribute="1" defaultMemberUniqueName="[tbl_details5].[Sub-Category].[All]" allUniqueName="[tbl_details5].[Sub-Category].[All]" dimensionUniqueName="[tbl_details5]" displayFolder="" count="0" memberValueDatatype="130" unbalanced="0"/>
    <cacheHierarchy uniqueName="[tbl_details5].[Order Date]" caption="Order Date" attribute="1" time="1" defaultMemberUniqueName="[tbl_details5].[Order Date].[All]" allUniqueName="[tbl_details5].[Order Date].[All]" dimensionUniqueName="[tbl_details5]" displayFolder="" count="0" memberValueDatatype="7" unbalanced="0"/>
    <cacheHierarchy uniqueName="[tbl_details5].[Order Month]" caption="Order Month" attribute="1" defaultMemberUniqueName="[tbl_details5].[Order Month].[All]" allUniqueName="[tbl_details5].[Order Month].[All]" dimensionUniqueName="[tbl_details5]" displayFolder="" count="2" memberValueDatatype="130" unbalanced="0">
      <fieldsUsage count="2">
        <fieldUsage x="-1"/>
        <fieldUsage x="1"/>
      </fieldsUsage>
    </cacheHierarchy>
    <cacheHierarchy uniqueName="[tbl_details5].[Customer Name]" caption="Customer Name" attribute="1" defaultMemberUniqueName="[tbl_details5].[Customer Name].[All]" allUniqueName="[tbl_details5].[Customer Name].[All]" dimensionUniqueName="[tbl_details5]" displayFolder="" count="0" memberValueDatatype="130" unbalanced="0"/>
    <cacheHierarchy uniqueName="[tbl_details5].[State]" caption="State" attribute="1" defaultMemberUniqueName="[tbl_details5].[State].[All]" allUniqueName="[tbl_details5].[State].[All]" dimensionUniqueName="[tbl_details5]" displayFolder="" count="0" memberValueDatatype="130" unbalanced="0"/>
    <cacheHierarchy uniqueName="[tbl_details5].[City]" caption="City" attribute="1" defaultMemberUniqueName="[tbl_details5].[City].[All]" allUniqueName="[tbl_details5].[City].[All]" dimensionUniqueName="[tbl_details5]" displayFolder="" count="0" memberValueDatatype="130" unbalanced="0"/>
    <cacheHierarchy uniqueName="[Measures].[Sum of Revenue]" caption="Sum of Revenue" measure="1" displayFolder="" measureGroup="tbl_details5" count="0">
      <extLst>
        <ext xmlns:x15="http://schemas.microsoft.com/office/spreadsheetml/2010/11/main" uri="{B97F6D7D-B522-45F9-BDA1-12C45D357490}">
          <x15:cacheHierarchy aggregatedColumn="1"/>
        </ext>
      </extLst>
    </cacheHierarchy>
    <cacheHierarchy uniqueName="[Measures].[Count of Order ID]" caption="Count of Order ID" measure="1" displayFolder="" measureGroup="tbl_details5" count="0">
      <extLst>
        <ext xmlns:x15="http://schemas.microsoft.com/office/spreadsheetml/2010/11/main" uri="{B97F6D7D-B522-45F9-BDA1-12C45D357490}">
          <x15:cacheHierarchy aggregatedColumn="0"/>
        </ext>
      </extLst>
    </cacheHierarchy>
    <cacheHierarchy uniqueName="[Measures].[Sum of Profit]" caption="Sum of Profit" measure="1" displayFolder="" measureGroup="tbl_details5" count="0" oneField="1">
      <fieldsUsage count="1">
        <fieldUsage x="0"/>
      </fieldsUsage>
      <extLst>
        <ext xmlns:x15="http://schemas.microsoft.com/office/spreadsheetml/2010/11/main" uri="{B97F6D7D-B522-45F9-BDA1-12C45D357490}">
          <x15:cacheHierarchy aggregatedColumn="2"/>
        </ext>
      </extLst>
    </cacheHierarchy>
    <cacheHierarchy uniqueName="[Measures].[AOV]" caption="AOV" measure="1" displayFolder="" measureGroup="tbl_details5" count="0"/>
    <cacheHierarchy uniqueName="[Measures].[__XL_Count tbl_details5]" caption="__XL_Count tbl_details5" measure="1" displayFolder="" measureGroup="tbl_details5" count="0" hidden="1"/>
    <cacheHierarchy uniqueName="[Measures].[__No measures defined]" caption="__No measures defined" measure="1" displayFolder="" count="0" hidden="1"/>
  </cacheHierarchies>
  <kpis count="0"/>
  <dimensions count="2">
    <dimension measure="1" name="Measures" uniqueName="[Measures]" caption="Measures"/>
    <dimension name="tbl_details5" uniqueName="[tbl_details5]" caption="tbl_details5"/>
  </dimensions>
  <measureGroups count="1">
    <measureGroup name="tbl_details5" caption="tbl_details5"/>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27.315777314812" backgroundQuery="1" createdVersion="6" refreshedVersion="6" minRefreshableVersion="3" recordCount="0" supportSubquery="1" supportAdvancedDrill="1" xr:uid="{0C31073A-8BB7-47D1-94F7-E62FC9060529}">
  <cacheSource type="external" connectionId="1"/>
  <cacheFields count="3">
    <cacheField name="[Measures].[AOV]" caption="AOV" numFmtId="0" hierarchy="15" level="32767"/>
    <cacheField name="[tbl_details5].[Order Month].[Order Month]" caption="Order Month" numFmtId="0" hierarchy="8" level="1">
      <sharedItems containsSemiMixedTypes="0" containsNonDate="0" containsString="0"/>
    </cacheField>
    <cacheField name="[tbl_details5].[Category].[Category]" caption="Category" numFmtId="0" hierarchy="5" level="1">
      <sharedItems containsSemiMixedTypes="0" containsNonDate="0" containsString="0"/>
    </cacheField>
  </cacheFields>
  <cacheHierarchies count="18">
    <cacheHierarchy uniqueName="[tbl_details5].[Order ID]" caption="Order ID" attribute="1" defaultMemberUniqueName="[tbl_details5].[Order ID].[All]" allUniqueName="[tbl_details5].[Order ID].[All]" dimensionUniqueName="[tbl_details5]" displayFolder="" count="0" memberValueDatatype="130" unbalanced="0"/>
    <cacheHierarchy uniqueName="[tbl_details5].[Revenue]" caption="Revenue" attribute="1" defaultMemberUniqueName="[tbl_details5].[Revenue].[All]" allUniqueName="[tbl_details5].[Revenue].[All]" dimensionUniqueName="[tbl_details5]" displayFolder="" count="0" memberValueDatatype="20" unbalanced="0"/>
    <cacheHierarchy uniqueName="[tbl_details5].[Profit]" caption="Profit" attribute="1" defaultMemberUniqueName="[tbl_details5].[Profit].[All]" allUniqueName="[tbl_details5].[Profit].[All]" dimensionUniqueName="[tbl_details5]" displayFolder="" count="0" memberValueDatatype="20" unbalanced="0"/>
    <cacheHierarchy uniqueName="[tbl_details5].[Profit %]" caption="Profit %" attribute="1" defaultMemberUniqueName="[tbl_details5].[Profit %].[All]" allUniqueName="[tbl_details5].[Profit %].[All]" dimensionUniqueName="[tbl_details5]" displayFolder="" count="0" memberValueDatatype="5" unbalanced="0"/>
    <cacheHierarchy uniqueName="[tbl_details5].[Quantity]" caption="Quantity" attribute="1" defaultMemberUniqueName="[tbl_details5].[Quantity].[All]" allUniqueName="[tbl_details5].[Quantity].[All]" dimensionUniqueName="[tbl_details5]" displayFolder="" count="0" memberValueDatatype="20" unbalanced="0"/>
    <cacheHierarchy uniqueName="[tbl_details5].[Category]" caption="Category" attribute="1" defaultMemberUniqueName="[tbl_details5].[Category].[All]" allUniqueName="[tbl_details5].[Category].[All]" dimensionUniqueName="[tbl_details5]" displayFolder="" count="2" memberValueDatatype="130" unbalanced="0">
      <fieldsUsage count="2">
        <fieldUsage x="-1"/>
        <fieldUsage x="2"/>
      </fieldsUsage>
    </cacheHierarchy>
    <cacheHierarchy uniqueName="[tbl_details5].[Sub-Category]" caption="Sub-Category" attribute="1" defaultMemberUniqueName="[tbl_details5].[Sub-Category].[All]" allUniqueName="[tbl_details5].[Sub-Category].[All]" dimensionUniqueName="[tbl_details5]" displayFolder="" count="0" memberValueDatatype="130" unbalanced="0"/>
    <cacheHierarchy uniqueName="[tbl_details5].[Order Date]" caption="Order Date" attribute="1" time="1" defaultMemberUniqueName="[tbl_details5].[Order Date].[All]" allUniqueName="[tbl_details5].[Order Date].[All]" dimensionUniqueName="[tbl_details5]" displayFolder="" count="0" memberValueDatatype="7" unbalanced="0"/>
    <cacheHierarchy uniqueName="[tbl_details5].[Order Month]" caption="Order Month" attribute="1" defaultMemberUniqueName="[tbl_details5].[Order Month].[All]" allUniqueName="[tbl_details5].[Order Month].[All]" dimensionUniqueName="[tbl_details5]" displayFolder="" count="2" memberValueDatatype="130" unbalanced="0">
      <fieldsUsage count="2">
        <fieldUsage x="-1"/>
        <fieldUsage x="1"/>
      </fieldsUsage>
    </cacheHierarchy>
    <cacheHierarchy uniqueName="[tbl_details5].[Customer Name]" caption="Customer Name" attribute="1" defaultMemberUniqueName="[tbl_details5].[Customer Name].[All]" allUniqueName="[tbl_details5].[Customer Name].[All]" dimensionUniqueName="[tbl_details5]" displayFolder="" count="0" memberValueDatatype="130" unbalanced="0"/>
    <cacheHierarchy uniqueName="[tbl_details5].[State]" caption="State" attribute="1" defaultMemberUniqueName="[tbl_details5].[State].[All]" allUniqueName="[tbl_details5].[State].[All]" dimensionUniqueName="[tbl_details5]" displayFolder="" count="0" memberValueDatatype="130" unbalanced="0"/>
    <cacheHierarchy uniqueName="[tbl_details5].[City]" caption="City" attribute="1" defaultMemberUniqueName="[tbl_details5].[City].[All]" allUniqueName="[tbl_details5].[City].[All]" dimensionUniqueName="[tbl_details5]" displayFolder="" count="0" memberValueDatatype="130" unbalanced="0"/>
    <cacheHierarchy uniqueName="[Measures].[Sum of Revenue]" caption="Sum of Revenue" measure="1" displayFolder="" measureGroup="tbl_details5" count="0">
      <extLst>
        <ext xmlns:x15="http://schemas.microsoft.com/office/spreadsheetml/2010/11/main" uri="{B97F6D7D-B522-45F9-BDA1-12C45D357490}">
          <x15:cacheHierarchy aggregatedColumn="1"/>
        </ext>
      </extLst>
    </cacheHierarchy>
    <cacheHierarchy uniqueName="[Measures].[Count of Order ID]" caption="Count of Order ID" measure="1" displayFolder="" measureGroup="tbl_details5" count="0">
      <extLst>
        <ext xmlns:x15="http://schemas.microsoft.com/office/spreadsheetml/2010/11/main" uri="{B97F6D7D-B522-45F9-BDA1-12C45D357490}">
          <x15:cacheHierarchy aggregatedColumn="0"/>
        </ext>
      </extLst>
    </cacheHierarchy>
    <cacheHierarchy uniqueName="[Measures].[Sum of Profit]" caption="Sum of Profit" measure="1" displayFolder="" measureGroup="tbl_details5" count="0">
      <extLst>
        <ext xmlns:x15="http://schemas.microsoft.com/office/spreadsheetml/2010/11/main" uri="{B97F6D7D-B522-45F9-BDA1-12C45D357490}">
          <x15:cacheHierarchy aggregatedColumn="2"/>
        </ext>
      </extLst>
    </cacheHierarchy>
    <cacheHierarchy uniqueName="[Measures].[AOV]" caption="AOV" measure="1" displayFolder="" measureGroup="tbl_details5" count="0" oneField="1">
      <fieldsUsage count="1">
        <fieldUsage x="0"/>
      </fieldsUsage>
    </cacheHierarchy>
    <cacheHierarchy uniqueName="[Measures].[__XL_Count tbl_details5]" caption="__XL_Count tbl_details5" measure="1" displayFolder="" measureGroup="tbl_details5" count="0" hidden="1"/>
    <cacheHierarchy uniqueName="[Measures].[__No measures defined]" caption="__No measures defined" measure="1" displayFolder="" count="0" hidden="1"/>
  </cacheHierarchies>
  <kpis count="0"/>
  <dimensions count="2">
    <dimension measure="1" name="Measures" uniqueName="[Measures]" caption="Measures"/>
    <dimension name="tbl_details5" uniqueName="[tbl_details5]" caption="tbl_details5"/>
  </dimensions>
  <measureGroups count="1">
    <measureGroup name="tbl_details5" caption="tbl_details5"/>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27.31577789352" backgroundQuery="1" createdVersion="6" refreshedVersion="6" minRefreshableVersion="3" recordCount="0" supportSubquery="1" supportAdvancedDrill="1" xr:uid="{C207684C-7B49-4E19-896F-9F9A95B9EC2C}">
  <cacheSource type="external" connectionId="1"/>
  <cacheFields count="3">
    <cacheField name="[Measures].[Count of Order ID]" caption="Count of Order ID" numFmtId="0" hierarchy="13" level="32767"/>
    <cacheField name="[tbl_details5].[Order Month].[Order Month]" caption="Order Month" numFmtId="0" hierarchy="8" level="1">
      <sharedItems containsSemiMixedTypes="0" containsNonDate="0" containsString="0"/>
    </cacheField>
    <cacheField name="[tbl_details5].[Category].[Category]" caption="Category" numFmtId="0" hierarchy="5" level="1">
      <sharedItems containsSemiMixedTypes="0" containsNonDate="0" containsString="0"/>
    </cacheField>
  </cacheFields>
  <cacheHierarchies count="18">
    <cacheHierarchy uniqueName="[tbl_details5].[Order ID]" caption="Order ID" attribute="1" defaultMemberUniqueName="[tbl_details5].[Order ID].[All]" allUniqueName="[tbl_details5].[Order ID].[All]" dimensionUniqueName="[tbl_details5]" displayFolder="" count="0" memberValueDatatype="130" unbalanced="0"/>
    <cacheHierarchy uniqueName="[tbl_details5].[Revenue]" caption="Revenue" attribute="1" defaultMemberUniqueName="[tbl_details5].[Revenue].[All]" allUniqueName="[tbl_details5].[Revenue].[All]" dimensionUniqueName="[tbl_details5]" displayFolder="" count="0" memberValueDatatype="20" unbalanced="0"/>
    <cacheHierarchy uniqueName="[tbl_details5].[Profit]" caption="Profit" attribute="1" defaultMemberUniqueName="[tbl_details5].[Profit].[All]" allUniqueName="[tbl_details5].[Profit].[All]" dimensionUniqueName="[tbl_details5]" displayFolder="" count="0" memberValueDatatype="20" unbalanced="0"/>
    <cacheHierarchy uniqueName="[tbl_details5].[Profit %]" caption="Profit %" attribute="1" defaultMemberUniqueName="[tbl_details5].[Profit %].[All]" allUniqueName="[tbl_details5].[Profit %].[All]" dimensionUniqueName="[tbl_details5]" displayFolder="" count="0" memberValueDatatype="5" unbalanced="0"/>
    <cacheHierarchy uniqueName="[tbl_details5].[Quantity]" caption="Quantity" attribute="1" defaultMemberUniqueName="[tbl_details5].[Quantity].[All]" allUniqueName="[tbl_details5].[Quantity].[All]" dimensionUniqueName="[tbl_details5]" displayFolder="" count="0" memberValueDatatype="20" unbalanced="0"/>
    <cacheHierarchy uniqueName="[tbl_details5].[Category]" caption="Category" attribute="1" defaultMemberUniqueName="[tbl_details5].[Category].[All]" allUniqueName="[tbl_details5].[Category].[All]" dimensionUniqueName="[tbl_details5]" displayFolder="" count="2" memberValueDatatype="130" unbalanced="0">
      <fieldsUsage count="2">
        <fieldUsage x="-1"/>
        <fieldUsage x="2"/>
      </fieldsUsage>
    </cacheHierarchy>
    <cacheHierarchy uniqueName="[tbl_details5].[Sub-Category]" caption="Sub-Category" attribute="1" defaultMemberUniqueName="[tbl_details5].[Sub-Category].[All]" allUniqueName="[tbl_details5].[Sub-Category].[All]" dimensionUniqueName="[tbl_details5]" displayFolder="" count="0" memberValueDatatype="130" unbalanced="0"/>
    <cacheHierarchy uniqueName="[tbl_details5].[Order Date]" caption="Order Date" attribute="1" time="1" defaultMemberUniqueName="[tbl_details5].[Order Date].[All]" allUniqueName="[tbl_details5].[Order Date].[All]" dimensionUniqueName="[tbl_details5]" displayFolder="" count="0" memberValueDatatype="7" unbalanced="0"/>
    <cacheHierarchy uniqueName="[tbl_details5].[Order Month]" caption="Order Month" attribute="1" defaultMemberUniqueName="[tbl_details5].[Order Month].[All]" allUniqueName="[tbl_details5].[Order Month].[All]" dimensionUniqueName="[tbl_details5]" displayFolder="" count="2" memberValueDatatype="130" unbalanced="0">
      <fieldsUsage count="2">
        <fieldUsage x="-1"/>
        <fieldUsage x="1"/>
      </fieldsUsage>
    </cacheHierarchy>
    <cacheHierarchy uniqueName="[tbl_details5].[Customer Name]" caption="Customer Name" attribute="1" defaultMemberUniqueName="[tbl_details5].[Customer Name].[All]" allUniqueName="[tbl_details5].[Customer Name].[All]" dimensionUniqueName="[tbl_details5]" displayFolder="" count="0" memberValueDatatype="130" unbalanced="0"/>
    <cacheHierarchy uniqueName="[tbl_details5].[State]" caption="State" attribute="1" defaultMemberUniqueName="[tbl_details5].[State].[All]" allUniqueName="[tbl_details5].[State].[All]" dimensionUniqueName="[tbl_details5]" displayFolder="" count="0" memberValueDatatype="130" unbalanced="0"/>
    <cacheHierarchy uniqueName="[tbl_details5].[City]" caption="City" attribute="1" defaultMemberUniqueName="[tbl_details5].[City].[All]" allUniqueName="[tbl_details5].[City].[All]" dimensionUniqueName="[tbl_details5]" displayFolder="" count="0" memberValueDatatype="130" unbalanced="0"/>
    <cacheHierarchy uniqueName="[Measures].[Sum of Revenue]" caption="Sum of Revenue" measure="1" displayFolder="" measureGroup="tbl_details5" count="0">
      <extLst>
        <ext xmlns:x15="http://schemas.microsoft.com/office/spreadsheetml/2010/11/main" uri="{B97F6D7D-B522-45F9-BDA1-12C45D357490}">
          <x15:cacheHierarchy aggregatedColumn="1"/>
        </ext>
      </extLst>
    </cacheHierarchy>
    <cacheHierarchy uniqueName="[Measures].[Count of Order ID]" caption="Count of Order ID" measure="1" displayFolder="" measureGroup="tbl_details5" count="0" oneField="1">
      <fieldsUsage count="1">
        <fieldUsage x="0"/>
      </fieldsUsage>
      <extLst>
        <ext xmlns:x15="http://schemas.microsoft.com/office/spreadsheetml/2010/11/main" uri="{B97F6D7D-B522-45F9-BDA1-12C45D357490}">
          <x15:cacheHierarchy aggregatedColumn="0"/>
        </ext>
      </extLst>
    </cacheHierarchy>
    <cacheHierarchy uniqueName="[Measures].[Sum of Profit]" caption="Sum of Profit" measure="1" displayFolder="" measureGroup="tbl_details5" count="0">
      <extLst>
        <ext xmlns:x15="http://schemas.microsoft.com/office/spreadsheetml/2010/11/main" uri="{B97F6D7D-B522-45F9-BDA1-12C45D357490}">
          <x15:cacheHierarchy aggregatedColumn="2"/>
        </ext>
      </extLst>
    </cacheHierarchy>
    <cacheHierarchy uniqueName="[Measures].[AOV]" caption="AOV" measure="1" displayFolder="" measureGroup="tbl_details5" count="0"/>
    <cacheHierarchy uniqueName="[Measures].[__XL_Count tbl_details5]" caption="__XL_Count tbl_details5" measure="1" displayFolder="" measureGroup="tbl_details5" count="0" hidden="1"/>
    <cacheHierarchy uniqueName="[Measures].[__No measures defined]" caption="__No measures defined" measure="1" displayFolder="" count="0" hidden="1"/>
  </cacheHierarchies>
  <kpis count="0"/>
  <dimensions count="2">
    <dimension measure="1" name="Measures" uniqueName="[Measures]" caption="Measures"/>
    <dimension name="tbl_details5" uniqueName="[tbl_details5]" caption="tbl_details5"/>
  </dimensions>
  <measureGroups count="1">
    <measureGroup name="tbl_details5" caption="tbl_details5"/>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27.315785300925" createdVersion="6" refreshedVersion="6" minRefreshableVersion="3" recordCount="1500" xr:uid="{7DA72E7D-659E-4BB8-BE31-27D91348EECD}">
  <cacheSource type="worksheet">
    <worksheetSource name="tbl_details5"/>
  </cacheSource>
  <cacheFields count="14">
    <cacheField name="Order ID" numFmtId="0">
      <sharedItems/>
    </cacheField>
    <cacheField name="Revenue" numFmtId="164">
      <sharedItems containsSemiMixedTypes="0" containsString="0" containsNumber="1" containsInteger="1" minValue="4" maxValue="5729"/>
    </cacheField>
    <cacheField name="Profit" numFmtId="164">
      <sharedItems containsSemiMixedTypes="0" containsString="0" containsNumber="1" containsInteger="1" minValue="-1981" maxValue="1698"/>
    </cacheField>
    <cacheField name="Profit %" numFmtId="9">
      <sharedItems containsSemiMixedTypes="0" containsString="0" containsNumber="1" minValue="-2.4255319148936172" maxValue="0.50847457627118642"/>
    </cacheField>
    <cacheField name="Quantity" numFmtId="0">
      <sharedItems containsSemiMixedTypes="0" containsString="0" containsNumber="1" containsInteger="1" minValue="1" maxValue="14"/>
    </cacheField>
    <cacheField name="Category" numFmtId="0">
      <sharedItems count="3">
        <s v="Furniture"/>
        <s v="Clothing"/>
        <s v="Electronics"/>
      </sharedItems>
    </cacheField>
    <cacheField name="Sub-Category" numFmtId="0">
      <sharedItems count="17">
        <s v="Bookcases"/>
        <s v="Stole"/>
        <s v="Hankerchief"/>
        <s v="Electronic Games"/>
        <s v="Phones"/>
        <s v="Saree"/>
        <s v="Trousers"/>
        <s v="Chairs"/>
        <s v="Kurti"/>
        <s v="T-shirt"/>
        <s v="Shirt"/>
        <s v="Leggings"/>
        <s v="Tables"/>
        <s v="Printers"/>
        <s v="Accessories"/>
        <s v="Furnishings"/>
        <s v="Skirt"/>
      </sharedItems>
    </cacheField>
    <cacheField name="Order Date" numFmtId="14">
      <sharedItems containsSemiMixedTypes="0" containsNonDate="0" containsDate="1" containsString="0" minDate="2018-04-01T00:00:00" maxDate="2019-04-01T00:00:00" count="307">
        <d v="2018-04-01T00:00:00"/>
        <d v="2018-04-03T00:00:00"/>
        <d v="2018-04-05T00:00:00"/>
        <d v="2018-04-06T00:00:00"/>
        <d v="2018-04-08T00:00:00"/>
        <d v="2018-04-09T00:00:00"/>
        <d v="2018-04-11T00:00:00"/>
        <d v="2018-04-12T00:00:00"/>
        <d v="2018-04-13T00:00:00"/>
        <d v="2018-04-15T00:00:00"/>
        <d v="2018-04-17T00:00:00"/>
        <d v="2018-04-18T00:00:00"/>
        <d v="2018-04-20T00:00:00"/>
        <d v="2018-04-22T00:00:00"/>
        <d v="2018-04-23T00:00:00"/>
        <d v="2018-04-24T00:00:00"/>
        <d v="2018-04-25T00:00:00"/>
        <d v="2018-04-26T00:00:00"/>
        <d v="2018-04-27T00:00:00"/>
        <d v="2018-04-28T00:00:00"/>
        <d v="2018-04-29T00:00:00"/>
        <d v="2018-04-30T00:00:00"/>
        <d v="2018-05-01T00:00:00"/>
        <d v="2018-05-03T00:00:00"/>
        <d v="2018-05-04T00:00:00"/>
        <d v="2018-05-05T00:00:00"/>
        <d v="2018-05-06T00:00:00"/>
        <d v="2018-05-07T00:00:00"/>
        <d v="2018-05-08T00:00:00"/>
        <d v="2018-05-10T00:00:00"/>
        <d v="2018-05-11T00:00:00"/>
        <d v="2018-05-13T00:00:00"/>
        <d v="2018-05-14T00:00:00"/>
        <d v="2018-05-15T00:00:00"/>
        <d v="2018-05-16T00:00:00"/>
        <d v="2018-05-17T00:00:00"/>
        <d v="2018-05-19T00:00:00"/>
        <d v="2018-05-20T00:00:00"/>
        <d v="2018-05-21T00:00:00"/>
        <d v="2018-05-22T00:00:00"/>
        <d v="2018-05-23T00:00:00"/>
        <d v="2018-05-24T00:00:00"/>
        <d v="2018-05-25T00:00:00"/>
        <d v="2018-05-27T00:00:00"/>
        <d v="2018-05-28T00:00:00"/>
        <d v="2018-05-31T00:00:00"/>
        <d v="2018-06-01T00:00:00"/>
        <d v="2018-06-02T00:00:00"/>
        <d v="2018-06-03T00:00:00"/>
        <d v="2018-06-04T00:00:00"/>
        <d v="2018-06-07T00:00:00"/>
        <d v="2018-06-08T00:00:00"/>
        <d v="2018-06-09T00:00:00"/>
        <d v="2018-06-10T00:00:00"/>
        <d v="2018-06-11T00:00:00"/>
        <d v="2018-06-14T00:00:00"/>
        <d v="2018-06-15T00:00:00"/>
        <d v="2018-06-16T00:00:00"/>
        <d v="2018-06-17T00:00:00"/>
        <d v="2018-06-18T00:00:00"/>
        <d v="2018-06-21T00:00:00"/>
        <d v="2018-06-22T00:00:00"/>
        <d v="2018-06-23T00:00:00"/>
        <d v="2018-06-24T00:00:00"/>
        <d v="2018-06-25T00:00:00"/>
        <d v="2018-06-26T00:00:00"/>
        <d v="2018-06-27T00:00:00"/>
        <d v="2018-06-28T00:00:00"/>
        <d v="2018-06-29T00:00:00"/>
        <d v="2018-06-30T00:00:00"/>
        <d v="2018-07-01T00:00:00"/>
        <d v="2018-07-05T00:00:00"/>
        <d v="2018-07-06T00:00:00"/>
        <d v="2018-07-07T00:00:00"/>
        <d v="2018-07-08T00:00:00"/>
        <d v="2018-07-09T00:00:00"/>
        <d v="2018-07-10T00:00:00"/>
        <d v="2018-07-11T00:00:00"/>
        <d v="2018-07-12T00:00:00"/>
        <d v="2018-07-15T00:00:00"/>
        <d v="2018-07-16T00:00:00"/>
        <d v="2018-07-17T00:00:00"/>
        <d v="2018-07-18T00:00:00"/>
        <d v="2018-07-19T00:00:00"/>
        <d v="2018-07-20T00:00:00"/>
        <d v="2018-07-21T00:00:00"/>
        <d v="2018-07-22T00:00:00"/>
        <d v="2018-07-26T00:00:00"/>
        <d v="2018-07-27T00:00:00"/>
        <d v="2018-07-28T00:00:00"/>
        <d v="2018-07-29T00:00:00"/>
        <d v="2018-07-30T00:00:00"/>
        <d v="2018-07-31T00:00:00"/>
        <d v="2018-08-01T00:00:00"/>
        <d v="2018-08-02T00:00:00"/>
        <d v="2018-08-03T00:00:00"/>
        <d v="2018-08-07T00:00:00"/>
        <d v="2018-08-08T00:00:00"/>
        <d v="2018-08-09T00:00:00"/>
        <d v="2018-08-10T00:00:00"/>
        <d v="2018-08-11T00:00:00"/>
        <d v="2018-08-12T00:00:00"/>
        <d v="2018-08-13T00:00:00"/>
        <d v="2018-08-14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6T00:00:00"/>
        <d v="2018-09-07T00:00:00"/>
        <d v="2018-09-08T00:00:00"/>
        <d v="2018-09-09T00:00:00"/>
        <d v="2018-09-10T00:00:00"/>
        <d v="2018-09-11T00:00:00"/>
        <d v="2018-09-12T00:00:00"/>
        <d v="2018-09-13T00:00:00"/>
        <d v="2018-09-14T00:00:00"/>
        <d v="2018-09-15T00:00:00"/>
        <d v="2018-09-19T00:00:00"/>
        <d v="2018-09-20T00:00:00"/>
        <d v="2018-09-21T00:00:00"/>
        <d v="2018-09-22T00:00:00"/>
        <d v="2018-09-23T00:00:00"/>
        <d v="2018-09-24T00:00:00"/>
        <d v="2018-09-30T00:00:00"/>
        <d v="2018-10-01T00:00:00"/>
        <d v="2018-10-05T00:00:00"/>
        <d v="2018-10-06T00:00:00"/>
        <d v="2018-10-07T00:00:00"/>
        <d v="2018-10-08T00:00:00"/>
        <d v="2018-10-09T00:00:00"/>
        <d v="2018-10-10T00:00:00"/>
        <d v="2018-10-12T00:00:00"/>
        <d v="2018-10-13T00:00:00"/>
        <d v="2018-10-14T00:00:00"/>
        <d v="2018-10-15T00:00:00"/>
        <d v="2018-10-16T00:00:00"/>
        <d v="2018-10-18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10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6T00:00:00"/>
        <d v="2019-01-17T00:00:00"/>
        <d v="2019-01-18T00:00:00"/>
        <d v="2019-01-19T00:00:00"/>
        <d v="2019-01-20T00:00:00"/>
        <d v="2019-01-21T00:00:00"/>
        <d v="2019-01-22T00:00:00"/>
        <d v="2019-01-23T00:00:00"/>
        <d v="2019-01-24T00:00:00"/>
        <d v="2019-01-25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sharedItems>
      <fieldGroup par="13" base="7">
        <rangePr groupBy="months" startDate="2018-04-01T00:00:00" endDate="2019-04-01T00:00:00"/>
        <groupItems count="14">
          <s v="&lt;01-04-2018"/>
          <s v="Jan"/>
          <s v="Feb"/>
          <s v="Mar"/>
          <s v="Apr"/>
          <s v="May"/>
          <s v="Jun"/>
          <s v="Jul"/>
          <s v="Aug"/>
          <s v="Sep"/>
          <s v="Oct"/>
          <s v="Nov"/>
          <s v="Dec"/>
          <s v="&gt;01-04-2019"/>
        </groupItems>
      </fieldGroup>
    </cacheField>
    <cacheField name="Order Month " numFmtId="14">
      <sharedItems/>
    </cacheField>
    <cacheField name="Customer Name" numFmtId="0">
      <sharedItems count="332">
        <s v="Bharat"/>
        <s v="Pearl"/>
        <s v="Jahan"/>
        <s v="Divsha"/>
        <s v="Kasheen"/>
        <s v="Hazel"/>
        <s v="Sonakshi"/>
        <s v="Aarushi"/>
        <s v="Jitesh"/>
        <s v="Yogesh"/>
        <s v="Anita"/>
        <s v="Shrichand"/>
        <s v="Mukesh"/>
        <s v="Vandana"/>
        <s v="Bhavna"/>
        <s v="Kanak"/>
        <s v="Sagar"/>
        <s v="Manju"/>
        <s v="Ramesh"/>
        <s v="Sarita"/>
        <s v="Deepak"/>
        <s v="Monisha"/>
        <s v="Atharv"/>
        <s v="Vini"/>
        <s v="Pinky"/>
        <s v="Bhishm"/>
        <s v="Hitika"/>
        <s v="Pooja"/>
        <s v="Hemant"/>
        <s v="Sahil"/>
        <s v="Ritu"/>
        <s v="Manish"/>
        <s v="Amit"/>
        <s v="Sanjay"/>
        <s v="Nidhi"/>
        <s v="Nishi"/>
        <s v="Ashmi"/>
        <s v="Parth"/>
        <s v="Lisha"/>
        <s v="Paridhi"/>
        <s v="Parishi"/>
        <s v="Ajay"/>
        <s v="Kirti"/>
        <s v="Mayank"/>
        <s v="Yaanvi"/>
        <s v="Sonal"/>
        <s v="Sharda"/>
        <s v="Aditya"/>
        <s v="Rachna"/>
        <s v="Chirag"/>
        <s v="Anurag"/>
        <s v="Tushina"/>
        <s v="Farah"/>
        <s v="Sabah"/>
        <s v="Nida"/>
        <s v="Priyanka"/>
        <s v="Tulika"/>
        <s v="Shefali"/>
        <s v="Sanskriti"/>
        <s v="Shruti"/>
        <s v="Subhashree"/>
        <s v="Sweta"/>
        <s v="Pournamasi"/>
        <s v="Pratyusmita"/>
        <s v="Chayanika"/>
        <s v="Tanvi"/>
        <s v="Anjali"/>
        <s v="Rhea"/>
        <s v="Piyali"/>
        <s v="Charika"/>
        <s v="Mitali"/>
        <s v="Akanksha"/>
        <s v="Arsheen"/>
        <s v="Mahima"/>
        <s v="Shreya"/>
        <s v="Chandni"/>
        <s v="Ekta"/>
        <s v="Bathina"/>
        <s v="Avni"/>
        <s v="Aayushi"/>
        <s v="Bhawna"/>
        <s v="Krutika"/>
        <s v="Samiksha"/>
        <s v="Sheetal"/>
        <s v="Sanjna"/>
        <s v="Swetha"/>
        <s v="Bhaggyasree"/>
        <s v="Gunjan"/>
        <s v="Akancha"/>
        <s v="Rashmi"/>
        <s v="Parna"/>
        <s v="Subhasmita"/>
        <s v="Suhani"/>
        <s v="Noopur"/>
        <s v="Vijay"/>
        <s v="Amisha"/>
        <s v="Kritika"/>
        <s v="Shubhi"/>
        <s v="Maithilee"/>
        <s v="Shaily"/>
        <s v="Riya"/>
        <s v="Shweta"/>
        <s v="Swetlana"/>
        <s v="Shivani"/>
        <s v="Kishwar"/>
        <s v="Aakanksha"/>
        <s v="Megha"/>
        <s v="Sakshi"/>
        <s v="Adhvaita"/>
        <s v="Raksha"/>
        <s v="Stuti"/>
        <s v="Srishti"/>
        <s v="Surabhi"/>
        <s v="Manshul"/>
        <s v="Namrata"/>
        <s v="Anchal"/>
        <s v="Inderpreet"/>
        <s v="Wale"/>
        <s v="Anisha"/>
        <s v="Kiran"/>
        <s v="Turumella"/>
        <s v="Ameesha"/>
        <s v="Madhulika"/>
        <s v="Rishabh"/>
        <s v="Akash"/>
        <s v="Anubhaw"/>
        <s v="Dhirajendu"/>
        <s v="Pranav"/>
        <s v="Arindam"/>
        <s v="Akshat"/>
        <s v="Shubham"/>
        <s v="Ayush"/>
        <s v="Daksh"/>
        <s v="Rane"/>
        <s v="Navdeep"/>
        <s v="Ashwin"/>
        <s v="Aman"/>
        <s v="Devendra"/>
        <s v="Kartik"/>
        <s v="Shivam"/>
        <s v="Harsh"/>
        <s v="Nitant"/>
        <s v="Priyanshu"/>
        <s v="Nishant"/>
        <s v="Vaibhav"/>
        <s v="Akshay"/>
        <s v="Shourya"/>
        <s v="Mohan"/>
        <s v="Mohit"/>
        <s v="Soumya"/>
        <s v="Anudeep"/>
        <s v="Noshiba"/>
        <s v="Sanjova"/>
        <s v="Meghana"/>
        <s v="Ashmeet"/>
        <s v="Shreyoshe"/>
        <s v="Surbhi"/>
        <s v="Vaibhavi"/>
        <s v="Sanjana"/>
        <s v="Snehal"/>
        <s v="Duhita"/>
        <s v="Mousam"/>
        <s v="Aditi"/>
        <s v="Savi"/>
        <s v="Teena"/>
        <s v="Rutuja"/>
        <s v="Shivangi"/>
        <s v="Rohit"/>
        <s v="Abhishek"/>
        <s v="Asish"/>
        <s v="Dinesh"/>
        <s v="Sajal"/>
        <s v="Avish"/>
        <s v="Siddharth"/>
        <s v="Sukant"/>
        <s v="Sukrith"/>
        <s v="Sauptik"/>
        <s v="Shishu"/>
        <s v="Divyansh"/>
        <s v="Ishit"/>
        <s v="Aryan"/>
        <s v="Yash"/>
        <s v="Shivanshu"/>
        <s v="Sudheer"/>
        <s v="Ankit"/>
        <s v="Dhanraj"/>
        <s v="Vipul"/>
        <s v="Apsingekar"/>
        <s v="Suman"/>
        <s v="Nripraj"/>
        <s v="Utsav"/>
        <s v="Kshitij"/>
        <s v="Hrisheekesh"/>
        <s v="Swapnil"/>
        <s v="Mane"/>
        <s v="Praneet"/>
        <s v="Sandeep"/>
        <s v="Ankur"/>
        <s v="Dheeraj"/>
        <s v="Tejas"/>
        <s v="Rohan"/>
        <s v="Shyam"/>
        <s v="Tanushree"/>
        <s v="Nikita"/>
        <s v="Apoorva"/>
        <s v="Aastha"/>
        <s v="Harshita"/>
        <s v="Krishna"/>
        <s v="Ananya"/>
        <s v="Moumita"/>
        <s v="Arti"/>
        <s v="Palak"/>
        <s v="Pranjali"/>
        <s v="Sneha"/>
        <s v="Ashvini"/>
        <s v="Mrunal"/>
        <s v="Swati"/>
        <s v="Snel"/>
        <s v="Soodesh"/>
        <s v="Aniket"/>
        <s v="K"/>
        <s v="Kushal"/>
        <s v="Soumyabrata"/>
        <s v="Gaurav"/>
        <s v="Abhijeet"/>
        <s v="Anand"/>
        <s v="Chikku"/>
        <s v="Aayush"/>
        <s v="Amol"/>
        <s v="Manibalan"/>
        <s v="Aromal"/>
        <s v="Arun"/>
        <s v="Komal"/>
        <s v="Vikash"/>
        <s v="Parakh"/>
        <s v="Gunjal"/>
        <s v="Saurabh"/>
        <s v="Divyeta"/>
        <s v="Divyeshkumar"/>
        <s v="Bhosale"/>
        <s v="Dashyam"/>
        <s v="Mrinal"/>
        <s v="Apoorv"/>
        <s v="Masurkar"/>
        <s v="Saptadeep"/>
        <s v="Sumeet"/>
        <s v="Shatayu"/>
        <s v="Brijesh"/>
        <s v="Vedant"/>
        <s v="Divyansha"/>
        <s v="Aashna"/>
        <s v="Monu"/>
        <s v="Sathya"/>
        <s v="Aishwarya"/>
        <s v="Suraj"/>
        <s v="Ishpreet"/>
        <s v="Amlan"/>
        <s v="Bhargav"/>
        <s v="Abhijit"/>
        <s v="Jaydeep"/>
        <s v="Pradeep"/>
        <s v="Sujay"/>
        <s v="Jay"/>
        <s v="Phalguni"/>
        <s v="Preksha"/>
        <s v="Geetanjali"/>
        <s v="Kajal"/>
        <s v="Sukruta"/>
        <s v="Utkarsh"/>
        <s v="Karandeep"/>
        <s v="Neha"/>
        <s v="Jayanti"/>
        <s v="Sandra"/>
        <s v="Akshata"/>
        <s v="Vishakha"/>
        <s v="Prajakta"/>
        <s v="Dipali"/>
        <s v="Smriti"/>
        <s v="Girase"/>
        <s v="Monica"/>
        <s v="Sidharth"/>
        <s v="Bhutekar"/>
        <s v="Shikhar"/>
        <s v="Rahul"/>
        <s v="Sudhir"/>
        <s v="Nikhil"/>
        <s v="Vineet"/>
        <s v="Vivek"/>
        <s v="Jaideep"/>
        <s v="Shardul"/>
        <s v="Syed"/>
        <s v="Mhatre"/>
        <s v="Chetan"/>
        <s v="Mukund"/>
        <s v="Shantanu"/>
        <s v="Jesal"/>
        <s v="Trupti"/>
        <s v="Aparajita"/>
        <s v="Muskan"/>
        <s v="Tejeswini"/>
        <s v="Pratiksha"/>
        <s v="Oshin"/>
        <s v="Saloni"/>
        <s v="Paromita"/>
        <s v="Shreyshi"/>
        <s v="Jesslyn"/>
        <s v="Seema"/>
        <s v="Manisha"/>
        <s v="Piyam"/>
        <s v="Parin"/>
        <s v="Amruta"/>
        <s v="Hemangi"/>
        <s v="Atul"/>
        <s v="Ginny"/>
        <s v="Manjiri"/>
        <s v="Nirja"/>
        <s v="Mugdha"/>
        <s v="Mansi"/>
        <s v="Harshal"/>
        <s v="Omkar"/>
        <s v="Yohann"/>
        <s v="Prashant"/>
        <s v="Anmol"/>
        <s v="Diwakar"/>
        <s v="Patil"/>
        <s v="Hitesh"/>
        <s v="Nandita"/>
        <s v="Parnavi"/>
        <s v="Arpita"/>
        <s v="Kalyani"/>
        <s v="Kartikay"/>
        <s v="Ankita"/>
      </sharedItems>
    </cacheField>
    <cacheField name="State" numFmtId="0">
      <sharedItems count="19">
        <s v="Gujarat"/>
        <s v="Maharashtra"/>
        <s v="Madhya Pradesh"/>
        <s v="Rajasthan"/>
        <s v="West Bengal"/>
        <s v="Karnataka"/>
        <s v="Jammu and Kashmir"/>
        <s v="Tamil Nadu"/>
        <s v="Uttar Pradesh"/>
        <s v="Bihar"/>
        <s v="Kerala "/>
        <s v="Punjab"/>
        <s v="Haryana"/>
        <s v="Himachal Pradesh"/>
        <s v="Sikkim"/>
        <s v="Goa"/>
        <s v="Nagaland"/>
        <s v="Andhra Pradesh"/>
        <s v="Delhi"/>
      </sharedItems>
    </cacheField>
    <cacheField name="City" numFmtId="0">
      <sharedItems/>
    </cacheField>
    <cacheField name="Quarters2" numFmtId="0" databaseField="0">
      <fieldGroup base="7">
        <rangePr groupBy="quarters" startDate="2018-04-01T00:00:00" endDate="2019-04-01T00:00:00"/>
        <groupItems count="6">
          <s v="&lt;01-04-2018"/>
          <s v="Qtr1"/>
          <s v="Qtr2"/>
          <s v="Qtr3"/>
          <s v="Qtr4"/>
          <s v="&gt;01-04-2019"/>
        </groupItems>
      </fieldGroup>
    </cacheField>
    <cacheField name="Years2" numFmtId="0" databaseField="0">
      <fieldGroup base="7">
        <rangePr groupBy="years" startDate="2018-04-01T00:00:00" endDate="2019-04-01T00:00:00"/>
        <groupItems count="4">
          <s v="&lt;01-04-2018"/>
          <s v="2018"/>
          <s v="2019"/>
          <s v="&gt;01-04-2019"/>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27.315775115741" backgroundQuery="1" createdVersion="3" refreshedVersion="6" minRefreshableVersion="3" recordCount="0" supportSubquery="1" supportAdvancedDrill="1" xr:uid="{B093037F-E068-4147-8DB2-340D56159352}">
  <cacheSource type="external" connectionId="1">
    <extLst>
      <ext xmlns:x14="http://schemas.microsoft.com/office/spreadsheetml/2009/9/main" uri="{F057638F-6D5F-4e77-A914-E7F072B9BCA8}">
        <x14:sourceConnection name="ThisWorkbookDataModel"/>
      </ext>
    </extLst>
  </cacheSource>
  <cacheFields count="0"/>
  <cacheHierarchies count="18">
    <cacheHierarchy uniqueName="[tbl_details5].[Order ID]" caption="Order ID" attribute="1" defaultMemberUniqueName="[tbl_details5].[Order ID].[All]" allUniqueName="[tbl_details5].[Order ID].[All]" dimensionUniqueName="[tbl_details5]" displayFolder="" count="0" memberValueDatatype="130" unbalanced="0"/>
    <cacheHierarchy uniqueName="[tbl_details5].[Revenue]" caption="Revenue" attribute="1" defaultMemberUniqueName="[tbl_details5].[Revenue].[All]" allUniqueName="[tbl_details5].[Revenue].[All]" dimensionUniqueName="[tbl_details5]" displayFolder="" count="0" memberValueDatatype="20" unbalanced="0"/>
    <cacheHierarchy uniqueName="[tbl_details5].[Profit]" caption="Profit" attribute="1" defaultMemberUniqueName="[tbl_details5].[Profit].[All]" allUniqueName="[tbl_details5].[Profit].[All]" dimensionUniqueName="[tbl_details5]" displayFolder="" count="0" memberValueDatatype="20" unbalanced="0"/>
    <cacheHierarchy uniqueName="[tbl_details5].[Profit %]" caption="Profit %" attribute="1" defaultMemberUniqueName="[tbl_details5].[Profit %].[All]" allUniqueName="[tbl_details5].[Profit %].[All]" dimensionUniqueName="[tbl_details5]" displayFolder="" count="0" memberValueDatatype="5" unbalanced="0"/>
    <cacheHierarchy uniqueName="[tbl_details5].[Quantity]" caption="Quantity" attribute="1" defaultMemberUniqueName="[tbl_details5].[Quantity].[All]" allUniqueName="[tbl_details5].[Quantity].[All]" dimensionUniqueName="[tbl_details5]" displayFolder="" count="0" memberValueDatatype="20" unbalanced="0"/>
    <cacheHierarchy uniqueName="[tbl_details5].[Category]" caption="Category" attribute="1" defaultMemberUniqueName="[tbl_details5].[Category].[All]" allUniqueName="[tbl_details5].[Category].[All]" dimensionUniqueName="[tbl_details5]" displayFolder="" count="2" memberValueDatatype="130" unbalanced="0"/>
    <cacheHierarchy uniqueName="[tbl_details5].[Sub-Category]" caption="Sub-Category" attribute="1" defaultMemberUniqueName="[tbl_details5].[Sub-Category].[All]" allUniqueName="[tbl_details5].[Sub-Category].[All]" dimensionUniqueName="[tbl_details5]" displayFolder="" count="0" memberValueDatatype="130" unbalanced="0"/>
    <cacheHierarchy uniqueName="[tbl_details5].[Order Date]" caption="Order Date" attribute="1" time="1" defaultMemberUniqueName="[tbl_details5].[Order Date].[All]" allUniqueName="[tbl_details5].[Order Date].[All]" dimensionUniqueName="[tbl_details5]" displayFolder="" count="0" memberValueDatatype="7" unbalanced="0"/>
    <cacheHierarchy uniqueName="[tbl_details5].[Order Month]" caption="Order Month" attribute="1" defaultMemberUniqueName="[tbl_details5].[Order Month].[All]" allUniqueName="[tbl_details5].[Order Month].[All]" dimensionUniqueName="[tbl_details5]" displayFolder="" count="2" memberValueDatatype="130" unbalanced="0"/>
    <cacheHierarchy uniqueName="[tbl_details5].[Customer Name]" caption="Customer Name" attribute="1" defaultMemberUniqueName="[tbl_details5].[Customer Name].[All]" allUniqueName="[tbl_details5].[Customer Name].[All]" dimensionUniqueName="[tbl_details5]" displayFolder="" count="0" memberValueDatatype="130" unbalanced="0"/>
    <cacheHierarchy uniqueName="[tbl_details5].[State]" caption="State" attribute="1" defaultMemberUniqueName="[tbl_details5].[State].[All]" allUniqueName="[tbl_details5].[State].[All]" dimensionUniqueName="[tbl_details5]" displayFolder="" count="0" memberValueDatatype="130" unbalanced="0"/>
    <cacheHierarchy uniqueName="[tbl_details5].[City]" caption="City" attribute="1" defaultMemberUniqueName="[tbl_details5].[City].[All]" allUniqueName="[tbl_details5].[City].[All]" dimensionUniqueName="[tbl_details5]" displayFolder="" count="0" memberValueDatatype="130" unbalanced="0"/>
    <cacheHierarchy uniqueName="[Measures].[Sum of Revenue]" caption="Sum of Revenue" measure="1" displayFolder="" measureGroup="tbl_details5" count="0">
      <extLst>
        <ext xmlns:x15="http://schemas.microsoft.com/office/spreadsheetml/2010/11/main" uri="{B97F6D7D-B522-45F9-BDA1-12C45D357490}">
          <x15:cacheHierarchy aggregatedColumn="1"/>
        </ext>
      </extLst>
    </cacheHierarchy>
    <cacheHierarchy uniqueName="[Measures].[Count of Order ID]" caption="Count of Order ID" measure="1" displayFolder="" measureGroup="tbl_details5" count="0">
      <extLst>
        <ext xmlns:x15="http://schemas.microsoft.com/office/spreadsheetml/2010/11/main" uri="{B97F6D7D-B522-45F9-BDA1-12C45D357490}">
          <x15:cacheHierarchy aggregatedColumn="0"/>
        </ext>
      </extLst>
    </cacheHierarchy>
    <cacheHierarchy uniqueName="[Measures].[Sum of Profit]" caption="Sum of Profit" measure="1" displayFolder="" measureGroup="tbl_details5" count="0">
      <extLst>
        <ext xmlns:x15="http://schemas.microsoft.com/office/spreadsheetml/2010/11/main" uri="{B97F6D7D-B522-45F9-BDA1-12C45D357490}">
          <x15:cacheHierarchy aggregatedColumn="2"/>
        </ext>
      </extLst>
    </cacheHierarchy>
    <cacheHierarchy uniqueName="[Measures].[AOV]" caption="AOV" measure="1" displayFolder="" measureGroup="tbl_details5" count="0"/>
    <cacheHierarchy uniqueName="[Measures].[__XL_Count tbl_details5]" caption="__XL_Count tbl_details5" measure="1" displayFolder="" measureGroup="tbl_details5"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4203266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s v="B-25601"/>
    <n v="1275"/>
    <n v="-1148"/>
    <n v="-0.9003921568627451"/>
    <n v="7"/>
    <x v="0"/>
    <x v="0"/>
    <x v="0"/>
    <s v="Apr-18"/>
    <x v="0"/>
    <x v="0"/>
    <s v="Ahmedabad"/>
  </r>
  <r>
    <s v="B-25601"/>
    <n v="66"/>
    <n v="-12"/>
    <n v="-0.18181818181818182"/>
    <n v="5"/>
    <x v="1"/>
    <x v="1"/>
    <x v="0"/>
    <s v="Apr-18"/>
    <x v="0"/>
    <x v="0"/>
    <s v="Ahmedabad"/>
  </r>
  <r>
    <s v="B-25601"/>
    <n v="8"/>
    <n v="-2"/>
    <n v="-0.25"/>
    <n v="3"/>
    <x v="1"/>
    <x v="2"/>
    <x v="0"/>
    <s v="Apr-18"/>
    <x v="0"/>
    <x v="0"/>
    <s v="Ahmedabad"/>
  </r>
  <r>
    <s v="B-25601"/>
    <n v="80"/>
    <n v="-56"/>
    <n v="-0.7"/>
    <n v="4"/>
    <x v="2"/>
    <x v="3"/>
    <x v="0"/>
    <s v="Apr-18"/>
    <x v="0"/>
    <x v="0"/>
    <s v="Ahmedabad"/>
  </r>
  <r>
    <s v="B-25602"/>
    <n v="168"/>
    <n v="-111"/>
    <n v="-0.6607142857142857"/>
    <n v="2"/>
    <x v="2"/>
    <x v="4"/>
    <x v="0"/>
    <s v="Apr-18"/>
    <x v="1"/>
    <x v="1"/>
    <s v="Pune"/>
  </r>
  <r>
    <s v="B-25602"/>
    <n v="424"/>
    <n v="-272"/>
    <n v="-0.64150943396226412"/>
    <n v="5"/>
    <x v="2"/>
    <x v="4"/>
    <x v="0"/>
    <s v="Apr-18"/>
    <x v="1"/>
    <x v="1"/>
    <s v="Pune"/>
  </r>
  <r>
    <s v="B-25602"/>
    <n v="2617"/>
    <n v="1151"/>
    <n v="0.43981658387466566"/>
    <n v="4"/>
    <x v="2"/>
    <x v="4"/>
    <x v="0"/>
    <s v="Apr-18"/>
    <x v="1"/>
    <x v="1"/>
    <s v="Pune"/>
  </r>
  <r>
    <s v="B-25602"/>
    <n v="561"/>
    <n v="212"/>
    <n v="0.37789661319073081"/>
    <n v="3"/>
    <x v="1"/>
    <x v="5"/>
    <x v="0"/>
    <s v="Apr-18"/>
    <x v="1"/>
    <x v="1"/>
    <s v="Pune"/>
  </r>
  <r>
    <s v="B-25602"/>
    <n v="119"/>
    <n v="-5"/>
    <n v="-4.2016806722689079E-2"/>
    <n v="8"/>
    <x v="1"/>
    <x v="5"/>
    <x v="0"/>
    <s v="Apr-18"/>
    <x v="1"/>
    <x v="1"/>
    <s v="Pune"/>
  </r>
  <r>
    <s v="B-25603"/>
    <n v="1355"/>
    <n v="-60"/>
    <n v="-4.4280442804428041E-2"/>
    <n v="5"/>
    <x v="1"/>
    <x v="6"/>
    <x v="1"/>
    <s v="Apr-18"/>
    <x v="2"/>
    <x v="2"/>
    <s v="Bhopal"/>
  </r>
  <r>
    <s v="B-25603"/>
    <n v="24"/>
    <n v="-30"/>
    <n v="-1.25"/>
    <n v="1"/>
    <x v="0"/>
    <x v="7"/>
    <x v="1"/>
    <s v="Apr-18"/>
    <x v="2"/>
    <x v="2"/>
    <s v="Bhopal"/>
  </r>
  <r>
    <s v="B-25603"/>
    <n v="193"/>
    <n v="-166"/>
    <n v="-0.86010362694300513"/>
    <n v="3"/>
    <x v="1"/>
    <x v="5"/>
    <x v="1"/>
    <s v="Apr-18"/>
    <x v="2"/>
    <x v="2"/>
    <s v="Bhopal"/>
  </r>
  <r>
    <s v="B-25603"/>
    <n v="180"/>
    <n v="5"/>
    <n v="2.7777777777777776E-2"/>
    <n v="3"/>
    <x v="1"/>
    <x v="6"/>
    <x v="1"/>
    <s v="Apr-18"/>
    <x v="2"/>
    <x v="2"/>
    <s v="Bhopal"/>
  </r>
  <r>
    <s v="B-25603"/>
    <n v="116"/>
    <n v="16"/>
    <n v="0.13793103448275862"/>
    <n v="4"/>
    <x v="1"/>
    <x v="1"/>
    <x v="1"/>
    <s v="Apr-18"/>
    <x v="2"/>
    <x v="2"/>
    <s v="Bhopal"/>
  </r>
  <r>
    <s v="B-25603"/>
    <n v="107"/>
    <n v="36"/>
    <n v="0.3364485981308411"/>
    <n v="6"/>
    <x v="1"/>
    <x v="1"/>
    <x v="1"/>
    <s v="Apr-18"/>
    <x v="2"/>
    <x v="2"/>
    <s v="Bhopal"/>
  </r>
  <r>
    <s v="B-25603"/>
    <n v="12"/>
    <n v="1"/>
    <n v="8.3333333333333329E-2"/>
    <n v="2"/>
    <x v="1"/>
    <x v="2"/>
    <x v="1"/>
    <s v="Apr-18"/>
    <x v="2"/>
    <x v="2"/>
    <s v="Bhopal"/>
  </r>
  <r>
    <s v="B-25603"/>
    <n v="38"/>
    <n v="18"/>
    <n v="0.47368421052631576"/>
    <n v="1"/>
    <x v="1"/>
    <x v="8"/>
    <x v="1"/>
    <s v="Apr-18"/>
    <x v="2"/>
    <x v="2"/>
    <s v="Bhopal"/>
  </r>
  <r>
    <s v="B-25604"/>
    <n v="65"/>
    <n v="17"/>
    <n v="0.26153846153846155"/>
    <n v="2"/>
    <x v="1"/>
    <x v="9"/>
    <x v="1"/>
    <s v="Apr-18"/>
    <x v="3"/>
    <x v="3"/>
    <s v="Jaipur"/>
  </r>
  <r>
    <s v="B-25604"/>
    <n v="157"/>
    <n v="5"/>
    <n v="3.1847133757961783E-2"/>
    <n v="9"/>
    <x v="1"/>
    <x v="5"/>
    <x v="1"/>
    <s v="Apr-18"/>
    <x v="3"/>
    <x v="3"/>
    <s v="Jaipur"/>
  </r>
  <r>
    <s v="B-25605"/>
    <n v="75"/>
    <n v="0"/>
    <n v="0"/>
    <n v="7"/>
    <x v="1"/>
    <x v="5"/>
    <x v="2"/>
    <s v="Apr-18"/>
    <x v="4"/>
    <x v="4"/>
    <s v="Kolkata"/>
  </r>
  <r>
    <s v="B-25606"/>
    <n v="87"/>
    <n v="4"/>
    <n v="4.5977011494252873E-2"/>
    <n v="2"/>
    <x v="1"/>
    <x v="10"/>
    <x v="3"/>
    <s v="Apr-18"/>
    <x v="5"/>
    <x v="5"/>
    <s v="Bangalore"/>
  </r>
  <r>
    <s v="B-25607"/>
    <n v="50"/>
    <n v="15"/>
    <n v="0.3"/>
    <n v="4"/>
    <x v="1"/>
    <x v="11"/>
    <x v="3"/>
    <s v="Apr-18"/>
    <x v="6"/>
    <x v="6"/>
    <s v="Kashmir"/>
  </r>
  <r>
    <s v="B-25608"/>
    <n v="1364"/>
    <n v="-1864"/>
    <n v="-1.3665689149560116"/>
    <n v="5"/>
    <x v="0"/>
    <x v="12"/>
    <x v="4"/>
    <s v="Apr-18"/>
    <x v="7"/>
    <x v="7"/>
    <s v="Chennai"/>
  </r>
  <r>
    <s v="B-25608"/>
    <n v="476"/>
    <n v="0"/>
    <n v="0"/>
    <n v="3"/>
    <x v="0"/>
    <x v="7"/>
    <x v="4"/>
    <s v="Apr-18"/>
    <x v="7"/>
    <x v="7"/>
    <s v="Chennai"/>
  </r>
  <r>
    <s v="B-25608"/>
    <n v="257"/>
    <n v="23"/>
    <n v="8.9494163424124515E-2"/>
    <n v="5"/>
    <x v="1"/>
    <x v="2"/>
    <x v="4"/>
    <s v="Apr-18"/>
    <x v="7"/>
    <x v="7"/>
    <s v="Chennai"/>
  </r>
  <r>
    <s v="B-25608"/>
    <n v="856"/>
    <n v="385"/>
    <n v="0.44976635514018692"/>
    <n v="6"/>
    <x v="2"/>
    <x v="13"/>
    <x v="4"/>
    <s v="Apr-18"/>
    <x v="7"/>
    <x v="7"/>
    <s v="Chennai"/>
  </r>
  <r>
    <s v="B-25609"/>
    <n v="485"/>
    <n v="29"/>
    <n v="5.9793814432989693E-2"/>
    <n v="4"/>
    <x v="2"/>
    <x v="3"/>
    <x v="5"/>
    <s v="Apr-18"/>
    <x v="8"/>
    <x v="8"/>
    <s v="Lucknow"/>
  </r>
  <r>
    <s v="B-25609"/>
    <n v="25"/>
    <n v="-5"/>
    <n v="-0.2"/>
    <n v="4"/>
    <x v="1"/>
    <x v="5"/>
    <x v="5"/>
    <s v="Apr-18"/>
    <x v="8"/>
    <x v="8"/>
    <s v="Lucknow"/>
  </r>
  <r>
    <s v="B-25610"/>
    <n v="1076"/>
    <n v="-38"/>
    <n v="-3.5315985130111527E-2"/>
    <n v="4"/>
    <x v="2"/>
    <x v="13"/>
    <x v="5"/>
    <s v="Apr-18"/>
    <x v="9"/>
    <x v="9"/>
    <s v="Patna"/>
  </r>
  <r>
    <s v="B-25610"/>
    <n v="107"/>
    <n v="-54"/>
    <n v="-0.50467289719626163"/>
    <n v="4"/>
    <x v="1"/>
    <x v="1"/>
    <x v="5"/>
    <s v="Apr-18"/>
    <x v="9"/>
    <x v="9"/>
    <s v="Patna"/>
  </r>
  <r>
    <s v="B-25610"/>
    <n v="68"/>
    <n v="-55"/>
    <n v="-0.80882352941176472"/>
    <n v="5"/>
    <x v="2"/>
    <x v="14"/>
    <x v="5"/>
    <s v="Apr-18"/>
    <x v="9"/>
    <x v="9"/>
    <s v="Patna"/>
  </r>
  <r>
    <s v="B-25610"/>
    <n v="781"/>
    <n v="-594"/>
    <n v="-0.76056338028169013"/>
    <n v="6"/>
    <x v="2"/>
    <x v="13"/>
    <x v="5"/>
    <s v="Apr-18"/>
    <x v="9"/>
    <x v="9"/>
    <s v="Patna"/>
  </r>
  <r>
    <s v="B-25610"/>
    <n v="43"/>
    <n v="0"/>
    <n v="0"/>
    <n v="3"/>
    <x v="1"/>
    <x v="5"/>
    <x v="5"/>
    <s v="Apr-18"/>
    <x v="9"/>
    <x v="9"/>
    <s v="Patna"/>
  </r>
  <r>
    <s v="B-25610"/>
    <n v="30"/>
    <n v="-5"/>
    <n v="-0.16666666666666666"/>
    <n v="2"/>
    <x v="0"/>
    <x v="15"/>
    <x v="5"/>
    <s v="Apr-18"/>
    <x v="9"/>
    <x v="9"/>
    <s v="Patna"/>
  </r>
  <r>
    <s v="B-25611"/>
    <n v="160"/>
    <n v="-59"/>
    <n v="-0.36875000000000002"/>
    <n v="2"/>
    <x v="1"/>
    <x v="5"/>
    <x v="6"/>
    <s v="Apr-18"/>
    <x v="10"/>
    <x v="10"/>
    <s v="Thiruvananthapuram"/>
  </r>
  <r>
    <s v="B-25612"/>
    <n v="259"/>
    <n v="-55"/>
    <n v="-0.21235521235521235"/>
    <n v="2"/>
    <x v="0"/>
    <x v="7"/>
    <x v="7"/>
    <s v="Apr-18"/>
    <x v="11"/>
    <x v="11"/>
    <s v="Chandigarh"/>
  </r>
  <r>
    <s v="B-25613"/>
    <n v="1603"/>
    <n v="0"/>
    <n v="0"/>
    <n v="9"/>
    <x v="1"/>
    <x v="5"/>
    <x v="7"/>
    <s v="Apr-18"/>
    <x v="12"/>
    <x v="12"/>
    <s v="Chandigarh"/>
  </r>
  <r>
    <s v="B-25614"/>
    <n v="494"/>
    <n v="54"/>
    <n v="0.10931174089068826"/>
    <n v="4"/>
    <x v="0"/>
    <x v="0"/>
    <x v="8"/>
    <s v="Apr-18"/>
    <x v="13"/>
    <x v="13"/>
    <s v="Simla"/>
  </r>
  <r>
    <s v="B-25614"/>
    <n v="98"/>
    <n v="-12"/>
    <n v="-0.12244897959183673"/>
    <n v="2"/>
    <x v="2"/>
    <x v="3"/>
    <x v="8"/>
    <s v="Apr-18"/>
    <x v="13"/>
    <x v="13"/>
    <s v="Simla"/>
  </r>
  <r>
    <s v="B-25615"/>
    <n v="68"/>
    <n v="20"/>
    <n v="0.29411764705882354"/>
    <n v="5"/>
    <x v="1"/>
    <x v="2"/>
    <x v="9"/>
    <s v="Apr-18"/>
    <x v="14"/>
    <x v="14"/>
    <s v="Gangtok"/>
  </r>
  <r>
    <s v="B-25616"/>
    <n v="42"/>
    <n v="12"/>
    <n v="0.2857142857142857"/>
    <n v="5"/>
    <x v="1"/>
    <x v="2"/>
    <x v="9"/>
    <s v="Apr-18"/>
    <x v="15"/>
    <x v="15"/>
    <s v="Goa"/>
  </r>
  <r>
    <s v="B-25616"/>
    <n v="116"/>
    <n v="-56"/>
    <n v="-0.48275862068965519"/>
    <n v="5"/>
    <x v="1"/>
    <x v="1"/>
    <x v="9"/>
    <s v="Apr-18"/>
    <x v="15"/>
    <x v="15"/>
    <s v="Goa"/>
  </r>
  <r>
    <s v="B-25616"/>
    <n v="22"/>
    <n v="-2"/>
    <n v="-9.0909090909090912E-2"/>
    <n v="3"/>
    <x v="1"/>
    <x v="2"/>
    <x v="9"/>
    <s v="Apr-18"/>
    <x v="15"/>
    <x v="15"/>
    <s v="Goa"/>
  </r>
  <r>
    <s v="B-25616"/>
    <n v="14"/>
    <n v="-2"/>
    <n v="-0.14285714285714285"/>
    <n v="3"/>
    <x v="1"/>
    <x v="2"/>
    <x v="9"/>
    <s v="Apr-18"/>
    <x v="15"/>
    <x v="15"/>
    <s v="Goa"/>
  </r>
  <r>
    <s v="B-25617"/>
    <n v="305"/>
    <n v="-270"/>
    <n v="-0.88524590163934425"/>
    <n v="5"/>
    <x v="2"/>
    <x v="3"/>
    <x v="10"/>
    <s v="Apr-18"/>
    <x v="16"/>
    <x v="16"/>
    <s v="Kohima"/>
  </r>
  <r>
    <s v="B-25618"/>
    <n v="362"/>
    <n v="127"/>
    <n v="0.35082872928176795"/>
    <n v="1"/>
    <x v="0"/>
    <x v="0"/>
    <x v="11"/>
    <s v="Apr-18"/>
    <x v="17"/>
    <x v="17"/>
    <s v="Hyderabad"/>
  </r>
  <r>
    <s v="B-25618"/>
    <n v="12"/>
    <n v="0"/>
    <n v="0"/>
    <n v="2"/>
    <x v="1"/>
    <x v="2"/>
    <x v="11"/>
    <s v="Apr-18"/>
    <x v="17"/>
    <x v="17"/>
    <s v="Hyderabad"/>
  </r>
  <r>
    <s v="B-25619"/>
    <n v="353"/>
    <n v="90"/>
    <n v="0.25495750708215298"/>
    <n v="8"/>
    <x v="1"/>
    <x v="5"/>
    <x v="11"/>
    <s v="Apr-18"/>
    <x v="18"/>
    <x v="0"/>
    <s v="Ahmedabad"/>
  </r>
  <r>
    <s v="B-25620"/>
    <n v="193"/>
    <n v="46"/>
    <n v="0.23834196891191708"/>
    <n v="1"/>
    <x v="2"/>
    <x v="13"/>
    <x v="12"/>
    <s v="Apr-18"/>
    <x v="19"/>
    <x v="1"/>
    <s v="Pune"/>
  </r>
  <r>
    <s v="B-25621"/>
    <n v="233"/>
    <n v="-10"/>
    <n v="-4.2918454935622317E-2"/>
    <n v="5"/>
    <x v="2"/>
    <x v="3"/>
    <x v="12"/>
    <s v="Apr-18"/>
    <x v="20"/>
    <x v="2"/>
    <s v="Bhopal"/>
  </r>
  <r>
    <s v="B-25621"/>
    <n v="228"/>
    <n v="63"/>
    <n v="0.27631578947368424"/>
    <n v="3"/>
    <x v="2"/>
    <x v="3"/>
    <x v="12"/>
    <s v="Apr-18"/>
    <x v="20"/>
    <x v="2"/>
    <s v="Bhopal"/>
  </r>
  <r>
    <s v="B-25621"/>
    <n v="333"/>
    <n v="-15"/>
    <n v="-4.5045045045045043E-2"/>
    <n v="3"/>
    <x v="2"/>
    <x v="4"/>
    <x v="12"/>
    <s v="Apr-18"/>
    <x v="20"/>
    <x v="2"/>
    <s v="Bhopal"/>
  </r>
  <r>
    <s v="B-25622"/>
    <n v="534"/>
    <n v="0"/>
    <n v="0"/>
    <n v="3"/>
    <x v="1"/>
    <x v="5"/>
    <x v="13"/>
    <s v="Apr-18"/>
    <x v="21"/>
    <x v="3"/>
    <s v="Jaipur"/>
  </r>
  <r>
    <s v="B-25623"/>
    <n v="53"/>
    <n v="1"/>
    <n v="1.8867924528301886E-2"/>
    <n v="4"/>
    <x v="1"/>
    <x v="1"/>
    <x v="13"/>
    <s v="Apr-18"/>
    <x v="22"/>
    <x v="4"/>
    <s v="Kolkata"/>
  </r>
  <r>
    <s v="B-25623"/>
    <n v="158"/>
    <n v="69"/>
    <n v="0.43670886075949367"/>
    <n v="3"/>
    <x v="1"/>
    <x v="1"/>
    <x v="13"/>
    <s v="Apr-18"/>
    <x v="22"/>
    <x v="4"/>
    <s v="Kolkata"/>
  </r>
  <r>
    <s v="B-25623"/>
    <n v="149"/>
    <n v="-87"/>
    <n v="-0.58389261744966447"/>
    <n v="4"/>
    <x v="1"/>
    <x v="5"/>
    <x v="13"/>
    <s v="Apr-18"/>
    <x v="22"/>
    <x v="4"/>
    <s v="Kolkata"/>
  </r>
  <r>
    <s v="B-25623"/>
    <n v="105"/>
    <n v="20"/>
    <n v="0.19047619047619047"/>
    <n v="2"/>
    <x v="1"/>
    <x v="1"/>
    <x v="13"/>
    <s v="Apr-18"/>
    <x v="22"/>
    <x v="4"/>
    <s v="Kolkata"/>
  </r>
  <r>
    <s v="B-25624"/>
    <n v="26"/>
    <n v="12"/>
    <n v="0.46153846153846156"/>
    <n v="3"/>
    <x v="1"/>
    <x v="2"/>
    <x v="13"/>
    <s v="Apr-18"/>
    <x v="23"/>
    <x v="5"/>
    <s v="Bangalore"/>
  </r>
  <r>
    <s v="B-25625"/>
    <n v="97"/>
    <n v="29"/>
    <n v="0.29896907216494845"/>
    <n v="2"/>
    <x v="1"/>
    <x v="2"/>
    <x v="14"/>
    <s v="Apr-18"/>
    <x v="24"/>
    <x v="6"/>
    <s v="Kashmir"/>
  </r>
  <r>
    <s v="B-25625"/>
    <n v="59"/>
    <n v="30"/>
    <n v="0.50847457627118642"/>
    <n v="3"/>
    <x v="1"/>
    <x v="11"/>
    <x v="14"/>
    <s v="Apr-18"/>
    <x v="24"/>
    <x v="6"/>
    <s v="Kashmir"/>
  </r>
  <r>
    <s v="B-25625"/>
    <n v="635"/>
    <n v="-349"/>
    <n v="-0.5496062992125984"/>
    <n v="5"/>
    <x v="1"/>
    <x v="5"/>
    <x v="14"/>
    <s v="Apr-18"/>
    <x v="24"/>
    <x v="6"/>
    <s v="Kashmir"/>
  </r>
  <r>
    <s v="B-25626"/>
    <n v="46"/>
    <n v="-14"/>
    <n v="-0.30434782608695654"/>
    <n v="1"/>
    <x v="2"/>
    <x v="4"/>
    <x v="14"/>
    <s v="Apr-18"/>
    <x v="25"/>
    <x v="1"/>
    <s v="Mumbai"/>
  </r>
  <r>
    <s v="B-25626"/>
    <n v="1103"/>
    <n v="-276"/>
    <n v="-0.25022665457842247"/>
    <n v="3"/>
    <x v="0"/>
    <x v="7"/>
    <x v="14"/>
    <s v="Apr-18"/>
    <x v="25"/>
    <x v="1"/>
    <s v="Mumbai"/>
  </r>
  <r>
    <s v="B-25627"/>
    <n v="55"/>
    <n v="-39"/>
    <n v="-0.70909090909090911"/>
    <n v="4"/>
    <x v="1"/>
    <x v="1"/>
    <x v="14"/>
    <s v="Apr-18"/>
    <x v="26"/>
    <x v="2"/>
    <s v="Indore"/>
  </r>
  <r>
    <s v="B-25628"/>
    <n v="45"/>
    <n v="13"/>
    <n v="0.28888888888888886"/>
    <n v="4"/>
    <x v="1"/>
    <x v="16"/>
    <x v="15"/>
    <s v="Apr-18"/>
    <x v="27"/>
    <x v="9"/>
    <s v="Patna"/>
  </r>
  <r>
    <s v="B-25628"/>
    <n v="24"/>
    <n v="-9"/>
    <n v="-0.375"/>
    <n v="4"/>
    <x v="1"/>
    <x v="5"/>
    <x v="15"/>
    <s v="Apr-18"/>
    <x v="27"/>
    <x v="9"/>
    <s v="Patna"/>
  </r>
  <r>
    <s v="B-25628"/>
    <n v="35"/>
    <n v="-8"/>
    <n v="-0.22857142857142856"/>
    <n v="2"/>
    <x v="0"/>
    <x v="15"/>
    <x v="15"/>
    <s v="Apr-18"/>
    <x v="27"/>
    <x v="9"/>
    <s v="Patna"/>
  </r>
  <r>
    <s v="B-25629"/>
    <n v="1560"/>
    <n v="421"/>
    <n v="0.26987179487179486"/>
    <n v="3"/>
    <x v="1"/>
    <x v="6"/>
    <x v="15"/>
    <s v="Apr-18"/>
    <x v="28"/>
    <x v="10"/>
    <s v="Thiruvananthapuram"/>
  </r>
  <r>
    <s v="B-25630"/>
    <n v="133"/>
    <n v="12"/>
    <n v="9.0225563909774431E-2"/>
    <n v="5"/>
    <x v="1"/>
    <x v="1"/>
    <x v="15"/>
    <s v="Apr-18"/>
    <x v="29"/>
    <x v="11"/>
    <s v="Chandigarh"/>
  </r>
  <r>
    <s v="B-25630"/>
    <n v="114"/>
    <n v="-39"/>
    <n v="-0.34210526315789475"/>
    <n v="5"/>
    <x v="1"/>
    <x v="8"/>
    <x v="15"/>
    <s v="Apr-18"/>
    <x v="29"/>
    <x v="11"/>
    <s v="Chandigarh"/>
  </r>
  <r>
    <s v="B-25630"/>
    <n v="143"/>
    <n v="-129"/>
    <n v="-0.90209790209790208"/>
    <n v="2"/>
    <x v="2"/>
    <x v="4"/>
    <x v="15"/>
    <s v="Apr-18"/>
    <x v="29"/>
    <x v="11"/>
    <s v="Chandigarh"/>
  </r>
  <r>
    <s v="B-25630"/>
    <n v="40"/>
    <n v="-7"/>
    <n v="-0.17499999999999999"/>
    <n v="3"/>
    <x v="1"/>
    <x v="1"/>
    <x v="15"/>
    <s v="Apr-18"/>
    <x v="29"/>
    <x v="11"/>
    <s v="Chandigarh"/>
  </r>
  <r>
    <s v="B-25630"/>
    <n v="34"/>
    <n v="-22"/>
    <n v="-0.6470588235294118"/>
    <n v="4"/>
    <x v="1"/>
    <x v="9"/>
    <x v="15"/>
    <s v="Apr-18"/>
    <x v="29"/>
    <x v="11"/>
    <s v="Chandigarh"/>
  </r>
  <r>
    <s v="B-25630"/>
    <n v="42"/>
    <n v="-26"/>
    <n v="-0.61904761904761907"/>
    <n v="2"/>
    <x v="1"/>
    <x v="8"/>
    <x v="15"/>
    <s v="Apr-18"/>
    <x v="29"/>
    <x v="11"/>
    <s v="Chandigarh"/>
  </r>
  <r>
    <s v="B-25631"/>
    <n v="89"/>
    <n v="-89"/>
    <n v="-1"/>
    <n v="2"/>
    <x v="0"/>
    <x v="15"/>
    <x v="15"/>
    <s v="Apr-18"/>
    <x v="30"/>
    <x v="12"/>
    <s v="Chandigarh"/>
  </r>
  <r>
    <s v="B-25632"/>
    <n v="19"/>
    <n v="-2"/>
    <n v="-0.10526315789473684"/>
    <n v="2"/>
    <x v="1"/>
    <x v="11"/>
    <x v="16"/>
    <s v="Apr-18"/>
    <x v="31"/>
    <x v="13"/>
    <s v="Simla"/>
  </r>
  <r>
    <s v="B-25633"/>
    <n v="249"/>
    <n v="-130"/>
    <n v="-0.52208835341365467"/>
    <n v="4"/>
    <x v="2"/>
    <x v="4"/>
    <x v="17"/>
    <s v="Apr-18"/>
    <x v="32"/>
    <x v="14"/>
    <s v="Gangtok"/>
  </r>
  <r>
    <s v="B-25633"/>
    <n v="711"/>
    <n v="-8"/>
    <n v="-1.1251758087201125E-2"/>
    <n v="4"/>
    <x v="1"/>
    <x v="5"/>
    <x v="17"/>
    <s v="Apr-18"/>
    <x v="32"/>
    <x v="14"/>
    <s v="Gangtok"/>
  </r>
  <r>
    <s v="B-25633"/>
    <n v="496"/>
    <n v="-79"/>
    <n v="-0.15927419354838709"/>
    <n v="2"/>
    <x v="1"/>
    <x v="6"/>
    <x v="17"/>
    <s v="Apr-18"/>
    <x v="32"/>
    <x v="14"/>
    <s v="Gangtok"/>
  </r>
  <r>
    <s v="B-25634"/>
    <n v="389"/>
    <n v="-83"/>
    <n v="-0.21336760925449871"/>
    <n v="3"/>
    <x v="0"/>
    <x v="7"/>
    <x v="17"/>
    <s v="Apr-18"/>
    <x v="33"/>
    <x v="15"/>
    <s v="Goa"/>
  </r>
  <r>
    <s v="B-25635"/>
    <n v="40"/>
    <n v="16"/>
    <n v="0.4"/>
    <n v="3"/>
    <x v="1"/>
    <x v="2"/>
    <x v="17"/>
    <s v="Apr-18"/>
    <x v="34"/>
    <x v="16"/>
    <s v="Kohima"/>
  </r>
  <r>
    <s v="B-25635"/>
    <n v="23"/>
    <n v="2"/>
    <n v="8.6956521739130432E-2"/>
    <n v="2"/>
    <x v="1"/>
    <x v="16"/>
    <x v="17"/>
    <s v="Apr-18"/>
    <x v="34"/>
    <x v="16"/>
    <s v="Kohima"/>
  </r>
  <r>
    <s v="B-25635"/>
    <n v="382"/>
    <n v="30"/>
    <n v="7.8534031413612565E-2"/>
    <n v="3"/>
    <x v="1"/>
    <x v="5"/>
    <x v="17"/>
    <s v="Apr-18"/>
    <x v="34"/>
    <x v="16"/>
    <s v="Kohima"/>
  </r>
  <r>
    <s v="B-25636"/>
    <n v="637"/>
    <n v="113"/>
    <n v="0.17739403453689168"/>
    <n v="5"/>
    <x v="1"/>
    <x v="5"/>
    <x v="17"/>
    <s v="Apr-18"/>
    <x v="35"/>
    <x v="1"/>
    <s v="Mumbai"/>
  </r>
  <r>
    <s v="B-25637"/>
    <n v="117"/>
    <n v="14"/>
    <n v="0.11965811965811966"/>
    <n v="3"/>
    <x v="1"/>
    <x v="10"/>
    <x v="17"/>
    <s v="Apr-18"/>
    <x v="36"/>
    <x v="2"/>
    <s v="Indore"/>
  </r>
  <r>
    <s v="B-25638"/>
    <n v="182"/>
    <n v="-11"/>
    <n v="-6.043956043956044E-2"/>
    <n v="3"/>
    <x v="0"/>
    <x v="0"/>
    <x v="17"/>
    <s v="Apr-18"/>
    <x v="37"/>
    <x v="1"/>
    <s v="Pune"/>
  </r>
  <r>
    <s v="B-25638"/>
    <n v="880"/>
    <n v="97"/>
    <n v="0.11022727272727273"/>
    <n v="8"/>
    <x v="0"/>
    <x v="15"/>
    <x v="17"/>
    <s v="Apr-18"/>
    <x v="37"/>
    <x v="1"/>
    <s v="Pune"/>
  </r>
  <r>
    <s v="B-25638"/>
    <n v="154"/>
    <n v="39"/>
    <n v="0.25324675324675322"/>
    <n v="3"/>
    <x v="1"/>
    <x v="2"/>
    <x v="17"/>
    <s v="Apr-18"/>
    <x v="37"/>
    <x v="1"/>
    <s v="Pune"/>
  </r>
  <r>
    <s v="B-25638"/>
    <n v="816"/>
    <n v="-96"/>
    <n v="-0.11764705882352941"/>
    <n v="3"/>
    <x v="2"/>
    <x v="13"/>
    <x v="17"/>
    <s v="Apr-18"/>
    <x v="37"/>
    <x v="1"/>
    <s v="Pune"/>
  </r>
  <r>
    <s v="B-25639"/>
    <n v="1629"/>
    <n v="-153"/>
    <n v="-9.3922651933701654E-2"/>
    <n v="3"/>
    <x v="2"/>
    <x v="4"/>
    <x v="18"/>
    <s v="Apr-18"/>
    <x v="38"/>
    <x v="2"/>
    <s v="Bhopal"/>
  </r>
  <r>
    <s v="B-25640"/>
    <n v="68"/>
    <n v="-62"/>
    <n v="-0.91176470588235292"/>
    <n v="2"/>
    <x v="1"/>
    <x v="6"/>
    <x v="18"/>
    <s v="Apr-18"/>
    <x v="39"/>
    <x v="3"/>
    <s v="Jaipur"/>
  </r>
  <r>
    <s v="B-25640"/>
    <n v="314"/>
    <n v="-239"/>
    <n v="-0.76114649681528668"/>
    <n v="13"/>
    <x v="1"/>
    <x v="2"/>
    <x v="18"/>
    <s v="Apr-18"/>
    <x v="39"/>
    <x v="3"/>
    <s v="Jaipur"/>
  </r>
  <r>
    <s v="B-25640"/>
    <n v="122"/>
    <n v="-47"/>
    <n v="-0.38524590163934425"/>
    <n v="4"/>
    <x v="1"/>
    <x v="5"/>
    <x v="18"/>
    <s v="Apr-18"/>
    <x v="39"/>
    <x v="3"/>
    <s v="Jaipur"/>
  </r>
  <r>
    <s v="B-25641"/>
    <n v="22"/>
    <n v="-6"/>
    <n v="-0.27272727272727271"/>
    <n v="1"/>
    <x v="0"/>
    <x v="15"/>
    <x v="18"/>
    <s v="Apr-18"/>
    <x v="40"/>
    <x v="4"/>
    <s v="Kolkata"/>
  </r>
  <r>
    <s v="B-25642"/>
    <n v="434"/>
    <n v="26"/>
    <n v="5.9907834101382486E-2"/>
    <n v="11"/>
    <x v="1"/>
    <x v="10"/>
    <x v="19"/>
    <s v="Apr-18"/>
    <x v="41"/>
    <x v="5"/>
    <s v="Bangalore"/>
  </r>
  <r>
    <s v="B-25643"/>
    <n v="1061"/>
    <n v="-36"/>
    <n v="-3.3930254476908575E-2"/>
    <n v="8"/>
    <x v="0"/>
    <x v="0"/>
    <x v="20"/>
    <s v="Apr-18"/>
    <x v="42"/>
    <x v="6"/>
    <s v="Kashmir"/>
  </r>
  <r>
    <s v="B-25643"/>
    <n v="50"/>
    <n v="-44"/>
    <n v="-0.88"/>
    <n v="2"/>
    <x v="1"/>
    <x v="2"/>
    <x v="20"/>
    <s v="Apr-18"/>
    <x v="42"/>
    <x v="6"/>
    <s v="Kashmir"/>
  </r>
  <r>
    <s v="B-25643"/>
    <n v="37"/>
    <n v="-23"/>
    <n v="-0.6216216216216216"/>
    <n v="4"/>
    <x v="1"/>
    <x v="10"/>
    <x v="20"/>
    <s v="Apr-18"/>
    <x v="42"/>
    <x v="6"/>
    <s v="Kashmir"/>
  </r>
  <r>
    <s v="B-25643"/>
    <n v="263"/>
    <n v="-63"/>
    <n v="-0.23954372623574144"/>
    <n v="2"/>
    <x v="2"/>
    <x v="3"/>
    <x v="20"/>
    <s v="Apr-18"/>
    <x v="42"/>
    <x v="6"/>
    <s v="Kashmir"/>
  </r>
  <r>
    <s v="B-25643"/>
    <n v="36"/>
    <n v="-7"/>
    <n v="-0.19444444444444445"/>
    <n v="1"/>
    <x v="2"/>
    <x v="3"/>
    <x v="20"/>
    <s v="Apr-18"/>
    <x v="42"/>
    <x v="6"/>
    <s v="Kashmir"/>
  </r>
  <r>
    <s v="B-25644"/>
    <n v="76"/>
    <n v="-92"/>
    <n v="-1.2105263157894737"/>
    <n v="8"/>
    <x v="0"/>
    <x v="15"/>
    <x v="21"/>
    <s v="Apr-18"/>
    <x v="43"/>
    <x v="1"/>
    <s v="Mumbai"/>
  </r>
  <r>
    <s v="B-25645"/>
    <n v="273"/>
    <n v="-87"/>
    <n v="-0.31868131868131866"/>
    <n v="4"/>
    <x v="2"/>
    <x v="4"/>
    <x v="22"/>
    <s v="May-18"/>
    <x v="44"/>
    <x v="2"/>
    <s v="Indore"/>
  </r>
  <r>
    <s v="B-25645"/>
    <n v="86"/>
    <n v="0"/>
    <n v="0"/>
    <n v="4"/>
    <x v="1"/>
    <x v="9"/>
    <x v="22"/>
    <s v="May-18"/>
    <x v="44"/>
    <x v="2"/>
    <s v="Indore"/>
  </r>
  <r>
    <s v="B-25645"/>
    <n v="133"/>
    <n v="-42"/>
    <n v="-0.31578947368421051"/>
    <n v="1"/>
    <x v="2"/>
    <x v="13"/>
    <x v="22"/>
    <s v="May-18"/>
    <x v="44"/>
    <x v="2"/>
    <s v="Indore"/>
  </r>
  <r>
    <s v="B-25645"/>
    <n v="183"/>
    <n v="-66"/>
    <n v="-0.36065573770491804"/>
    <n v="5"/>
    <x v="2"/>
    <x v="4"/>
    <x v="22"/>
    <s v="May-18"/>
    <x v="44"/>
    <x v="2"/>
    <s v="Indore"/>
  </r>
  <r>
    <s v="B-25646"/>
    <n v="20"/>
    <n v="-8"/>
    <n v="-0.4"/>
    <n v="2"/>
    <x v="1"/>
    <x v="5"/>
    <x v="22"/>
    <s v="May-18"/>
    <x v="45"/>
    <x v="9"/>
    <s v="Patna"/>
  </r>
  <r>
    <s v="B-25647"/>
    <n v="42"/>
    <n v="-6"/>
    <n v="-0.14285714285714285"/>
    <n v="4"/>
    <x v="1"/>
    <x v="5"/>
    <x v="23"/>
    <s v="May-18"/>
    <x v="46"/>
    <x v="10"/>
    <s v="Thiruvananthapuram"/>
  </r>
  <r>
    <s v="B-25648"/>
    <n v="100"/>
    <n v="-23"/>
    <n v="-0.23"/>
    <n v="1"/>
    <x v="2"/>
    <x v="4"/>
    <x v="24"/>
    <s v="May-18"/>
    <x v="47"/>
    <x v="11"/>
    <s v="Chandigarh"/>
  </r>
  <r>
    <s v="B-25648"/>
    <n v="30"/>
    <n v="13"/>
    <n v="0.43333333333333335"/>
    <n v="1"/>
    <x v="1"/>
    <x v="9"/>
    <x v="24"/>
    <s v="May-18"/>
    <x v="47"/>
    <x v="11"/>
    <s v="Chandigarh"/>
  </r>
  <r>
    <s v="B-25648"/>
    <n v="55"/>
    <n v="-26"/>
    <n v="-0.47272727272727272"/>
    <n v="4"/>
    <x v="1"/>
    <x v="5"/>
    <x v="24"/>
    <s v="May-18"/>
    <x v="47"/>
    <x v="11"/>
    <s v="Chandigarh"/>
  </r>
  <r>
    <s v="B-25648"/>
    <n v="130"/>
    <n v="-41"/>
    <n v="-0.31538461538461537"/>
    <n v="4"/>
    <x v="1"/>
    <x v="5"/>
    <x v="24"/>
    <s v="May-18"/>
    <x v="47"/>
    <x v="11"/>
    <s v="Chandigarh"/>
  </r>
  <r>
    <s v="B-25649"/>
    <n v="27"/>
    <n v="-25"/>
    <n v="-0.92592592592592593"/>
    <n v="2"/>
    <x v="1"/>
    <x v="1"/>
    <x v="25"/>
    <s v="May-18"/>
    <x v="48"/>
    <x v="12"/>
    <s v="Chandigarh"/>
  </r>
  <r>
    <s v="B-25650"/>
    <n v="245"/>
    <n v="-78"/>
    <n v="-0.3183673469387755"/>
    <n v="2"/>
    <x v="2"/>
    <x v="13"/>
    <x v="26"/>
    <s v="May-18"/>
    <x v="49"/>
    <x v="1"/>
    <s v="Mumbai"/>
  </r>
  <r>
    <s v="B-25650"/>
    <n v="211"/>
    <n v="-105"/>
    <n v="-0.49763033175355448"/>
    <n v="2"/>
    <x v="1"/>
    <x v="5"/>
    <x v="26"/>
    <s v="May-18"/>
    <x v="49"/>
    <x v="1"/>
    <s v="Mumbai"/>
  </r>
  <r>
    <s v="B-25650"/>
    <n v="31"/>
    <n v="-2"/>
    <n v="-6.4516129032258063E-2"/>
    <n v="2"/>
    <x v="1"/>
    <x v="5"/>
    <x v="26"/>
    <s v="May-18"/>
    <x v="49"/>
    <x v="1"/>
    <s v="Mumbai"/>
  </r>
  <r>
    <s v="B-25650"/>
    <n v="28"/>
    <n v="-26"/>
    <n v="-0.9285714285714286"/>
    <n v="2"/>
    <x v="1"/>
    <x v="1"/>
    <x v="26"/>
    <s v="May-18"/>
    <x v="49"/>
    <x v="1"/>
    <s v="Mumbai"/>
  </r>
  <r>
    <s v="B-25650"/>
    <n v="512"/>
    <n v="-225"/>
    <n v="-0.439453125"/>
    <n v="5"/>
    <x v="1"/>
    <x v="5"/>
    <x v="26"/>
    <s v="May-18"/>
    <x v="49"/>
    <x v="1"/>
    <s v="Mumbai"/>
  </r>
  <r>
    <s v="B-25650"/>
    <n v="925"/>
    <n v="-447"/>
    <n v="-0.48324324324324325"/>
    <n v="5"/>
    <x v="2"/>
    <x v="3"/>
    <x v="26"/>
    <s v="May-18"/>
    <x v="49"/>
    <x v="1"/>
    <s v="Mumbai"/>
  </r>
  <r>
    <s v="B-25650"/>
    <n v="238"/>
    <n v="20"/>
    <n v="8.4033613445378158E-2"/>
    <n v="2"/>
    <x v="1"/>
    <x v="5"/>
    <x v="26"/>
    <s v="May-18"/>
    <x v="49"/>
    <x v="1"/>
    <s v="Mumbai"/>
  </r>
  <r>
    <s v="B-25650"/>
    <n v="351"/>
    <n v="-47"/>
    <n v="-0.13390313390313391"/>
    <n v="8"/>
    <x v="2"/>
    <x v="4"/>
    <x v="26"/>
    <s v="May-18"/>
    <x v="49"/>
    <x v="1"/>
    <s v="Mumbai"/>
  </r>
  <r>
    <s v="B-25650"/>
    <n v="269"/>
    <n v="111"/>
    <n v="0.41263940520446096"/>
    <n v="3"/>
    <x v="1"/>
    <x v="6"/>
    <x v="26"/>
    <s v="May-18"/>
    <x v="49"/>
    <x v="1"/>
    <s v="Mumbai"/>
  </r>
  <r>
    <s v="B-25651"/>
    <n v="200"/>
    <n v="-60"/>
    <n v="-0.3"/>
    <n v="4"/>
    <x v="0"/>
    <x v="0"/>
    <x v="27"/>
    <s v="May-18"/>
    <x v="50"/>
    <x v="2"/>
    <s v="Indore"/>
  </r>
  <r>
    <s v="B-25651"/>
    <n v="44"/>
    <n v="-8"/>
    <n v="-0.18181818181818182"/>
    <n v="3"/>
    <x v="1"/>
    <x v="1"/>
    <x v="27"/>
    <s v="May-18"/>
    <x v="50"/>
    <x v="2"/>
    <s v="Indore"/>
  </r>
  <r>
    <s v="B-25651"/>
    <n v="7"/>
    <n v="0"/>
    <n v="0"/>
    <n v="1"/>
    <x v="1"/>
    <x v="11"/>
    <x v="27"/>
    <s v="May-18"/>
    <x v="50"/>
    <x v="2"/>
    <s v="Indore"/>
  </r>
  <r>
    <s v="B-25651"/>
    <n v="11"/>
    <n v="-4"/>
    <n v="-0.36363636363636365"/>
    <n v="2"/>
    <x v="1"/>
    <x v="16"/>
    <x v="27"/>
    <s v="May-18"/>
    <x v="50"/>
    <x v="2"/>
    <s v="Indore"/>
  </r>
  <r>
    <s v="B-25651"/>
    <n v="16"/>
    <n v="-10"/>
    <n v="-0.625"/>
    <n v="2"/>
    <x v="1"/>
    <x v="9"/>
    <x v="27"/>
    <s v="May-18"/>
    <x v="50"/>
    <x v="2"/>
    <s v="Indore"/>
  </r>
  <r>
    <s v="B-25651"/>
    <n v="172"/>
    <n v="-103"/>
    <n v="-0.59883720930232553"/>
    <n v="3"/>
    <x v="0"/>
    <x v="7"/>
    <x v="27"/>
    <s v="May-18"/>
    <x v="50"/>
    <x v="2"/>
    <s v="Indore"/>
  </r>
  <r>
    <s v="B-25651"/>
    <n v="49"/>
    <n v="3"/>
    <n v="6.1224489795918366E-2"/>
    <n v="1"/>
    <x v="1"/>
    <x v="10"/>
    <x v="27"/>
    <s v="May-18"/>
    <x v="50"/>
    <x v="2"/>
    <s v="Indore"/>
  </r>
  <r>
    <s v="B-25651"/>
    <n v="823"/>
    <n v="-18"/>
    <n v="-2.187120291616039E-2"/>
    <n v="7"/>
    <x v="0"/>
    <x v="7"/>
    <x v="27"/>
    <s v="May-18"/>
    <x v="50"/>
    <x v="2"/>
    <s v="Indore"/>
  </r>
  <r>
    <s v="B-25651"/>
    <n v="23"/>
    <n v="4"/>
    <n v="0.17391304347826086"/>
    <n v="1"/>
    <x v="1"/>
    <x v="5"/>
    <x v="27"/>
    <s v="May-18"/>
    <x v="50"/>
    <x v="2"/>
    <s v="Indore"/>
  </r>
  <r>
    <s v="B-25651"/>
    <n v="457"/>
    <n v="-41"/>
    <n v="-8.9715536105032828E-2"/>
    <n v="4"/>
    <x v="1"/>
    <x v="5"/>
    <x v="27"/>
    <s v="May-18"/>
    <x v="50"/>
    <x v="2"/>
    <s v="Indore"/>
  </r>
  <r>
    <s v="B-25652"/>
    <n v="24"/>
    <n v="-21"/>
    <n v="-0.875"/>
    <n v="7"/>
    <x v="1"/>
    <x v="16"/>
    <x v="28"/>
    <s v="May-18"/>
    <x v="51"/>
    <x v="15"/>
    <s v="Goa"/>
  </r>
  <r>
    <s v="B-25652"/>
    <n v="25"/>
    <n v="-2"/>
    <n v="-0.08"/>
    <n v="5"/>
    <x v="1"/>
    <x v="2"/>
    <x v="28"/>
    <s v="May-18"/>
    <x v="51"/>
    <x v="15"/>
    <s v="Goa"/>
  </r>
  <r>
    <s v="B-25652"/>
    <n v="174"/>
    <n v="-70"/>
    <n v="-0.40229885057471265"/>
    <n v="3"/>
    <x v="2"/>
    <x v="14"/>
    <x v="28"/>
    <s v="May-18"/>
    <x v="51"/>
    <x v="15"/>
    <s v="Goa"/>
  </r>
  <r>
    <s v="B-25652"/>
    <n v="206"/>
    <n v="-206"/>
    <n v="-1"/>
    <n v="3"/>
    <x v="1"/>
    <x v="5"/>
    <x v="28"/>
    <s v="May-18"/>
    <x v="51"/>
    <x v="15"/>
    <s v="Goa"/>
  </r>
  <r>
    <s v="B-25652"/>
    <n v="21"/>
    <n v="-13"/>
    <n v="-0.61904761904761907"/>
    <n v="3"/>
    <x v="1"/>
    <x v="11"/>
    <x v="28"/>
    <s v="May-18"/>
    <x v="51"/>
    <x v="15"/>
    <s v="Goa"/>
  </r>
  <r>
    <s v="B-25652"/>
    <n v="34"/>
    <n v="-6"/>
    <n v="-0.17647058823529413"/>
    <n v="4"/>
    <x v="1"/>
    <x v="11"/>
    <x v="28"/>
    <s v="May-18"/>
    <x v="51"/>
    <x v="15"/>
    <s v="Goa"/>
  </r>
  <r>
    <s v="B-25652"/>
    <n v="9"/>
    <n v="-6"/>
    <n v="-0.66666666666666663"/>
    <n v="2"/>
    <x v="1"/>
    <x v="2"/>
    <x v="28"/>
    <s v="May-18"/>
    <x v="51"/>
    <x v="15"/>
    <s v="Goa"/>
  </r>
  <r>
    <s v="B-25653"/>
    <n v="1279"/>
    <n v="-640"/>
    <n v="-0.5003909304143862"/>
    <n v="8"/>
    <x v="2"/>
    <x v="13"/>
    <x v="28"/>
    <s v="May-18"/>
    <x v="52"/>
    <x v="16"/>
    <s v="Kohima"/>
  </r>
  <r>
    <s v="B-25653"/>
    <n v="28"/>
    <n v="-3"/>
    <n v="-0.10714285714285714"/>
    <n v="2"/>
    <x v="1"/>
    <x v="5"/>
    <x v="28"/>
    <s v="May-18"/>
    <x v="52"/>
    <x v="16"/>
    <s v="Kohima"/>
  </r>
  <r>
    <s v="B-25653"/>
    <n v="427"/>
    <n v="-50"/>
    <n v="-0.117096018735363"/>
    <n v="7"/>
    <x v="2"/>
    <x v="4"/>
    <x v="28"/>
    <s v="May-18"/>
    <x v="52"/>
    <x v="16"/>
    <s v="Kohima"/>
  </r>
  <r>
    <s v="B-25653"/>
    <n v="168"/>
    <n v="-10"/>
    <n v="-5.9523809523809521E-2"/>
    <n v="3"/>
    <x v="2"/>
    <x v="14"/>
    <x v="28"/>
    <s v="May-18"/>
    <x v="52"/>
    <x v="16"/>
    <s v="Kohima"/>
  </r>
  <r>
    <s v="B-25653"/>
    <n v="1327"/>
    <n v="318"/>
    <n v="0.23963828183873398"/>
    <n v="8"/>
    <x v="0"/>
    <x v="7"/>
    <x v="28"/>
    <s v="May-18"/>
    <x v="52"/>
    <x v="16"/>
    <s v="Kohima"/>
  </r>
  <r>
    <s v="B-25653"/>
    <n v="195"/>
    <n v="-117"/>
    <n v="-0.6"/>
    <n v="5"/>
    <x v="2"/>
    <x v="4"/>
    <x v="28"/>
    <s v="May-18"/>
    <x v="52"/>
    <x v="16"/>
    <s v="Kohima"/>
  </r>
  <r>
    <s v="B-25653"/>
    <n v="115"/>
    <n v="25"/>
    <n v="0.21739130434782608"/>
    <n v="1"/>
    <x v="2"/>
    <x v="14"/>
    <x v="28"/>
    <s v="May-18"/>
    <x v="52"/>
    <x v="16"/>
    <s v="Kohima"/>
  </r>
  <r>
    <s v="B-25653"/>
    <n v="668"/>
    <n v="-31"/>
    <n v="-4.6407185628742513E-2"/>
    <n v="3"/>
    <x v="2"/>
    <x v="13"/>
    <x v="28"/>
    <s v="May-18"/>
    <x v="52"/>
    <x v="16"/>
    <s v="Kohima"/>
  </r>
  <r>
    <s v="B-25653"/>
    <n v="227"/>
    <n v="102"/>
    <n v="0.44933920704845814"/>
    <n v="8"/>
    <x v="2"/>
    <x v="14"/>
    <x v="28"/>
    <s v="May-18"/>
    <x v="52"/>
    <x v="16"/>
    <s v="Kohima"/>
  </r>
  <r>
    <s v="B-25654"/>
    <n v="34"/>
    <n v="12"/>
    <n v="0.35294117647058826"/>
    <n v="3"/>
    <x v="1"/>
    <x v="2"/>
    <x v="29"/>
    <s v="May-18"/>
    <x v="53"/>
    <x v="1"/>
    <s v="Mumbai"/>
  </r>
  <r>
    <s v="B-25654"/>
    <n v="229"/>
    <n v="-23"/>
    <n v="-0.10043668122270742"/>
    <n v="2"/>
    <x v="1"/>
    <x v="5"/>
    <x v="29"/>
    <s v="May-18"/>
    <x v="53"/>
    <x v="1"/>
    <s v="Mumbai"/>
  </r>
  <r>
    <s v="B-25654"/>
    <n v="54"/>
    <n v="-3"/>
    <n v="-5.5555555555555552E-2"/>
    <n v="3"/>
    <x v="1"/>
    <x v="5"/>
    <x v="29"/>
    <s v="May-18"/>
    <x v="53"/>
    <x v="1"/>
    <s v="Mumbai"/>
  </r>
  <r>
    <s v="B-25654"/>
    <n v="269"/>
    <n v="-86"/>
    <n v="-0.31970260223048325"/>
    <n v="2"/>
    <x v="2"/>
    <x v="3"/>
    <x v="29"/>
    <s v="May-18"/>
    <x v="53"/>
    <x v="1"/>
    <s v="Mumbai"/>
  </r>
  <r>
    <s v="B-25654"/>
    <n v="122"/>
    <n v="-21"/>
    <n v="-0.1721311475409836"/>
    <n v="3"/>
    <x v="0"/>
    <x v="15"/>
    <x v="29"/>
    <s v="May-18"/>
    <x v="53"/>
    <x v="1"/>
    <s v="Mumbai"/>
  </r>
  <r>
    <s v="B-25654"/>
    <n v="105"/>
    <n v="46"/>
    <n v="0.43809523809523809"/>
    <n v="2"/>
    <x v="1"/>
    <x v="1"/>
    <x v="29"/>
    <s v="May-18"/>
    <x v="53"/>
    <x v="1"/>
    <s v="Mumbai"/>
  </r>
  <r>
    <s v="B-25654"/>
    <n v="450"/>
    <n v="-90"/>
    <n v="-0.2"/>
    <n v="3"/>
    <x v="2"/>
    <x v="13"/>
    <x v="29"/>
    <s v="May-18"/>
    <x v="53"/>
    <x v="1"/>
    <s v="Mumbai"/>
  </r>
  <r>
    <s v="B-25654"/>
    <n v="121"/>
    <n v="-17"/>
    <n v="-0.14049586776859505"/>
    <n v="3"/>
    <x v="0"/>
    <x v="15"/>
    <x v="29"/>
    <s v="May-18"/>
    <x v="53"/>
    <x v="1"/>
    <s v="Mumbai"/>
  </r>
  <r>
    <s v="B-25655"/>
    <n v="44"/>
    <n v="-26"/>
    <n v="-0.59090909090909094"/>
    <n v="3"/>
    <x v="1"/>
    <x v="2"/>
    <x v="30"/>
    <s v="May-18"/>
    <x v="54"/>
    <x v="2"/>
    <s v="Indore"/>
  </r>
  <r>
    <s v="B-25655"/>
    <n v="7"/>
    <n v="-4"/>
    <n v="-0.5714285714285714"/>
    <n v="3"/>
    <x v="1"/>
    <x v="2"/>
    <x v="30"/>
    <s v="May-18"/>
    <x v="54"/>
    <x v="2"/>
    <s v="Indore"/>
  </r>
  <r>
    <s v="B-25655"/>
    <n v="396"/>
    <n v="-31"/>
    <n v="-7.8282828282828287E-2"/>
    <n v="9"/>
    <x v="1"/>
    <x v="5"/>
    <x v="30"/>
    <s v="May-18"/>
    <x v="54"/>
    <x v="2"/>
    <s v="Indore"/>
  </r>
  <r>
    <s v="B-25655"/>
    <n v="97"/>
    <n v="-62"/>
    <n v="-0.63917525773195871"/>
    <n v="2"/>
    <x v="1"/>
    <x v="6"/>
    <x v="30"/>
    <s v="May-18"/>
    <x v="54"/>
    <x v="2"/>
    <s v="Indore"/>
  </r>
  <r>
    <s v="B-25655"/>
    <n v="110"/>
    <n v="-68"/>
    <n v="-0.61818181818181817"/>
    <n v="4"/>
    <x v="1"/>
    <x v="5"/>
    <x v="30"/>
    <s v="May-18"/>
    <x v="54"/>
    <x v="2"/>
    <s v="Indore"/>
  </r>
  <r>
    <s v="B-25655"/>
    <n v="312"/>
    <n v="-312"/>
    <n v="-1"/>
    <n v="7"/>
    <x v="0"/>
    <x v="7"/>
    <x v="30"/>
    <s v="May-18"/>
    <x v="54"/>
    <x v="2"/>
    <s v="Indore"/>
  </r>
  <r>
    <s v="B-25655"/>
    <n v="9"/>
    <n v="-6"/>
    <n v="-0.66666666666666663"/>
    <n v="2"/>
    <x v="1"/>
    <x v="16"/>
    <x v="30"/>
    <s v="May-18"/>
    <x v="54"/>
    <x v="2"/>
    <s v="Indore"/>
  </r>
  <r>
    <s v="B-25655"/>
    <n v="6"/>
    <n v="-3"/>
    <n v="-0.5"/>
    <n v="1"/>
    <x v="1"/>
    <x v="2"/>
    <x v="30"/>
    <s v="May-18"/>
    <x v="54"/>
    <x v="2"/>
    <s v="Indore"/>
  </r>
  <r>
    <s v="B-25655"/>
    <n v="74"/>
    <n v="23"/>
    <n v="0.3108108108108108"/>
    <n v="8"/>
    <x v="1"/>
    <x v="16"/>
    <x v="30"/>
    <s v="May-18"/>
    <x v="54"/>
    <x v="2"/>
    <s v="Indore"/>
  </r>
  <r>
    <s v="B-25656"/>
    <n v="534"/>
    <n v="0"/>
    <n v="0"/>
    <n v="3"/>
    <x v="1"/>
    <x v="5"/>
    <x v="30"/>
    <s v="May-18"/>
    <x v="55"/>
    <x v="1"/>
    <s v="Pune"/>
  </r>
  <r>
    <s v="B-25656"/>
    <n v="30"/>
    <n v="-5"/>
    <n v="-0.16666666666666666"/>
    <n v="5"/>
    <x v="1"/>
    <x v="1"/>
    <x v="30"/>
    <s v="May-18"/>
    <x v="55"/>
    <x v="1"/>
    <s v="Pune"/>
  </r>
  <r>
    <s v="B-25656"/>
    <n v="61"/>
    <n v="-23"/>
    <n v="-0.37704918032786883"/>
    <n v="2"/>
    <x v="1"/>
    <x v="5"/>
    <x v="30"/>
    <s v="May-18"/>
    <x v="55"/>
    <x v="1"/>
    <s v="Pune"/>
  </r>
  <r>
    <s v="B-25656"/>
    <n v="6"/>
    <n v="3"/>
    <n v="0.5"/>
    <n v="1"/>
    <x v="1"/>
    <x v="2"/>
    <x v="30"/>
    <s v="May-18"/>
    <x v="55"/>
    <x v="1"/>
    <s v="Pune"/>
  </r>
  <r>
    <s v="B-25656"/>
    <n v="24"/>
    <n v="-1"/>
    <n v="-4.1666666666666664E-2"/>
    <n v="2"/>
    <x v="1"/>
    <x v="2"/>
    <x v="30"/>
    <s v="May-18"/>
    <x v="55"/>
    <x v="1"/>
    <s v="Pune"/>
  </r>
  <r>
    <s v="B-25656"/>
    <n v="56"/>
    <n v="18"/>
    <n v="0.32142857142857145"/>
    <n v="2"/>
    <x v="1"/>
    <x v="2"/>
    <x v="30"/>
    <s v="May-18"/>
    <x v="55"/>
    <x v="1"/>
    <s v="Pune"/>
  </r>
  <r>
    <s v="B-25656"/>
    <n v="406"/>
    <n v="126"/>
    <n v="0.31034482758620691"/>
    <n v="2"/>
    <x v="1"/>
    <x v="5"/>
    <x v="30"/>
    <s v="May-18"/>
    <x v="55"/>
    <x v="1"/>
    <s v="Pune"/>
  </r>
  <r>
    <s v="B-25656"/>
    <n v="624"/>
    <n v="37"/>
    <n v="5.9294871794871792E-2"/>
    <n v="2"/>
    <x v="2"/>
    <x v="3"/>
    <x v="30"/>
    <s v="May-18"/>
    <x v="55"/>
    <x v="1"/>
    <s v="Pune"/>
  </r>
  <r>
    <s v="B-25656"/>
    <n v="101"/>
    <n v="18"/>
    <n v="0.17821782178217821"/>
    <n v="9"/>
    <x v="1"/>
    <x v="16"/>
    <x v="30"/>
    <s v="May-18"/>
    <x v="55"/>
    <x v="1"/>
    <s v="Pune"/>
  </r>
  <r>
    <s v="B-25656"/>
    <n v="1389"/>
    <n v="680"/>
    <n v="0.48956083513318932"/>
    <n v="7"/>
    <x v="1"/>
    <x v="5"/>
    <x v="30"/>
    <s v="May-18"/>
    <x v="55"/>
    <x v="1"/>
    <s v="Pune"/>
  </r>
  <r>
    <s v="B-25656"/>
    <n v="651"/>
    <n v="169"/>
    <n v="0.25960061443932414"/>
    <n v="5"/>
    <x v="2"/>
    <x v="13"/>
    <x v="30"/>
    <s v="May-18"/>
    <x v="55"/>
    <x v="1"/>
    <s v="Pune"/>
  </r>
  <r>
    <s v="B-25656"/>
    <n v="13"/>
    <n v="-1"/>
    <n v="-7.6923076923076927E-2"/>
    <n v="3"/>
    <x v="1"/>
    <x v="2"/>
    <x v="30"/>
    <s v="May-18"/>
    <x v="55"/>
    <x v="1"/>
    <s v="Pune"/>
  </r>
  <r>
    <s v="B-25657"/>
    <n v="1021"/>
    <n v="-48"/>
    <n v="-4.701273261508325E-2"/>
    <n v="4"/>
    <x v="2"/>
    <x v="3"/>
    <x v="31"/>
    <s v="May-18"/>
    <x v="56"/>
    <x v="2"/>
    <s v="Bhopal"/>
  </r>
  <r>
    <s v="B-25657"/>
    <n v="32"/>
    <n v="-22"/>
    <n v="-0.6875"/>
    <n v="5"/>
    <x v="1"/>
    <x v="5"/>
    <x v="31"/>
    <s v="May-18"/>
    <x v="56"/>
    <x v="2"/>
    <s v="Bhopal"/>
  </r>
  <r>
    <s v="B-25657"/>
    <n v="332"/>
    <n v="-43"/>
    <n v="-0.12951807228915663"/>
    <n v="6"/>
    <x v="2"/>
    <x v="4"/>
    <x v="31"/>
    <s v="May-18"/>
    <x v="56"/>
    <x v="2"/>
    <s v="Bhopal"/>
  </r>
  <r>
    <s v="B-25657"/>
    <n v="288"/>
    <n v="-180"/>
    <n v="-0.625"/>
    <n v="4"/>
    <x v="0"/>
    <x v="7"/>
    <x v="31"/>
    <s v="May-18"/>
    <x v="56"/>
    <x v="2"/>
    <s v="Bhopal"/>
  </r>
  <r>
    <s v="B-25658"/>
    <n v="27"/>
    <n v="9"/>
    <n v="0.33333333333333331"/>
    <n v="2"/>
    <x v="1"/>
    <x v="9"/>
    <x v="32"/>
    <s v="May-18"/>
    <x v="57"/>
    <x v="3"/>
    <s v="Jaipur"/>
  </r>
  <r>
    <s v="B-25659"/>
    <n v="148"/>
    <n v="72"/>
    <n v="0.48648648648648651"/>
    <n v="7"/>
    <x v="1"/>
    <x v="9"/>
    <x v="33"/>
    <s v="May-18"/>
    <x v="58"/>
    <x v="4"/>
    <s v="Kolkata"/>
  </r>
  <r>
    <s v="B-25660"/>
    <n v="245"/>
    <n v="-78"/>
    <n v="-0.3183673469387755"/>
    <n v="3"/>
    <x v="1"/>
    <x v="5"/>
    <x v="34"/>
    <s v="May-18"/>
    <x v="59"/>
    <x v="5"/>
    <s v="Bangalore"/>
  </r>
  <r>
    <s v="B-25661"/>
    <n v="19"/>
    <n v="-15"/>
    <n v="-0.78947368421052633"/>
    <n v="3"/>
    <x v="1"/>
    <x v="2"/>
    <x v="35"/>
    <s v="May-18"/>
    <x v="60"/>
    <x v="6"/>
    <s v="Kashmir"/>
  </r>
  <r>
    <s v="B-25661"/>
    <n v="224"/>
    <n v="-81"/>
    <n v="-0.36160714285714285"/>
    <n v="3"/>
    <x v="0"/>
    <x v="7"/>
    <x v="35"/>
    <s v="May-18"/>
    <x v="60"/>
    <x v="6"/>
    <s v="Kashmir"/>
  </r>
  <r>
    <s v="B-25661"/>
    <n v="58"/>
    <n v="-42"/>
    <n v="-0.72413793103448276"/>
    <n v="2"/>
    <x v="0"/>
    <x v="7"/>
    <x v="35"/>
    <s v="May-18"/>
    <x v="60"/>
    <x v="6"/>
    <s v="Kashmir"/>
  </r>
  <r>
    <s v="B-25661"/>
    <n v="145"/>
    <n v="-104"/>
    <n v="-0.71724137931034482"/>
    <n v="5"/>
    <x v="0"/>
    <x v="7"/>
    <x v="35"/>
    <s v="May-18"/>
    <x v="60"/>
    <x v="6"/>
    <s v="Kashmir"/>
  </r>
  <r>
    <s v="B-25661"/>
    <n v="55"/>
    <n v="-33"/>
    <n v="-0.6"/>
    <n v="2"/>
    <x v="0"/>
    <x v="7"/>
    <x v="35"/>
    <s v="May-18"/>
    <x v="60"/>
    <x v="6"/>
    <s v="Kashmir"/>
  </r>
  <r>
    <s v="B-25661"/>
    <n v="7"/>
    <n v="-1"/>
    <n v="-0.14285714285714285"/>
    <n v="2"/>
    <x v="1"/>
    <x v="2"/>
    <x v="35"/>
    <s v="May-18"/>
    <x v="60"/>
    <x v="6"/>
    <s v="Kashmir"/>
  </r>
  <r>
    <s v="B-25662"/>
    <n v="24"/>
    <n v="-2"/>
    <n v="-8.3333333333333329E-2"/>
    <n v="2"/>
    <x v="1"/>
    <x v="9"/>
    <x v="35"/>
    <s v="May-18"/>
    <x v="61"/>
    <x v="1"/>
    <s v="Mumbai"/>
  </r>
  <r>
    <s v="B-25662"/>
    <n v="86"/>
    <n v="-21"/>
    <n v="-0.2441860465116279"/>
    <n v="1"/>
    <x v="2"/>
    <x v="3"/>
    <x v="35"/>
    <s v="May-18"/>
    <x v="61"/>
    <x v="1"/>
    <s v="Mumbai"/>
  </r>
  <r>
    <s v="B-25662"/>
    <n v="385"/>
    <n v="-77"/>
    <n v="-0.2"/>
    <n v="11"/>
    <x v="0"/>
    <x v="15"/>
    <x v="35"/>
    <s v="May-18"/>
    <x v="61"/>
    <x v="1"/>
    <s v="Mumbai"/>
  </r>
  <r>
    <s v="B-25663"/>
    <n v="294"/>
    <n v="138"/>
    <n v="0.46938775510204084"/>
    <n v="2"/>
    <x v="2"/>
    <x v="13"/>
    <x v="36"/>
    <s v="May-18"/>
    <x v="62"/>
    <x v="2"/>
    <s v="Indore"/>
  </r>
  <r>
    <s v="B-25664"/>
    <n v="444"/>
    <n v="-200"/>
    <n v="-0.45045045045045046"/>
    <n v="4"/>
    <x v="2"/>
    <x v="4"/>
    <x v="37"/>
    <s v="May-18"/>
    <x v="63"/>
    <x v="9"/>
    <s v="Patna"/>
  </r>
  <r>
    <s v="B-25664"/>
    <n v="785"/>
    <n v="52"/>
    <n v="6.6242038216560509E-2"/>
    <n v="2"/>
    <x v="2"/>
    <x v="4"/>
    <x v="37"/>
    <s v="May-18"/>
    <x v="63"/>
    <x v="9"/>
    <s v="Patna"/>
  </r>
  <r>
    <s v="B-25664"/>
    <n v="258"/>
    <n v="-27"/>
    <n v="-0.10465116279069768"/>
    <n v="2"/>
    <x v="2"/>
    <x v="4"/>
    <x v="37"/>
    <s v="May-18"/>
    <x v="63"/>
    <x v="9"/>
    <s v="Patna"/>
  </r>
  <r>
    <s v="B-25664"/>
    <n v="83"/>
    <n v="-48"/>
    <n v="-0.57831325301204817"/>
    <n v="1"/>
    <x v="0"/>
    <x v="0"/>
    <x v="37"/>
    <s v="May-18"/>
    <x v="63"/>
    <x v="9"/>
    <s v="Patna"/>
  </r>
  <r>
    <s v="B-25665"/>
    <n v="166"/>
    <n v="-113"/>
    <n v="-0.68072289156626509"/>
    <n v="4"/>
    <x v="2"/>
    <x v="14"/>
    <x v="38"/>
    <s v="May-18"/>
    <x v="64"/>
    <x v="10"/>
    <s v="Thiruvananthapuram"/>
  </r>
  <r>
    <s v="B-25666"/>
    <n v="934"/>
    <n v="-916"/>
    <n v="-0.98072805139186292"/>
    <n v="7"/>
    <x v="2"/>
    <x v="3"/>
    <x v="39"/>
    <s v="May-18"/>
    <x v="65"/>
    <x v="11"/>
    <s v="Chandigarh"/>
  </r>
  <r>
    <s v="B-25667"/>
    <n v="11"/>
    <n v="-2"/>
    <n v="-0.18181818181818182"/>
    <n v="4"/>
    <x v="1"/>
    <x v="2"/>
    <x v="40"/>
    <s v="May-18"/>
    <x v="66"/>
    <x v="12"/>
    <s v="Chandigarh"/>
  </r>
  <r>
    <s v="B-25667"/>
    <n v="41"/>
    <n v="6"/>
    <n v="0.14634146341463414"/>
    <n v="5"/>
    <x v="1"/>
    <x v="16"/>
    <x v="40"/>
    <s v="May-18"/>
    <x v="66"/>
    <x v="12"/>
    <s v="Chandigarh"/>
  </r>
  <r>
    <s v="B-25667"/>
    <n v="344"/>
    <n v="-34"/>
    <n v="-9.8837209302325577E-2"/>
    <n v="3"/>
    <x v="1"/>
    <x v="5"/>
    <x v="40"/>
    <s v="May-18"/>
    <x v="66"/>
    <x v="12"/>
    <s v="Chandigarh"/>
  </r>
  <r>
    <s v="B-25667"/>
    <n v="1030"/>
    <n v="206"/>
    <n v="0.2"/>
    <n v="8"/>
    <x v="2"/>
    <x v="13"/>
    <x v="40"/>
    <s v="May-18"/>
    <x v="66"/>
    <x v="12"/>
    <s v="Chandigarh"/>
  </r>
  <r>
    <s v="B-25667"/>
    <n v="516"/>
    <n v="69"/>
    <n v="0.13372093023255813"/>
    <n v="4"/>
    <x v="0"/>
    <x v="0"/>
    <x v="40"/>
    <s v="May-18"/>
    <x v="66"/>
    <x v="12"/>
    <s v="Chandigarh"/>
  </r>
  <r>
    <s v="B-25668"/>
    <n v="123"/>
    <n v="17"/>
    <n v="0.13821138211382114"/>
    <n v="3"/>
    <x v="0"/>
    <x v="15"/>
    <x v="41"/>
    <s v="May-18"/>
    <x v="67"/>
    <x v="13"/>
    <s v="Simla"/>
  </r>
  <r>
    <s v="B-25669"/>
    <n v="610"/>
    <n v="-66"/>
    <n v="-0.10819672131147541"/>
    <n v="2"/>
    <x v="0"/>
    <x v="12"/>
    <x v="42"/>
    <s v="May-18"/>
    <x v="68"/>
    <x v="14"/>
    <s v="Gangtok"/>
  </r>
  <r>
    <s v="B-25670"/>
    <n v="74"/>
    <n v="29"/>
    <n v="0.39189189189189189"/>
    <n v="3"/>
    <x v="1"/>
    <x v="1"/>
    <x v="42"/>
    <s v="May-18"/>
    <x v="69"/>
    <x v="15"/>
    <s v="Goa"/>
  </r>
  <r>
    <s v="B-25670"/>
    <n v="24"/>
    <n v="1"/>
    <n v="4.1666666666666664E-2"/>
    <n v="2"/>
    <x v="1"/>
    <x v="2"/>
    <x v="42"/>
    <s v="May-18"/>
    <x v="69"/>
    <x v="15"/>
    <s v="Goa"/>
  </r>
  <r>
    <s v="B-25670"/>
    <n v="14"/>
    <n v="2"/>
    <n v="0.14285714285714285"/>
    <n v="1"/>
    <x v="1"/>
    <x v="2"/>
    <x v="42"/>
    <s v="May-18"/>
    <x v="69"/>
    <x v="15"/>
    <s v="Goa"/>
  </r>
  <r>
    <s v="B-25670"/>
    <n v="656"/>
    <n v="-36"/>
    <n v="-5.4878048780487805E-2"/>
    <n v="2"/>
    <x v="0"/>
    <x v="0"/>
    <x v="42"/>
    <s v="May-18"/>
    <x v="69"/>
    <x v="15"/>
    <s v="Goa"/>
  </r>
  <r>
    <s v="B-25671"/>
    <n v="832"/>
    <n v="0"/>
    <n v="0"/>
    <n v="3"/>
    <x v="1"/>
    <x v="6"/>
    <x v="43"/>
    <s v="May-18"/>
    <x v="70"/>
    <x v="16"/>
    <s v="Kohima"/>
  </r>
  <r>
    <s v="B-25672"/>
    <n v="27"/>
    <n v="-15"/>
    <n v="-0.55555555555555558"/>
    <n v="1"/>
    <x v="1"/>
    <x v="1"/>
    <x v="44"/>
    <s v="May-18"/>
    <x v="71"/>
    <x v="17"/>
    <s v="Hyderabad"/>
  </r>
  <r>
    <s v="B-25673"/>
    <n v="143"/>
    <n v="-124"/>
    <n v="-0.86713286713286708"/>
    <n v="5"/>
    <x v="1"/>
    <x v="5"/>
    <x v="44"/>
    <s v="May-18"/>
    <x v="72"/>
    <x v="0"/>
    <s v="Ahmedabad"/>
  </r>
  <r>
    <s v="B-25673"/>
    <n v="44"/>
    <n v="-17"/>
    <n v="-0.38636363636363635"/>
    <n v="5"/>
    <x v="1"/>
    <x v="5"/>
    <x v="44"/>
    <s v="May-18"/>
    <x v="72"/>
    <x v="0"/>
    <s v="Ahmedabad"/>
  </r>
  <r>
    <s v="B-25673"/>
    <n v="45"/>
    <n v="-2"/>
    <n v="-4.4444444444444446E-2"/>
    <n v="4"/>
    <x v="1"/>
    <x v="10"/>
    <x v="44"/>
    <s v="May-18"/>
    <x v="72"/>
    <x v="0"/>
    <s v="Ahmedabad"/>
  </r>
  <r>
    <s v="B-25673"/>
    <n v="16"/>
    <n v="-1"/>
    <n v="-6.25E-2"/>
    <n v="1"/>
    <x v="1"/>
    <x v="5"/>
    <x v="44"/>
    <s v="May-18"/>
    <x v="72"/>
    <x v="0"/>
    <s v="Ahmedabad"/>
  </r>
  <r>
    <s v="B-25673"/>
    <n v="37"/>
    <n v="-5"/>
    <n v="-0.13513513513513514"/>
    <n v="3"/>
    <x v="1"/>
    <x v="9"/>
    <x v="44"/>
    <s v="May-18"/>
    <x v="72"/>
    <x v="0"/>
    <s v="Ahmedabad"/>
  </r>
  <r>
    <s v="B-25674"/>
    <n v="17"/>
    <n v="-12"/>
    <n v="-0.70588235294117652"/>
    <n v="5"/>
    <x v="1"/>
    <x v="16"/>
    <x v="44"/>
    <s v="May-18"/>
    <x v="73"/>
    <x v="1"/>
    <s v="Pune"/>
  </r>
  <r>
    <s v="B-25675"/>
    <n v="929"/>
    <n v="-93"/>
    <n v="-0.10010764262648009"/>
    <n v="9"/>
    <x v="1"/>
    <x v="5"/>
    <x v="45"/>
    <s v="May-18"/>
    <x v="74"/>
    <x v="2"/>
    <s v="Bhopal"/>
  </r>
  <r>
    <s v="B-25676"/>
    <n v="342"/>
    <n v="-103"/>
    <n v="-0.30116959064327486"/>
    <n v="4"/>
    <x v="2"/>
    <x v="3"/>
    <x v="46"/>
    <s v="Jun-18"/>
    <x v="75"/>
    <x v="3"/>
    <s v="Jaipur"/>
  </r>
  <r>
    <s v="B-25676"/>
    <n v="1263"/>
    <n v="-56"/>
    <n v="-4.4338875692794932E-2"/>
    <n v="5"/>
    <x v="1"/>
    <x v="6"/>
    <x v="46"/>
    <s v="Jun-18"/>
    <x v="75"/>
    <x v="3"/>
    <s v="Jaipur"/>
  </r>
  <r>
    <s v="B-25676"/>
    <n v="674"/>
    <n v="-187"/>
    <n v="-0.27744807121661719"/>
    <n v="2"/>
    <x v="0"/>
    <x v="12"/>
    <x v="46"/>
    <s v="Jun-18"/>
    <x v="75"/>
    <x v="3"/>
    <s v="Jaipur"/>
  </r>
  <r>
    <s v="B-25676"/>
    <n v="32"/>
    <n v="6"/>
    <n v="0.1875"/>
    <n v="3"/>
    <x v="1"/>
    <x v="10"/>
    <x v="46"/>
    <s v="Jun-18"/>
    <x v="75"/>
    <x v="3"/>
    <s v="Jaipur"/>
  </r>
  <r>
    <s v="B-25676"/>
    <n v="79"/>
    <n v="36"/>
    <n v="0.45569620253164556"/>
    <n v="4"/>
    <x v="1"/>
    <x v="10"/>
    <x v="46"/>
    <s v="Jun-18"/>
    <x v="75"/>
    <x v="3"/>
    <s v="Jaipur"/>
  </r>
  <r>
    <s v="B-25677"/>
    <n v="20"/>
    <n v="-2"/>
    <n v="-0.1"/>
    <n v="1"/>
    <x v="2"/>
    <x v="14"/>
    <x v="47"/>
    <s v="Jun-18"/>
    <x v="76"/>
    <x v="4"/>
    <s v="Kolkata"/>
  </r>
  <r>
    <s v="B-25678"/>
    <n v="64"/>
    <n v="-7"/>
    <n v="-0.109375"/>
    <n v="3"/>
    <x v="1"/>
    <x v="5"/>
    <x v="48"/>
    <s v="Jun-18"/>
    <x v="77"/>
    <x v="5"/>
    <s v="Bangalore"/>
  </r>
  <r>
    <s v="B-25678"/>
    <n v="7"/>
    <n v="-3"/>
    <n v="-0.42857142857142855"/>
    <n v="2"/>
    <x v="1"/>
    <x v="16"/>
    <x v="48"/>
    <s v="Jun-18"/>
    <x v="77"/>
    <x v="5"/>
    <s v="Bangalore"/>
  </r>
  <r>
    <s v="B-25678"/>
    <n v="327"/>
    <n v="-39"/>
    <n v="-0.11926605504587157"/>
    <n v="1"/>
    <x v="2"/>
    <x v="4"/>
    <x v="48"/>
    <s v="Jun-18"/>
    <x v="77"/>
    <x v="5"/>
    <s v="Bangalore"/>
  </r>
  <r>
    <s v="B-25678"/>
    <n v="27"/>
    <n v="-25"/>
    <n v="-0.92592592592592593"/>
    <n v="2"/>
    <x v="1"/>
    <x v="10"/>
    <x v="48"/>
    <s v="Jun-18"/>
    <x v="77"/>
    <x v="5"/>
    <s v="Bangalore"/>
  </r>
  <r>
    <s v="B-25679"/>
    <n v="76"/>
    <n v="-50"/>
    <n v="-0.65789473684210531"/>
    <n v="1"/>
    <x v="1"/>
    <x v="5"/>
    <x v="49"/>
    <s v="Jun-18"/>
    <x v="78"/>
    <x v="1"/>
    <s v="Mumbai"/>
  </r>
  <r>
    <s v="B-25680"/>
    <n v="73"/>
    <n v="-25"/>
    <n v="-0.34246575342465752"/>
    <n v="3"/>
    <x v="1"/>
    <x v="5"/>
    <x v="49"/>
    <s v="Jun-18"/>
    <x v="79"/>
    <x v="2"/>
    <s v="Indore"/>
  </r>
  <r>
    <s v="B-25681"/>
    <n v="68"/>
    <n v="-27"/>
    <n v="-0.39705882352941174"/>
    <n v="3"/>
    <x v="2"/>
    <x v="14"/>
    <x v="49"/>
    <s v="Jun-18"/>
    <x v="80"/>
    <x v="2"/>
    <s v="Indore"/>
  </r>
  <r>
    <s v="B-25681"/>
    <n v="523"/>
    <n v="204"/>
    <n v="0.39005736137667302"/>
    <n v="7"/>
    <x v="1"/>
    <x v="6"/>
    <x v="49"/>
    <s v="Jun-18"/>
    <x v="80"/>
    <x v="2"/>
    <s v="Indore"/>
  </r>
  <r>
    <s v="B-25681"/>
    <n v="44"/>
    <n v="-3"/>
    <n v="-6.8181818181818177E-2"/>
    <n v="1"/>
    <x v="1"/>
    <x v="5"/>
    <x v="49"/>
    <s v="Jun-18"/>
    <x v="80"/>
    <x v="2"/>
    <s v="Indore"/>
  </r>
  <r>
    <s v="B-25681"/>
    <n v="243"/>
    <n v="-14"/>
    <n v="-5.7613168724279837E-2"/>
    <n v="2"/>
    <x v="0"/>
    <x v="7"/>
    <x v="49"/>
    <s v="Jun-18"/>
    <x v="80"/>
    <x v="2"/>
    <s v="Indore"/>
  </r>
  <r>
    <s v="B-25681"/>
    <n v="1625"/>
    <n v="-77"/>
    <n v="-4.7384615384615386E-2"/>
    <n v="3"/>
    <x v="2"/>
    <x v="4"/>
    <x v="49"/>
    <s v="Jun-18"/>
    <x v="80"/>
    <x v="2"/>
    <s v="Indore"/>
  </r>
  <r>
    <s v="B-25681"/>
    <n v="1096"/>
    <n v="-658"/>
    <n v="-0.60036496350364965"/>
    <n v="7"/>
    <x v="2"/>
    <x v="3"/>
    <x v="49"/>
    <s v="Jun-18"/>
    <x v="80"/>
    <x v="2"/>
    <s v="Indore"/>
  </r>
  <r>
    <s v="B-25682"/>
    <n v="545"/>
    <n v="-73"/>
    <n v="-0.13394495412844037"/>
    <n v="11"/>
    <x v="2"/>
    <x v="4"/>
    <x v="50"/>
    <s v="Jun-18"/>
    <x v="81"/>
    <x v="9"/>
    <s v="Patna"/>
  </r>
  <r>
    <s v="B-25683"/>
    <n v="433"/>
    <n v="26"/>
    <n v="6.0046189376443418E-2"/>
    <n v="3"/>
    <x v="2"/>
    <x v="13"/>
    <x v="51"/>
    <s v="Jun-18"/>
    <x v="74"/>
    <x v="10"/>
    <s v="Thiruvananthapuram"/>
  </r>
  <r>
    <s v="B-25683"/>
    <n v="245"/>
    <n v="-3"/>
    <n v="-1.2244897959183673E-2"/>
    <n v="4"/>
    <x v="2"/>
    <x v="4"/>
    <x v="51"/>
    <s v="Jun-18"/>
    <x v="74"/>
    <x v="10"/>
    <s v="Thiruvananthapuram"/>
  </r>
  <r>
    <s v="B-25683"/>
    <n v="155"/>
    <n v="56"/>
    <n v="0.36129032258064514"/>
    <n v="3"/>
    <x v="0"/>
    <x v="15"/>
    <x v="51"/>
    <s v="Jun-18"/>
    <x v="74"/>
    <x v="10"/>
    <s v="Thiruvananthapuram"/>
  </r>
  <r>
    <s v="B-25683"/>
    <n v="148"/>
    <n v="52"/>
    <n v="0.35135135135135137"/>
    <n v="5"/>
    <x v="1"/>
    <x v="1"/>
    <x v="51"/>
    <s v="Jun-18"/>
    <x v="74"/>
    <x v="10"/>
    <s v="Thiruvananthapuram"/>
  </r>
  <r>
    <s v="B-25683"/>
    <n v="86"/>
    <n v="-55"/>
    <n v="-0.63953488372093026"/>
    <n v="6"/>
    <x v="1"/>
    <x v="5"/>
    <x v="51"/>
    <s v="Jun-18"/>
    <x v="74"/>
    <x v="10"/>
    <s v="Thiruvananthapuram"/>
  </r>
  <r>
    <s v="B-25684"/>
    <n v="134"/>
    <n v="42"/>
    <n v="0.31343283582089554"/>
    <n v="2"/>
    <x v="0"/>
    <x v="7"/>
    <x v="52"/>
    <s v="Jun-18"/>
    <x v="82"/>
    <x v="1"/>
    <s v="Mumbai"/>
  </r>
  <r>
    <s v="B-25685"/>
    <n v="51"/>
    <n v="7"/>
    <n v="0.13725490196078433"/>
    <n v="2"/>
    <x v="0"/>
    <x v="15"/>
    <x v="53"/>
    <s v="Jun-18"/>
    <x v="83"/>
    <x v="2"/>
    <s v="Indore"/>
  </r>
  <r>
    <s v="B-25685"/>
    <n v="529"/>
    <n v="137"/>
    <n v="0.25897920604914931"/>
    <n v="3"/>
    <x v="2"/>
    <x v="4"/>
    <x v="53"/>
    <s v="Jun-18"/>
    <x v="83"/>
    <x v="2"/>
    <s v="Indore"/>
  </r>
  <r>
    <s v="B-25685"/>
    <n v="264"/>
    <n v="-30"/>
    <n v="-0.11363636363636363"/>
    <n v="3"/>
    <x v="0"/>
    <x v="15"/>
    <x v="53"/>
    <s v="Jun-18"/>
    <x v="83"/>
    <x v="2"/>
    <s v="Indore"/>
  </r>
  <r>
    <s v="B-25685"/>
    <n v="45"/>
    <n v="-2"/>
    <n v="-4.4444444444444446E-2"/>
    <n v="4"/>
    <x v="1"/>
    <x v="10"/>
    <x v="53"/>
    <s v="Jun-18"/>
    <x v="83"/>
    <x v="2"/>
    <s v="Indore"/>
  </r>
  <r>
    <s v="B-25686"/>
    <n v="381"/>
    <n v="-13"/>
    <n v="-3.4120734908136482E-2"/>
    <n v="2"/>
    <x v="1"/>
    <x v="5"/>
    <x v="54"/>
    <s v="Jun-18"/>
    <x v="27"/>
    <x v="13"/>
    <s v="Simla"/>
  </r>
  <r>
    <s v="B-25686"/>
    <n v="332"/>
    <n v="-503"/>
    <n v="-1.5150602409638554"/>
    <n v="3"/>
    <x v="2"/>
    <x v="13"/>
    <x v="54"/>
    <s v="Jun-18"/>
    <x v="27"/>
    <x v="13"/>
    <s v="Simla"/>
  </r>
  <r>
    <s v="B-25686"/>
    <n v="1829"/>
    <n v="-56"/>
    <n v="-3.06178239475123E-2"/>
    <n v="6"/>
    <x v="0"/>
    <x v="12"/>
    <x v="54"/>
    <s v="Jun-18"/>
    <x v="27"/>
    <x v="13"/>
    <s v="Simla"/>
  </r>
  <r>
    <s v="B-25687"/>
    <n v="17"/>
    <n v="6"/>
    <n v="0.35294117647058826"/>
    <n v="1"/>
    <x v="1"/>
    <x v="1"/>
    <x v="54"/>
    <s v="Jun-18"/>
    <x v="84"/>
    <x v="1"/>
    <s v="Mumbai"/>
  </r>
  <r>
    <s v="B-25687"/>
    <n v="357"/>
    <n v="139"/>
    <n v="0.38935574229691877"/>
    <n v="2"/>
    <x v="1"/>
    <x v="5"/>
    <x v="54"/>
    <s v="Jun-18"/>
    <x v="84"/>
    <x v="1"/>
    <s v="Mumbai"/>
  </r>
  <r>
    <s v="B-25687"/>
    <n v="51"/>
    <n v="21"/>
    <n v="0.41176470588235292"/>
    <n v="3"/>
    <x v="1"/>
    <x v="9"/>
    <x v="54"/>
    <s v="Jun-18"/>
    <x v="84"/>
    <x v="1"/>
    <s v="Mumbai"/>
  </r>
  <r>
    <s v="B-25687"/>
    <n v="387"/>
    <n v="-213"/>
    <n v="-0.55038759689922478"/>
    <n v="5"/>
    <x v="1"/>
    <x v="5"/>
    <x v="54"/>
    <s v="Jun-18"/>
    <x v="84"/>
    <x v="1"/>
    <s v="Mumbai"/>
  </r>
  <r>
    <s v="B-25687"/>
    <n v="14"/>
    <n v="-1"/>
    <n v="-7.1428571428571425E-2"/>
    <n v="4"/>
    <x v="1"/>
    <x v="8"/>
    <x v="54"/>
    <s v="Jun-18"/>
    <x v="84"/>
    <x v="1"/>
    <s v="Mumbai"/>
  </r>
  <r>
    <s v="B-25688"/>
    <n v="352"/>
    <n v="-345"/>
    <n v="-0.98011363636363635"/>
    <n v="5"/>
    <x v="1"/>
    <x v="5"/>
    <x v="54"/>
    <s v="Jun-18"/>
    <x v="85"/>
    <x v="2"/>
    <s v="Indore"/>
  </r>
  <r>
    <s v="B-25689"/>
    <n v="469"/>
    <n v="-459"/>
    <n v="-0.97867803837953093"/>
    <n v="3"/>
    <x v="2"/>
    <x v="3"/>
    <x v="55"/>
    <s v="Jun-18"/>
    <x v="86"/>
    <x v="1"/>
    <s v="Mumbai"/>
  </r>
  <r>
    <s v="B-25689"/>
    <n v="97"/>
    <n v="17"/>
    <n v="0.17525773195876287"/>
    <n v="2"/>
    <x v="1"/>
    <x v="1"/>
    <x v="55"/>
    <s v="Jun-18"/>
    <x v="86"/>
    <x v="1"/>
    <s v="Mumbai"/>
  </r>
  <r>
    <s v="B-25689"/>
    <n v="149"/>
    <n v="36"/>
    <n v="0.24161073825503357"/>
    <n v="3"/>
    <x v="1"/>
    <x v="1"/>
    <x v="55"/>
    <s v="Jun-18"/>
    <x v="86"/>
    <x v="1"/>
    <s v="Mumbai"/>
  </r>
  <r>
    <s v="B-25690"/>
    <n v="31"/>
    <n v="10"/>
    <n v="0.32258064516129031"/>
    <n v="3"/>
    <x v="1"/>
    <x v="16"/>
    <x v="56"/>
    <s v="Jun-18"/>
    <x v="87"/>
    <x v="2"/>
    <s v="Indore"/>
  </r>
  <r>
    <s v="B-25691"/>
    <n v="714"/>
    <n v="56"/>
    <n v="7.8431372549019607E-2"/>
    <n v="4"/>
    <x v="1"/>
    <x v="5"/>
    <x v="57"/>
    <s v="Jun-18"/>
    <x v="88"/>
    <x v="1"/>
    <s v="Mumbai"/>
  </r>
  <r>
    <s v="B-25691"/>
    <n v="75"/>
    <n v="-25"/>
    <n v="-0.33333333333333331"/>
    <n v="3"/>
    <x v="1"/>
    <x v="1"/>
    <x v="57"/>
    <s v="Jun-18"/>
    <x v="88"/>
    <x v="1"/>
    <s v="Mumbai"/>
  </r>
  <r>
    <s v="B-25691"/>
    <n v="17"/>
    <n v="-9"/>
    <n v="-0.52941176470588236"/>
    <n v="3"/>
    <x v="1"/>
    <x v="1"/>
    <x v="57"/>
    <s v="Jun-18"/>
    <x v="88"/>
    <x v="1"/>
    <s v="Mumbai"/>
  </r>
  <r>
    <s v="B-25692"/>
    <n v="141"/>
    <n v="28"/>
    <n v="0.19858156028368795"/>
    <n v="7"/>
    <x v="0"/>
    <x v="15"/>
    <x v="58"/>
    <s v="Jun-18"/>
    <x v="89"/>
    <x v="2"/>
    <s v="Indore"/>
  </r>
  <r>
    <s v="B-25693"/>
    <n v="76"/>
    <n v="-72"/>
    <n v="-0.94736842105263153"/>
    <n v="9"/>
    <x v="1"/>
    <x v="2"/>
    <x v="59"/>
    <s v="Jun-18"/>
    <x v="90"/>
    <x v="2"/>
    <s v="Bhopal"/>
  </r>
  <r>
    <s v="B-25693"/>
    <n v="632"/>
    <n v="-316"/>
    <n v="-0.5"/>
    <n v="6"/>
    <x v="1"/>
    <x v="5"/>
    <x v="59"/>
    <s v="Jun-18"/>
    <x v="90"/>
    <x v="2"/>
    <s v="Bhopal"/>
  </r>
  <r>
    <s v="B-25693"/>
    <n v="32"/>
    <n v="-16"/>
    <n v="-0.5"/>
    <n v="6"/>
    <x v="1"/>
    <x v="5"/>
    <x v="59"/>
    <s v="Jun-18"/>
    <x v="90"/>
    <x v="2"/>
    <s v="Bhopal"/>
  </r>
  <r>
    <s v="B-25693"/>
    <n v="68"/>
    <n v="-30"/>
    <n v="-0.44117647058823528"/>
    <n v="1"/>
    <x v="2"/>
    <x v="4"/>
    <x v="59"/>
    <s v="Jun-18"/>
    <x v="90"/>
    <x v="2"/>
    <s v="Bhopal"/>
  </r>
  <r>
    <s v="B-25693"/>
    <n v="82"/>
    <n v="-39"/>
    <n v="-0.47560975609756095"/>
    <n v="5"/>
    <x v="1"/>
    <x v="9"/>
    <x v="59"/>
    <s v="Jun-18"/>
    <x v="90"/>
    <x v="2"/>
    <s v="Bhopal"/>
  </r>
  <r>
    <s v="B-25693"/>
    <n v="72"/>
    <n v="-49"/>
    <n v="-0.68055555555555558"/>
    <n v="1"/>
    <x v="2"/>
    <x v="4"/>
    <x v="59"/>
    <s v="Jun-18"/>
    <x v="90"/>
    <x v="2"/>
    <s v="Bhopal"/>
  </r>
  <r>
    <s v="B-25693"/>
    <n v="13"/>
    <n v="-13"/>
    <n v="-1"/>
    <n v="2"/>
    <x v="1"/>
    <x v="16"/>
    <x v="59"/>
    <s v="Jun-18"/>
    <x v="90"/>
    <x v="2"/>
    <s v="Bhopal"/>
  </r>
  <r>
    <s v="B-25694"/>
    <n v="167"/>
    <n v="43"/>
    <n v="0.25748502994011974"/>
    <n v="7"/>
    <x v="1"/>
    <x v="9"/>
    <x v="59"/>
    <s v="Jun-18"/>
    <x v="91"/>
    <x v="3"/>
    <s v="Jaipur"/>
  </r>
  <r>
    <s v="B-25695"/>
    <n v="171"/>
    <n v="14"/>
    <n v="8.1871345029239762E-2"/>
    <n v="9"/>
    <x v="1"/>
    <x v="10"/>
    <x v="59"/>
    <s v="Jun-18"/>
    <x v="92"/>
    <x v="4"/>
    <s v="Kolkata"/>
  </r>
  <r>
    <s v="B-25696"/>
    <n v="117"/>
    <n v="-6"/>
    <n v="-5.128205128205128E-2"/>
    <n v="3"/>
    <x v="2"/>
    <x v="4"/>
    <x v="60"/>
    <s v="Jun-18"/>
    <x v="93"/>
    <x v="5"/>
    <s v="Bangalore"/>
  </r>
  <r>
    <s v="B-25696"/>
    <n v="116"/>
    <n v="-4"/>
    <n v="-3.4482758620689655E-2"/>
    <n v="1"/>
    <x v="1"/>
    <x v="5"/>
    <x v="60"/>
    <s v="Jun-18"/>
    <x v="93"/>
    <x v="5"/>
    <s v="Bangalore"/>
  </r>
  <r>
    <s v="B-25696"/>
    <n v="887"/>
    <n v="80"/>
    <n v="9.0191657271702363E-2"/>
    <n v="3"/>
    <x v="2"/>
    <x v="13"/>
    <x v="60"/>
    <s v="Jun-18"/>
    <x v="93"/>
    <x v="5"/>
    <s v="Bangalore"/>
  </r>
  <r>
    <s v="B-25696"/>
    <n v="275"/>
    <n v="-275"/>
    <n v="-1"/>
    <n v="4"/>
    <x v="1"/>
    <x v="5"/>
    <x v="60"/>
    <s v="Jun-18"/>
    <x v="93"/>
    <x v="5"/>
    <s v="Bangalore"/>
  </r>
  <r>
    <s v="B-25696"/>
    <n v="44"/>
    <n v="7"/>
    <n v="0.15909090909090909"/>
    <n v="3"/>
    <x v="1"/>
    <x v="8"/>
    <x v="60"/>
    <s v="Jun-18"/>
    <x v="93"/>
    <x v="5"/>
    <s v="Bangalore"/>
  </r>
  <r>
    <s v="B-25696"/>
    <n v="168"/>
    <n v="-9"/>
    <n v="-5.3571428571428568E-2"/>
    <n v="3"/>
    <x v="1"/>
    <x v="5"/>
    <x v="60"/>
    <s v="Jun-18"/>
    <x v="93"/>
    <x v="5"/>
    <s v="Bangalore"/>
  </r>
  <r>
    <s v="B-25697"/>
    <n v="114"/>
    <n v="8"/>
    <n v="7.0175438596491224E-2"/>
    <n v="3"/>
    <x v="2"/>
    <x v="14"/>
    <x v="61"/>
    <s v="Jun-18"/>
    <x v="94"/>
    <x v="6"/>
    <s v="Kashmir"/>
  </r>
  <r>
    <s v="B-25697"/>
    <n v="1300"/>
    <n v="-16"/>
    <n v="-1.2307692307692308E-2"/>
    <n v="8"/>
    <x v="2"/>
    <x v="13"/>
    <x v="61"/>
    <s v="Jun-18"/>
    <x v="94"/>
    <x v="6"/>
    <s v="Kashmir"/>
  </r>
  <r>
    <s v="B-25697"/>
    <n v="4"/>
    <n v="-3"/>
    <n v="-0.75"/>
    <n v="1"/>
    <x v="1"/>
    <x v="16"/>
    <x v="61"/>
    <s v="Jun-18"/>
    <x v="94"/>
    <x v="6"/>
    <s v="Kashmir"/>
  </r>
  <r>
    <s v="B-25697"/>
    <n v="73"/>
    <n v="-7"/>
    <n v="-9.5890410958904104E-2"/>
    <n v="1"/>
    <x v="2"/>
    <x v="4"/>
    <x v="61"/>
    <s v="Jun-18"/>
    <x v="94"/>
    <x v="6"/>
    <s v="Kashmir"/>
  </r>
  <r>
    <s v="B-25697"/>
    <n v="67"/>
    <n v="-42"/>
    <n v="-0.62686567164179108"/>
    <n v="3"/>
    <x v="1"/>
    <x v="1"/>
    <x v="61"/>
    <s v="Jun-18"/>
    <x v="94"/>
    <x v="6"/>
    <s v="Kashmir"/>
  </r>
  <r>
    <s v="B-25697"/>
    <n v="322"/>
    <n v="-193"/>
    <n v="-0.59937888198757761"/>
    <n v="5"/>
    <x v="2"/>
    <x v="13"/>
    <x v="61"/>
    <s v="Jun-18"/>
    <x v="94"/>
    <x v="6"/>
    <s v="Kashmir"/>
  </r>
  <r>
    <s v="B-25697"/>
    <n v="115"/>
    <n v="-39"/>
    <n v="-0.33913043478260868"/>
    <n v="3"/>
    <x v="1"/>
    <x v="6"/>
    <x v="61"/>
    <s v="Jun-18"/>
    <x v="94"/>
    <x v="6"/>
    <s v="Kashmir"/>
  </r>
  <r>
    <s v="B-25698"/>
    <n v="87"/>
    <n v="-83"/>
    <n v="-0.95402298850574707"/>
    <n v="5"/>
    <x v="1"/>
    <x v="8"/>
    <x v="62"/>
    <s v="Jun-18"/>
    <x v="95"/>
    <x v="7"/>
    <s v="Chennai"/>
  </r>
  <r>
    <s v="B-25698"/>
    <n v="27"/>
    <n v="-6"/>
    <n v="-0.22222222222222221"/>
    <n v="4"/>
    <x v="1"/>
    <x v="2"/>
    <x v="62"/>
    <s v="Jun-18"/>
    <x v="95"/>
    <x v="7"/>
    <s v="Chennai"/>
  </r>
  <r>
    <s v="B-25698"/>
    <n v="207"/>
    <n v="-153"/>
    <n v="-0.73913043478260865"/>
    <n v="3"/>
    <x v="1"/>
    <x v="5"/>
    <x v="62"/>
    <s v="Jun-18"/>
    <x v="95"/>
    <x v="7"/>
    <s v="Chennai"/>
  </r>
  <r>
    <s v="B-25698"/>
    <n v="516"/>
    <n v="-392"/>
    <n v="-0.75968992248062017"/>
    <n v="8"/>
    <x v="0"/>
    <x v="7"/>
    <x v="62"/>
    <s v="Jun-18"/>
    <x v="95"/>
    <x v="7"/>
    <s v="Chennai"/>
  </r>
  <r>
    <s v="B-25698"/>
    <n v="7"/>
    <n v="-2"/>
    <n v="-0.2857142857142857"/>
    <n v="1"/>
    <x v="1"/>
    <x v="2"/>
    <x v="62"/>
    <s v="Jun-18"/>
    <x v="95"/>
    <x v="7"/>
    <s v="Chennai"/>
  </r>
  <r>
    <s v="B-25698"/>
    <n v="65"/>
    <n v="-16"/>
    <n v="-0.24615384615384617"/>
    <n v="2"/>
    <x v="2"/>
    <x v="4"/>
    <x v="62"/>
    <s v="Jun-18"/>
    <x v="95"/>
    <x v="7"/>
    <s v="Chennai"/>
  </r>
  <r>
    <s v="B-25699"/>
    <n v="20"/>
    <n v="-22"/>
    <n v="-1.1000000000000001"/>
    <n v="1"/>
    <x v="0"/>
    <x v="15"/>
    <x v="63"/>
    <s v="Jun-18"/>
    <x v="96"/>
    <x v="8"/>
    <s v="Lucknow"/>
  </r>
  <r>
    <s v="B-25699"/>
    <n v="49"/>
    <n v="-31"/>
    <n v="-0.63265306122448983"/>
    <n v="2"/>
    <x v="1"/>
    <x v="1"/>
    <x v="63"/>
    <s v="Jun-18"/>
    <x v="96"/>
    <x v="8"/>
    <s v="Lucknow"/>
  </r>
  <r>
    <s v="B-25699"/>
    <n v="34"/>
    <n v="-13"/>
    <n v="-0.38235294117647056"/>
    <n v="5"/>
    <x v="1"/>
    <x v="11"/>
    <x v="63"/>
    <s v="Jun-18"/>
    <x v="96"/>
    <x v="8"/>
    <s v="Lucknow"/>
  </r>
  <r>
    <s v="B-25699"/>
    <n v="21"/>
    <n v="-5"/>
    <n v="-0.23809523809523808"/>
    <n v="1"/>
    <x v="2"/>
    <x v="14"/>
    <x v="63"/>
    <s v="Jun-18"/>
    <x v="96"/>
    <x v="8"/>
    <s v="Lucknow"/>
  </r>
  <r>
    <s v="B-25700"/>
    <n v="129"/>
    <n v="-75"/>
    <n v="-0.58139534883720934"/>
    <n v="5"/>
    <x v="1"/>
    <x v="10"/>
    <x v="64"/>
    <s v="Jun-18"/>
    <x v="97"/>
    <x v="1"/>
    <s v="Mumbai"/>
  </r>
  <r>
    <s v="B-25700"/>
    <n v="44"/>
    <n v="-32"/>
    <n v="-0.72727272727272729"/>
    <n v="3"/>
    <x v="1"/>
    <x v="1"/>
    <x v="64"/>
    <s v="Jun-18"/>
    <x v="97"/>
    <x v="1"/>
    <s v="Mumbai"/>
  </r>
  <r>
    <s v="B-25700"/>
    <n v="7"/>
    <n v="-3"/>
    <n v="-0.42857142857142855"/>
    <n v="2"/>
    <x v="1"/>
    <x v="2"/>
    <x v="64"/>
    <s v="Jun-18"/>
    <x v="97"/>
    <x v="1"/>
    <s v="Mumbai"/>
  </r>
  <r>
    <s v="B-25701"/>
    <n v="10"/>
    <n v="-8"/>
    <n v="-0.8"/>
    <n v="2"/>
    <x v="1"/>
    <x v="16"/>
    <x v="65"/>
    <s v="Jun-18"/>
    <x v="98"/>
    <x v="2"/>
    <s v="Indore"/>
  </r>
  <r>
    <s v="B-25701"/>
    <n v="33"/>
    <n v="-29"/>
    <n v="-0.87878787878787878"/>
    <n v="3"/>
    <x v="1"/>
    <x v="10"/>
    <x v="65"/>
    <s v="Jun-18"/>
    <x v="98"/>
    <x v="2"/>
    <s v="Indore"/>
  </r>
  <r>
    <s v="B-25701"/>
    <n v="98"/>
    <n v="-45"/>
    <n v="-0.45918367346938777"/>
    <n v="2"/>
    <x v="0"/>
    <x v="7"/>
    <x v="65"/>
    <s v="Jun-18"/>
    <x v="98"/>
    <x v="2"/>
    <s v="Indore"/>
  </r>
  <r>
    <s v="B-25701"/>
    <n v="33"/>
    <n v="-12"/>
    <n v="-0.36363636363636365"/>
    <n v="5"/>
    <x v="1"/>
    <x v="2"/>
    <x v="65"/>
    <s v="Jun-18"/>
    <x v="98"/>
    <x v="2"/>
    <s v="Indore"/>
  </r>
  <r>
    <s v="B-25702"/>
    <n v="75"/>
    <n v="0"/>
    <n v="0"/>
    <n v="3"/>
    <x v="1"/>
    <x v="10"/>
    <x v="66"/>
    <s v="Jun-18"/>
    <x v="99"/>
    <x v="1"/>
    <s v="Mumbai"/>
  </r>
  <r>
    <s v="B-25702"/>
    <n v="424"/>
    <n v="-17"/>
    <n v="-4.0094339622641507E-2"/>
    <n v="9"/>
    <x v="0"/>
    <x v="7"/>
    <x v="66"/>
    <s v="Jun-18"/>
    <x v="99"/>
    <x v="1"/>
    <s v="Mumbai"/>
  </r>
  <r>
    <s v="B-25702"/>
    <n v="31"/>
    <n v="-3"/>
    <n v="-9.6774193548387094E-2"/>
    <n v="4"/>
    <x v="1"/>
    <x v="5"/>
    <x v="66"/>
    <s v="Jun-18"/>
    <x v="99"/>
    <x v="1"/>
    <s v="Mumbai"/>
  </r>
  <r>
    <s v="B-25702"/>
    <n v="941"/>
    <n v="-203"/>
    <n v="-0.21572794899043571"/>
    <n v="3"/>
    <x v="0"/>
    <x v="12"/>
    <x v="66"/>
    <s v="Jun-18"/>
    <x v="99"/>
    <x v="1"/>
    <s v="Mumbai"/>
  </r>
  <r>
    <s v="B-25702"/>
    <n v="306"/>
    <n v="-147"/>
    <n v="-0.48039215686274511"/>
    <n v="3"/>
    <x v="1"/>
    <x v="5"/>
    <x v="66"/>
    <s v="Jun-18"/>
    <x v="99"/>
    <x v="1"/>
    <s v="Mumbai"/>
  </r>
  <r>
    <s v="B-25703"/>
    <n v="42"/>
    <n v="-23"/>
    <n v="-0.54761904761904767"/>
    <n v="2"/>
    <x v="0"/>
    <x v="15"/>
    <x v="67"/>
    <s v="Jun-18"/>
    <x v="76"/>
    <x v="2"/>
    <s v="Indore"/>
  </r>
  <r>
    <s v="B-25703"/>
    <n v="17"/>
    <n v="-3"/>
    <n v="-0.17647058823529413"/>
    <n v="2"/>
    <x v="1"/>
    <x v="1"/>
    <x v="67"/>
    <s v="Jun-18"/>
    <x v="76"/>
    <x v="2"/>
    <s v="Indore"/>
  </r>
  <r>
    <s v="B-25703"/>
    <n v="32"/>
    <n v="-5"/>
    <n v="-0.15625"/>
    <n v="5"/>
    <x v="1"/>
    <x v="2"/>
    <x v="67"/>
    <s v="Jun-18"/>
    <x v="76"/>
    <x v="2"/>
    <s v="Indore"/>
  </r>
  <r>
    <s v="B-25703"/>
    <n v="231"/>
    <n v="-190"/>
    <n v="-0.82251082251082253"/>
    <n v="9"/>
    <x v="1"/>
    <x v="2"/>
    <x v="67"/>
    <s v="Jun-18"/>
    <x v="76"/>
    <x v="2"/>
    <s v="Indore"/>
  </r>
  <r>
    <s v="B-25703"/>
    <n v="22"/>
    <n v="-15"/>
    <n v="-0.68181818181818177"/>
    <n v="4"/>
    <x v="1"/>
    <x v="8"/>
    <x v="67"/>
    <s v="Jun-18"/>
    <x v="76"/>
    <x v="2"/>
    <s v="Indore"/>
  </r>
  <r>
    <s v="B-25703"/>
    <n v="97"/>
    <n v="-45"/>
    <n v="-0.46391752577319589"/>
    <n v="4"/>
    <x v="1"/>
    <x v="5"/>
    <x v="67"/>
    <s v="Jun-18"/>
    <x v="76"/>
    <x v="2"/>
    <s v="Indore"/>
  </r>
  <r>
    <s v="B-25703"/>
    <n v="47"/>
    <n v="-27"/>
    <n v="-0.57446808510638303"/>
    <n v="4"/>
    <x v="1"/>
    <x v="5"/>
    <x v="67"/>
    <s v="Jun-18"/>
    <x v="76"/>
    <x v="2"/>
    <s v="Indore"/>
  </r>
  <r>
    <s v="B-25703"/>
    <n v="186"/>
    <n v="-141"/>
    <n v="-0.75806451612903225"/>
    <n v="9"/>
    <x v="1"/>
    <x v="10"/>
    <x v="67"/>
    <s v="Jun-18"/>
    <x v="76"/>
    <x v="2"/>
    <s v="Indore"/>
  </r>
  <r>
    <s v="B-25704"/>
    <n v="126"/>
    <n v="-63"/>
    <n v="-0.5"/>
    <n v="3"/>
    <x v="2"/>
    <x v="14"/>
    <x v="68"/>
    <s v="Jun-18"/>
    <x v="100"/>
    <x v="1"/>
    <s v="Mumbai"/>
  </r>
  <r>
    <s v="B-25704"/>
    <n v="102"/>
    <n v="0"/>
    <n v="0"/>
    <n v="3"/>
    <x v="2"/>
    <x v="4"/>
    <x v="68"/>
    <s v="Jun-18"/>
    <x v="100"/>
    <x v="1"/>
    <s v="Mumbai"/>
  </r>
  <r>
    <s v="B-25705"/>
    <n v="46"/>
    <n v="0"/>
    <n v="0"/>
    <n v="2"/>
    <x v="2"/>
    <x v="3"/>
    <x v="69"/>
    <s v="Jun-18"/>
    <x v="101"/>
    <x v="2"/>
    <s v="Indore"/>
  </r>
  <r>
    <s v="B-25706"/>
    <n v="31"/>
    <n v="-11"/>
    <n v="-0.35483870967741937"/>
    <n v="4"/>
    <x v="1"/>
    <x v="1"/>
    <x v="70"/>
    <s v="Jul-18"/>
    <x v="102"/>
    <x v="15"/>
    <s v="Goa"/>
  </r>
  <r>
    <s v="B-25707"/>
    <n v="8"/>
    <n v="-6"/>
    <n v="-0.75"/>
    <n v="1"/>
    <x v="1"/>
    <x v="1"/>
    <x v="70"/>
    <s v="Jul-18"/>
    <x v="103"/>
    <x v="1"/>
    <s v="Mumbai"/>
  </r>
  <r>
    <s v="B-25708"/>
    <n v="191"/>
    <n v="13"/>
    <n v="6.8062827225130892E-2"/>
    <n v="8"/>
    <x v="0"/>
    <x v="15"/>
    <x v="70"/>
    <s v="Jul-18"/>
    <x v="104"/>
    <x v="2"/>
    <s v="Indore"/>
  </r>
  <r>
    <s v="B-25708"/>
    <n v="709"/>
    <n v="-100"/>
    <n v="-0.14104372355430184"/>
    <n v="5"/>
    <x v="2"/>
    <x v="4"/>
    <x v="70"/>
    <s v="Jul-18"/>
    <x v="104"/>
    <x v="2"/>
    <s v="Indore"/>
  </r>
  <r>
    <s v="B-25708"/>
    <n v="81"/>
    <n v="-51"/>
    <n v="-0.62962962962962965"/>
    <n v="7"/>
    <x v="1"/>
    <x v="1"/>
    <x v="70"/>
    <s v="Jul-18"/>
    <x v="104"/>
    <x v="2"/>
    <s v="Indore"/>
  </r>
  <r>
    <s v="B-25708"/>
    <n v="32"/>
    <n v="-8"/>
    <n v="-0.25"/>
    <n v="2"/>
    <x v="1"/>
    <x v="1"/>
    <x v="70"/>
    <s v="Jul-18"/>
    <x v="104"/>
    <x v="2"/>
    <s v="Indore"/>
  </r>
  <r>
    <s v="B-25709"/>
    <n v="33"/>
    <n v="-12"/>
    <n v="-0.36363636363636365"/>
    <n v="7"/>
    <x v="1"/>
    <x v="5"/>
    <x v="70"/>
    <s v="Jul-18"/>
    <x v="105"/>
    <x v="2"/>
    <s v="Indore"/>
  </r>
  <r>
    <s v="B-25709"/>
    <n v="41"/>
    <n v="-6"/>
    <n v="-0.14634146341463414"/>
    <n v="1"/>
    <x v="0"/>
    <x v="7"/>
    <x v="70"/>
    <s v="Jul-18"/>
    <x v="105"/>
    <x v="2"/>
    <s v="Indore"/>
  </r>
  <r>
    <s v="B-25710"/>
    <n v="216"/>
    <n v="-38"/>
    <n v="-0.17592592592592593"/>
    <n v="6"/>
    <x v="0"/>
    <x v="15"/>
    <x v="71"/>
    <s v="Jul-18"/>
    <x v="106"/>
    <x v="1"/>
    <s v="Pune"/>
  </r>
  <r>
    <s v="B-25710"/>
    <n v="616"/>
    <n v="-69"/>
    <n v="-0.11201298701298701"/>
    <n v="7"/>
    <x v="0"/>
    <x v="15"/>
    <x v="71"/>
    <s v="Jul-18"/>
    <x v="106"/>
    <x v="1"/>
    <s v="Pune"/>
  </r>
  <r>
    <s v="B-25710"/>
    <n v="10"/>
    <n v="-1"/>
    <n v="-0.1"/>
    <n v="1"/>
    <x v="1"/>
    <x v="11"/>
    <x v="71"/>
    <s v="Jul-18"/>
    <x v="106"/>
    <x v="1"/>
    <s v="Pune"/>
  </r>
  <r>
    <s v="B-25710"/>
    <n v="25"/>
    <n v="0"/>
    <n v="0"/>
    <n v="4"/>
    <x v="1"/>
    <x v="16"/>
    <x v="71"/>
    <s v="Jul-18"/>
    <x v="106"/>
    <x v="1"/>
    <s v="Pune"/>
  </r>
  <r>
    <s v="B-25710"/>
    <n v="53"/>
    <n v="-18"/>
    <n v="-0.33962264150943394"/>
    <n v="4"/>
    <x v="1"/>
    <x v="9"/>
    <x v="71"/>
    <s v="Jul-18"/>
    <x v="106"/>
    <x v="1"/>
    <s v="Pune"/>
  </r>
  <r>
    <s v="B-25710"/>
    <n v="13"/>
    <n v="-8"/>
    <n v="-0.61538461538461542"/>
    <n v="1"/>
    <x v="1"/>
    <x v="9"/>
    <x v="71"/>
    <s v="Jul-18"/>
    <x v="106"/>
    <x v="1"/>
    <s v="Pune"/>
  </r>
  <r>
    <s v="B-25711"/>
    <n v="100"/>
    <n v="-58"/>
    <n v="-0.57999999999999996"/>
    <n v="4"/>
    <x v="1"/>
    <x v="2"/>
    <x v="72"/>
    <s v="Jul-18"/>
    <x v="107"/>
    <x v="2"/>
    <s v="Bhopal"/>
  </r>
  <r>
    <s v="B-25712"/>
    <n v="193"/>
    <n v="-275"/>
    <n v="-1.4248704663212435"/>
    <n v="3"/>
    <x v="2"/>
    <x v="4"/>
    <x v="73"/>
    <s v="Jul-18"/>
    <x v="108"/>
    <x v="3"/>
    <s v="Jaipur"/>
  </r>
  <r>
    <s v="B-25713"/>
    <n v="158"/>
    <n v="-63"/>
    <n v="-0.39873417721518989"/>
    <n v="4"/>
    <x v="0"/>
    <x v="7"/>
    <x v="74"/>
    <s v="Jul-18"/>
    <x v="109"/>
    <x v="4"/>
    <s v="Kolkata"/>
  </r>
  <r>
    <s v="B-25714"/>
    <n v="11"/>
    <n v="-5"/>
    <n v="-0.45454545454545453"/>
    <n v="2"/>
    <x v="1"/>
    <x v="2"/>
    <x v="75"/>
    <s v="Jul-18"/>
    <x v="110"/>
    <x v="5"/>
    <s v="Bangalore"/>
  </r>
  <r>
    <s v="B-25714"/>
    <n v="340"/>
    <n v="20"/>
    <n v="5.8823529411764705E-2"/>
    <n v="7"/>
    <x v="1"/>
    <x v="10"/>
    <x v="75"/>
    <s v="Jul-18"/>
    <x v="110"/>
    <x v="5"/>
    <s v="Bangalore"/>
  </r>
  <r>
    <s v="B-25715"/>
    <n v="416"/>
    <n v="137"/>
    <n v="0.32932692307692307"/>
    <n v="3"/>
    <x v="2"/>
    <x v="4"/>
    <x v="76"/>
    <s v="Jul-18"/>
    <x v="111"/>
    <x v="6"/>
    <s v="Kashmir"/>
  </r>
  <r>
    <s v="B-25716"/>
    <n v="58"/>
    <n v="0"/>
    <n v="0"/>
    <n v="4"/>
    <x v="1"/>
    <x v="5"/>
    <x v="77"/>
    <s v="Jul-18"/>
    <x v="112"/>
    <x v="7"/>
    <s v="Chennai"/>
  </r>
  <r>
    <s v="B-25717"/>
    <n v="561"/>
    <n v="212"/>
    <n v="0.37789661319073081"/>
    <n v="3"/>
    <x v="1"/>
    <x v="5"/>
    <x v="78"/>
    <s v="Jul-18"/>
    <x v="113"/>
    <x v="8"/>
    <s v="Lucknow"/>
  </r>
  <r>
    <s v="B-25717"/>
    <n v="138"/>
    <n v="-3"/>
    <n v="-2.1739130434782608E-2"/>
    <n v="5"/>
    <x v="1"/>
    <x v="5"/>
    <x v="78"/>
    <s v="Jul-18"/>
    <x v="113"/>
    <x v="8"/>
    <s v="Lucknow"/>
  </r>
  <r>
    <s v="B-25717"/>
    <n v="90"/>
    <n v="17"/>
    <n v="0.18888888888888888"/>
    <n v="3"/>
    <x v="1"/>
    <x v="10"/>
    <x v="78"/>
    <s v="Jul-18"/>
    <x v="113"/>
    <x v="8"/>
    <s v="Lucknow"/>
  </r>
  <r>
    <s v="B-25717"/>
    <n v="55"/>
    <n v="-33"/>
    <n v="-0.6"/>
    <n v="2"/>
    <x v="0"/>
    <x v="7"/>
    <x v="78"/>
    <s v="Jul-18"/>
    <x v="113"/>
    <x v="8"/>
    <s v="Lucknow"/>
  </r>
  <r>
    <s v="B-25718"/>
    <n v="371"/>
    <n v="115"/>
    <n v="0.30997304582210244"/>
    <n v="1"/>
    <x v="0"/>
    <x v="0"/>
    <x v="78"/>
    <s v="Jul-18"/>
    <x v="66"/>
    <x v="1"/>
    <s v="Mumbai"/>
  </r>
  <r>
    <s v="B-25718"/>
    <n v="460"/>
    <n v="31"/>
    <n v="6.7391304347826086E-2"/>
    <n v="3"/>
    <x v="0"/>
    <x v="0"/>
    <x v="78"/>
    <s v="Jul-18"/>
    <x v="66"/>
    <x v="1"/>
    <s v="Mumbai"/>
  </r>
  <r>
    <s v="B-25719"/>
    <n v="29"/>
    <n v="10"/>
    <n v="0.34482758620689657"/>
    <n v="2"/>
    <x v="1"/>
    <x v="1"/>
    <x v="78"/>
    <s v="Jul-18"/>
    <x v="89"/>
    <x v="2"/>
    <s v="Indore"/>
  </r>
  <r>
    <s v="B-25720"/>
    <n v="30"/>
    <n v="-35"/>
    <n v="-1.1666666666666667"/>
    <n v="1"/>
    <x v="0"/>
    <x v="7"/>
    <x v="79"/>
    <s v="Jul-18"/>
    <x v="114"/>
    <x v="11"/>
    <s v="Chandigarh"/>
  </r>
  <r>
    <s v="B-25721"/>
    <n v="29"/>
    <n v="-18"/>
    <n v="-0.62068965517241381"/>
    <n v="7"/>
    <x v="1"/>
    <x v="16"/>
    <x v="80"/>
    <s v="Jul-18"/>
    <x v="115"/>
    <x v="12"/>
    <s v="Chandigarh"/>
  </r>
  <r>
    <s v="B-25721"/>
    <n v="191"/>
    <n v="51"/>
    <n v="0.26701570680628273"/>
    <n v="5"/>
    <x v="1"/>
    <x v="10"/>
    <x v="80"/>
    <s v="Jul-18"/>
    <x v="115"/>
    <x v="12"/>
    <s v="Chandigarh"/>
  </r>
  <r>
    <s v="B-25721"/>
    <n v="149"/>
    <n v="-40"/>
    <n v="-0.26845637583892618"/>
    <n v="2"/>
    <x v="2"/>
    <x v="4"/>
    <x v="80"/>
    <s v="Jul-18"/>
    <x v="115"/>
    <x v="12"/>
    <s v="Chandigarh"/>
  </r>
  <r>
    <s v="B-25722"/>
    <n v="48"/>
    <n v="-8"/>
    <n v="-0.16666666666666666"/>
    <n v="8"/>
    <x v="1"/>
    <x v="1"/>
    <x v="81"/>
    <s v="Jul-18"/>
    <x v="116"/>
    <x v="13"/>
    <s v="Simla"/>
  </r>
  <r>
    <s v="B-25723"/>
    <n v="26"/>
    <n v="-24"/>
    <n v="-0.92307692307692313"/>
    <n v="1"/>
    <x v="1"/>
    <x v="1"/>
    <x v="82"/>
    <s v="Jul-18"/>
    <x v="117"/>
    <x v="1"/>
    <s v="Mumbai"/>
  </r>
  <r>
    <s v="B-25723"/>
    <n v="16"/>
    <n v="-12"/>
    <n v="-0.75"/>
    <n v="2"/>
    <x v="1"/>
    <x v="1"/>
    <x v="82"/>
    <s v="Jul-18"/>
    <x v="117"/>
    <x v="1"/>
    <s v="Mumbai"/>
  </r>
  <r>
    <s v="B-25723"/>
    <n v="12"/>
    <n v="-7"/>
    <n v="-0.58333333333333337"/>
    <n v="2"/>
    <x v="1"/>
    <x v="11"/>
    <x v="82"/>
    <s v="Jul-18"/>
    <x v="117"/>
    <x v="1"/>
    <s v="Mumbai"/>
  </r>
  <r>
    <s v="B-25723"/>
    <n v="76"/>
    <n v="-54"/>
    <n v="-0.71052631578947367"/>
    <n v="3"/>
    <x v="2"/>
    <x v="3"/>
    <x v="82"/>
    <s v="Jul-18"/>
    <x v="117"/>
    <x v="1"/>
    <s v="Mumbai"/>
  </r>
  <r>
    <s v="B-25724"/>
    <n v="168"/>
    <n v="-51"/>
    <n v="-0.30357142857142855"/>
    <n v="2"/>
    <x v="0"/>
    <x v="0"/>
    <x v="83"/>
    <s v="Jul-18"/>
    <x v="83"/>
    <x v="2"/>
    <s v="Indore"/>
  </r>
  <r>
    <s v="B-25725"/>
    <n v="23"/>
    <n v="-5"/>
    <n v="-0.21739130434782608"/>
    <n v="7"/>
    <x v="1"/>
    <x v="2"/>
    <x v="84"/>
    <s v="Jul-18"/>
    <x v="118"/>
    <x v="16"/>
    <s v="Kohima"/>
  </r>
  <r>
    <s v="B-25725"/>
    <n v="26"/>
    <n v="-5"/>
    <n v="-0.19230769230769232"/>
    <n v="2"/>
    <x v="1"/>
    <x v="1"/>
    <x v="84"/>
    <s v="Jul-18"/>
    <x v="118"/>
    <x v="16"/>
    <s v="Kohima"/>
  </r>
  <r>
    <s v="B-25725"/>
    <n v="144"/>
    <n v="-7"/>
    <n v="-4.8611111111111112E-2"/>
    <n v="4"/>
    <x v="2"/>
    <x v="3"/>
    <x v="84"/>
    <s v="Jul-18"/>
    <x v="118"/>
    <x v="16"/>
    <s v="Kohima"/>
  </r>
  <r>
    <s v="B-25726"/>
    <n v="490"/>
    <n v="-128"/>
    <n v="-0.26122448979591839"/>
    <n v="8"/>
    <x v="0"/>
    <x v="0"/>
    <x v="85"/>
    <s v="Jul-18"/>
    <x v="119"/>
    <x v="1"/>
    <s v="Mumbai"/>
  </r>
  <r>
    <s v="B-25727"/>
    <n v="57"/>
    <n v="-48"/>
    <n v="-0.84210526315789469"/>
    <n v="6"/>
    <x v="1"/>
    <x v="11"/>
    <x v="86"/>
    <s v="Jul-18"/>
    <x v="120"/>
    <x v="2"/>
    <s v="Indore"/>
  </r>
  <r>
    <s v="B-25727"/>
    <n v="327"/>
    <n v="114"/>
    <n v="0.34862385321100919"/>
    <n v="4"/>
    <x v="1"/>
    <x v="6"/>
    <x v="86"/>
    <s v="Jul-18"/>
    <x v="120"/>
    <x v="2"/>
    <s v="Indore"/>
  </r>
  <r>
    <s v="B-25728"/>
    <n v="1055"/>
    <n v="264"/>
    <n v="0.25023696682464452"/>
    <n v="4"/>
    <x v="2"/>
    <x v="13"/>
    <x v="86"/>
    <s v="Jul-18"/>
    <x v="121"/>
    <x v="1"/>
    <s v="Pune"/>
  </r>
  <r>
    <s v="B-25728"/>
    <n v="771"/>
    <n v="-424"/>
    <n v="-0.54993514915693908"/>
    <n v="2"/>
    <x v="2"/>
    <x v="4"/>
    <x v="86"/>
    <s v="Jul-18"/>
    <x v="121"/>
    <x v="1"/>
    <s v="Pune"/>
  </r>
  <r>
    <s v="B-25728"/>
    <n v="322"/>
    <n v="-113"/>
    <n v="-0.35093167701863354"/>
    <n v="4"/>
    <x v="1"/>
    <x v="5"/>
    <x v="86"/>
    <s v="Jul-18"/>
    <x v="121"/>
    <x v="1"/>
    <s v="Pune"/>
  </r>
  <r>
    <s v="B-25729"/>
    <n v="1549"/>
    <n v="-439"/>
    <n v="-0.28340865074241445"/>
    <n v="4"/>
    <x v="2"/>
    <x v="4"/>
    <x v="86"/>
    <s v="Jul-18"/>
    <x v="122"/>
    <x v="2"/>
    <s v="Bhopal"/>
  </r>
  <r>
    <s v="B-25730"/>
    <n v="1145"/>
    <n v="-706"/>
    <n v="-0.61659388646288205"/>
    <n v="3"/>
    <x v="2"/>
    <x v="4"/>
    <x v="86"/>
    <s v="Jul-18"/>
    <x v="123"/>
    <x v="3"/>
    <s v="Jaipur"/>
  </r>
  <r>
    <s v="B-25730"/>
    <n v="473"/>
    <n v="42"/>
    <n v="8.8794926004228336E-2"/>
    <n v="4"/>
    <x v="0"/>
    <x v="7"/>
    <x v="86"/>
    <s v="Jul-18"/>
    <x v="123"/>
    <x v="3"/>
    <s v="Jaipur"/>
  </r>
  <r>
    <s v="B-25730"/>
    <n v="96"/>
    <n v="22"/>
    <n v="0.22916666666666666"/>
    <n v="5"/>
    <x v="1"/>
    <x v="1"/>
    <x v="86"/>
    <s v="Jul-18"/>
    <x v="123"/>
    <x v="3"/>
    <s v="Jaipur"/>
  </r>
  <r>
    <s v="B-25730"/>
    <n v="18"/>
    <n v="8"/>
    <n v="0.44444444444444442"/>
    <n v="2"/>
    <x v="1"/>
    <x v="2"/>
    <x v="86"/>
    <s v="Jul-18"/>
    <x v="123"/>
    <x v="3"/>
    <s v="Jaipur"/>
  </r>
  <r>
    <s v="B-25730"/>
    <n v="187"/>
    <n v="30"/>
    <n v="0.16042780748663102"/>
    <n v="4"/>
    <x v="2"/>
    <x v="14"/>
    <x v="86"/>
    <s v="Jul-18"/>
    <x v="123"/>
    <x v="3"/>
    <s v="Jaipur"/>
  </r>
  <r>
    <s v="B-25730"/>
    <n v="83"/>
    <n v="-81"/>
    <n v="-0.97590361445783136"/>
    <n v="3"/>
    <x v="0"/>
    <x v="7"/>
    <x v="86"/>
    <s v="Jul-18"/>
    <x v="123"/>
    <x v="3"/>
    <s v="Jaipur"/>
  </r>
  <r>
    <s v="B-25731"/>
    <n v="131"/>
    <n v="-154"/>
    <n v="-1.1755725190839694"/>
    <n v="8"/>
    <x v="0"/>
    <x v="15"/>
    <x v="87"/>
    <s v="Jul-18"/>
    <x v="124"/>
    <x v="4"/>
    <s v="Kolkata"/>
  </r>
  <r>
    <s v="B-25732"/>
    <n v="16"/>
    <n v="-5"/>
    <n v="-0.3125"/>
    <n v="2"/>
    <x v="1"/>
    <x v="1"/>
    <x v="88"/>
    <s v="Jul-18"/>
    <x v="125"/>
    <x v="5"/>
    <s v="Bangalore"/>
  </r>
  <r>
    <s v="B-25733"/>
    <n v="43"/>
    <n v="-43"/>
    <n v="-1"/>
    <n v="7"/>
    <x v="1"/>
    <x v="1"/>
    <x v="89"/>
    <s v="Jul-18"/>
    <x v="126"/>
    <x v="1"/>
    <s v="Mumbai"/>
  </r>
  <r>
    <s v="B-25733"/>
    <n v="30"/>
    <n v="-10"/>
    <n v="-0.33333333333333331"/>
    <n v="2"/>
    <x v="1"/>
    <x v="1"/>
    <x v="89"/>
    <s v="Jul-18"/>
    <x v="126"/>
    <x v="1"/>
    <s v="Mumbai"/>
  </r>
  <r>
    <s v="B-25733"/>
    <n v="23"/>
    <n v="-6"/>
    <n v="-0.2608695652173913"/>
    <n v="4"/>
    <x v="1"/>
    <x v="2"/>
    <x v="89"/>
    <s v="Jul-18"/>
    <x v="126"/>
    <x v="1"/>
    <s v="Mumbai"/>
  </r>
  <r>
    <s v="B-25734"/>
    <n v="108"/>
    <n v="-19"/>
    <n v="-0.17592592592592593"/>
    <n v="3"/>
    <x v="2"/>
    <x v="3"/>
    <x v="90"/>
    <s v="Jul-18"/>
    <x v="127"/>
    <x v="2"/>
    <s v="Indore"/>
  </r>
  <r>
    <s v="B-25735"/>
    <n v="12"/>
    <n v="-2"/>
    <n v="-0.16666666666666666"/>
    <n v="3"/>
    <x v="1"/>
    <x v="2"/>
    <x v="91"/>
    <s v="Jul-18"/>
    <x v="128"/>
    <x v="8"/>
    <s v="Lucknow"/>
  </r>
  <r>
    <s v="B-25735"/>
    <n v="7"/>
    <n v="-1"/>
    <n v="-0.14285714285714285"/>
    <n v="2"/>
    <x v="1"/>
    <x v="16"/>
    <x v="91"/>
    <s v="Jul-18"/>
    <x v="128"/>
    <x v="8"/>
    <s v="Lucknow"/>
  </r>
  <r>
    <s v="B-25735"/>
    <n v="15"/>
    <n v="-7"/>
    <n v="-0.46666666666666667"/>
    <n v="1"/>
    <x v="1"/>
    <x v="2"/>
    <x v="91"/>
    <s v="Jul-18"/>
    <x v="128"/>
    <x v="8"/>
    <s v="Lucknow"/>
  </r>
  <r>
    <s v="B-25736"/>
    <n v="31"/>
    <n v="-7"/>
    <n v="-0.22580645161290322"/>
    <n v="5"/>
    <x v="1"/>
    <x v="16"/>
    <x v="92"/>
    <s v="Jul-18"/>
    <x v="129"/>
    <x v="1"/>
    <s v="Mumbai"/>
  </r>
  <r>
    <s v="B-25737"/>
    <n v="187"/>
    <n v="-15"/>
    <n v="-8.0213903743315509E-2"/>
    <n v="3"/>
    <x v="1"/>
    <x v="6"/>
    <x v="93"/>
    <s v="Aug-18"/>
    <x v="130"/>
    <x v="2"/>
    <s v="Indore"/>
  </r>
  <r>
    <s v="B-25738"/>
    <n v="70"/>
    <n v="-14"/>
    <n v="-0.2"/>
    <n v="2"/>
    <x v="0"/>
    <x v="15"/>
    <x v="94"/>
    <s v="Aug-18"/>
    <x v="131"/>
    <x v="11"/>
    <s v="Chandigarh"/>
  </r>
  <r>
    <s v="B-25738"/>
    <n v="72"/>
    <n v="-6"/>
    <n v="-8.3333333333333329E-2"/>
    <n v="3"/>
    <x v="1"/>
    <x v="5"/>
    <x v="94"/>
    <s v="Aug-18"/>
    <x v="131"/>
    <x v="11"/>
    <s v="Chandigarh"/>
  </r>
  <r>
    <s v="B-25738"/>
    <n v="1069"/>
    <n v="0"/>
    <n v="0"/>
    <n v="6"/>
    <x v="1"/>
    <x v="5"/>
    <x v="94"/>
    <s v="Aug-18"/>
    <x v="131"/>
    <x v="11"/>
    <s v="Chandigarh"/>
  </r>
  <r>
    <s v="B-25738"/>
    <n v="148"/>
    <n v="-91"/>
    <n v="-0.61486486486486491"/>
    <n v="2"/>
    <x v="2"/>
    <x v="4"/>
    <x v="94"/>
    <s v="Aug-18"/>
    <x v="131"/>
    <x v="11"/>
    <s v="Chandigarh"/>
  </r>
  <r>
    <s v="B-25739"/>
    <n v="133"/>
    <n v="-56"/>
    <n v="-0.42105263157894735"/>
    <n v="2"/>
    <x v="0"/>
    <x v="7"/>
    <x v="95"/>
    <s v="Aug-18"/>
    <x v="132"/>
    <x v="12"/>
    <s v="Chandigarh"/>
  </r>
  <r>
    <s v="B-25740"/>
    <n v="40"/>
    <n v="-37"/>
    <n v="-0.92500000000000004"/>
    <n v="3"/>
    <x v="1"/>
    <x v="1"/>
    <x v="95"/>
    <s v="Aug-18"/>
    <x v="133"/>
    <x v="1"/>
    <s v="Mumbai"/>
  </r>
  <r>
    <s v="B-25740"/>
    <n v="7"/>
    <n v="0"/>
    <n v="0"/>
    <n v="2"/>
    <x v="1"/>
    <x v="16"/>
    <x v="95"/>
    <s v="Aug-18"/>
    <x v="133"/>
    <x v="1"/>
    <s v="Mumbai"/>
  </r>
  <r>
    <s v="B-25740"/>
    <n v="58"/>
    <n v="-8"/>
    <n v="-0.13793103448275862"/>
    <n v="2"/>
    <x v="1"/>
    <x v="5"/>
    <x v="95"/>
    <s v="Aug-18"/>
    <x v="133"/>
    <x v="1"/>
    <s v="Mumbai"/>
  </r>
  <r>
    <s v="B-25741"/>
    <n v="482"/>
    <n v="-6"/>
    <n v="-1.2448132780082987E-2"/>
    <n v="7"/>
    <x v="2"/>
    <x v="3"/>
    <x v="95"/>
    <s v="Aug-18"/>
    <x v="134"/>
    <x v="2"/>
    <s v="Indore"/>
  </r>
  <r>
    <s v="B-25742"/>
    <n v="11"/>
    <n v="-8"/>
    <n v="-0.72727272727272729"/>
    <n v="2"/>
    <x v="1"/>
    <x v="16"/>
    <x v="95"/>
    <s v="Aug-18"/>
    <x v="135"/>
    <x v="15"/>
    <s v="Goa"/>
  </r>
  <r>
    <s v="B-25743"/>
    <n v="143"/>
    <n v="-124"/>
    <n v="-0.86713286713286708"/>
    <n v="5"/>
    <x v="1"/>
    <x v="5"/>
    <x v="96"/>
    <s v="Aug-18"/>
    <x v="136"/>
    <x v="16"/>
    <s v="Kohima"/>
  </r>
  <r>
    <s v="B-25743"/>
    <n v="9"/>
    <n v="-5"/>
    <n v="-0.55555555555555558"/>
    <n v="1"/>
    <x v="1"/>
    <x v="5"/>
    <x v="96"/>
    <s v="Aug-18"/>
    <x v="136"/>
    <x v="16"/>
    <s v="Kohima"/>
  </r>
  <r>
    <s v="B-25743"/>
    <n v="503"/>
    <n v="-56"/>
    <n v="-0.11133200795228629"/>
    <n v="2"/>
    <x v="1"/>
    <x v="6"/>
    <x v="96"/>
    <s v="Aug-18"/>
    <x v="136"/>
    <x v="16"/>
    <s v="Kohima"/>
  </r>
  <r>
    <s v="B-25743"/>
    <n v="74"/>
    <n v="-51"/>
    <n v="-0.68918918918918914"/>
    <n v="3"/>
    <x v="1"/>
    <x v="1"/>
    <x v="96"/>
    <s v="Aug-18"/>
    <x v="136"/>
    <x v="16"/>
    <s v="Kohima"/>
  </r>
  <r>
    <s v="B-25743"/>
    <n v="56"/>
    <n v="0"/>
    <n v="0"/>
    <n v="4"/>
    <x v="1"/>
    <x v="2"/>
    <x v="96"/>
    <s v="Aug-18"/>
    <x v="136"/>
    <x v="16"/>
    <s v="Kohima"/>
  </r>
  <r>
    <s v="B-25744"/>
    <n v="373"/>
    <n v="-254"/>
    <n v="-0.68096514745308312"/>
    <n v="6"/>
    <x v="2"/>
    <x v="13"/>
    <x v="97"/>
    <s v="Aug-18"/>
    <x v="137"/>
    <x v="17"/>
    <s v="Hyderabad"/>
  </r>
  <r>
    <s v="B-25745"/>
    <n v="44"/>
    <n v="-8"/>
    <n v="-0.18181818181818182"/>
    <n v="3"/>
    <x v="1"/>
    <x v="1"/>
    <x v="98"/>
    <s v="Aug-18"/>
    <x v="138"/>
    <x v="0"/>
    <s v="Ahmedabad"/>
  </r>
  <r>
    <s v="B-25745"/>
    <n v="296"/>
    <n v="-225"/>
    <n v="-0.76013513513513509"/>
    <n v="11"/>
    <x v="1"/>
    <x v="5"/>
    <x v="98"/>
    <s v="Aug-18"/>
    <x v="138"/>
    <x v="0"/>
    <s v="Ahmedabad"/>
  </r>
  <r>
    <s v="B-25745"/>
    <n v="670"/>
    <n v="15"/>
    <n v="2.2388059701492536E-2"/>
    <n v="5"/>
    <x v="0"/>
    <x v="0"/>
    <x v="98"/>
    <s v="Aug-18"/>
    <x v="138"/>
    <x v="0"/>
    <s v="Ahmedabad"/>
  </r>
  <r>
    <s v="B-25745"/>
    <n v="132"/>
    <n v="-79"/>
    <n v="-0.59848484848484851"/>
    <n v="5"/>
    <x v="0"/>
    <x v="15"/>
    <x v="98"/>
    <s v="Aug-18"/>
    <x v="138"/>
    <x v="0"/>
    <s v="Ahmedabad"/>
  </r>
  <r>
    <s v="B-25746"/>
    <n v="87"/>
    <n v="16"/>
    <n v="0.18390804597701149"/>
    <n v="2"/>
    <x v="1"/>
    <x v="5"/>
    <x v="99"/>
    <s v="Aug-18"/>
    <x v="139"/>
    <x v="1"/>
    <s v="Pune"/>
  </r>
  <r>
    <s v="B-25747"/>
    <n v="877"/>
    <n v="395"/>
    <n v="0.45039908779931587"/>
    <n v="2"/>
    <x v="0"/>
    <x v="0"/>
    <x v="100"/>
    <s v="Aug-18"/>
    <x v="140"/>
    <x v="2"/>
    <s v="Bhopal"/>
  </r>
  <r>
    <s v="B-25748"/>
    <n v="141"/>
    <n v="10"/>
    <n v="7.0921985815602842E-2"/>
    <n v="4"/>
    <x v="1"/>
    <x v="10"/>
    <x v="101"/>
    <s v="Aug-18"/>
    <x v="141"/>
    <x v="3"/>
    <s v="Jaipur"/>
  </r>
  <r>
    <s v="B-25748"/>
    <n v="224"/>
    <n v="58"/>
    <n v="0.25892857142857145"/>
    <n v="3"/>
    <x v="2"/>
    <x v="4"/>
    <x v="101"/>
    <s v="Aug-18"/>
    <x v="141"/>
    <x v="3"/>
    <s v="Jaipur"/>
  </r>
  <r>
    <s v="B-25748"/>
    <n v="8"/>
    <n v="-1"/>
    <n v="-0.125"/>
    <n v="2"/>
    <x v="1"/>
    <x v="11"/>
    <x v="101"/>
    <s v="Aug-18"/>
    <x v="141"/>
    <x v="3"/>
    <s v="Jaipur"/>
  </r>
  <r>
    <s v="B-25748"/>
    <n v="47"/>
    <n v="-21"/>
    <n v="-0.44680851063829785"/>
    <n v="2"/>
    <x v="2"/>
    <x v="3"/>
    <x v="101"/>
    <s v="Aug-18"/>
    <x v="141"/>
    <x v="3"/>
    <s v="Jaipur"/>
  </r>
  <r>
    <s v="B-25749"/>
    <n v="1052"/>
    <n v="-82"/>
    <n v="-7.7946768060836502E-2"/>
    <n v="3"/>
    <x v="0"/>
    <x v="0"/>
    <x v="102"/>
    <s v="Aug-18"/>
    <x v="131"/>
    <x v="1"/>
    <s v="Mumbai"/>
  </r>
  <r>
    <s v="B-25750"/>
    <n v="212"/>
    <n v="-24"/>
    <n v="-0.11320754716981132"/>
    <n v="2"/>
    <x v="0"/>
    <x v="7"/>
    <x v="103"/>
    <s v="Aug-18"/>
    <x v="142"/>
    <x v="2"/>
    <s v="Indore"/>
  </r>
  <r>
    <s v="B-25750"/>
    <n v="42"/>
    <n v="-15"/>
    <n v="-0.35714285714285715"/>
    <n v="12"/>
    <x v="1"/>
    <x v="16"/>
    <x v="103"/>
    <s v="Aug-18"/>
    <x v="142"/>
    <x v="2"/>
    <s v="Indore"/>
  </r>
  <r>
    <s v="B-25750"/>
    <n v="208"/>
    <n v="-25"/>
    <n v="-0.1201923076923077"/>
    <n v="2"/>
    <x v="1"/>
    <x v="5"/>
    <x v="103"/>
    <s v="Aug-18"/>
    <x v="142"/>
    <x v="2"/>
    <s v="Indore"/>
  </r>
  <r>
    <s v="B-25750"/>
    <n v="22"/>
    <n v="-12"/>
    <n v="-0.54545454545454541"/>
    <n v="3"/>
    <x v="1"/>
    <x v="1"/>
    <x v="103"/>
    <s v="Aug-18"/>
    <x v="142"/>
    <x v="2"/>
    <s v="Indore"/>
  </r>
  <r>
    <s v="B-25750"/>
    <n v="539"/>
    <n v="-146"/>
    <n v="-0.27087198515769945"/>
    <n v="7"/>
    <x v="0"/>
    <x v="15"/>
    <x v="103"/>
    <s v="Aug-18"/>
    <x v="142"/>
    <x v="2"/>
    <s v="Indore"/>
  </r>
  <r>
    <s v="B-25750"/>
    <n v="78"/>
    <n v="-6"/>
    <n v="-7.6923076923076927E-2"/>
    <n v="2"/>
    <x v="0"/>
    <x v="15"/>
    <x v="103"/>
    <s v="Aug-18"/>
    <x v="142"/>
    <x v="2"/>
    <s v="Indore"/>
  </r>
  <r>
    <s v="B-25750"/>
    <n v="20"/>
    <n v="-18"/>
    <n v="-0.9"/>
    <n v="2"/>
    <x v="1"/>
    <x v="5"/>
    <x v="103"/>
    <s v="Aug-18"/>
    <x v="142"/>
    <x v="2"/>
    <s v="Indore"/>
  </r>
  <r>
    <s v="B-25750"/>
    <n v="19"/>
    <n v="-1"/>
    <n v="-5.2631578947368418E-2"/>
    <n v="1"/>
    <x v="1"/>
    <x v="10"/>
    <x v="103"/>
    <s v="Aug-18"/>
    <x v="142"/>
    <x v="2"/>
    <s v="Indore"/>
  </r>
  <r>
    <s v="B-25750"/>
    <n v="73"/>
    <n v="-31"/>
    <n v="-0.42465753424657532"/>
    <n v="1"/>
    <x v="0"/>
    <x v="0"/>
    <x v="103"/>
    <s v="Aug-18"/>
    <x v="142"/>
    <x v="2"/>
    <s v="Indore"/>
  </r>
  <r>
    <s v="B-25751"/>
    <n v="10"/>
    <n v="-8"/>
    <n v="-0.8"/>
    <n v="1"/>
    <x v="1"/>
    <x v="8"/>
    <x v="103"/>
    <s v="Aug-18"/>
    <x v="143"/>
    <x v="1"/>
    <s v="Mumbai"/>
  </r>
  <r>
    <s v="B-25751"/>
    <n v="14"/>
    <n v="-3"/>
    <n v="-0.21428571428571427"/>
    <n v="2"/>
    <x v="1"/>
    <x v="11"/>
    <x v="103"/>
    <s v="Aug-18"/>
    <x v="143"/>
    <x v="1"/>
    <s v="Mumbai"/>
  </r>
  <r>
    <s v="B-25751"/>
    <n v="68"/>
    <n v="-56"/>
    <n v="-0.82352941176470584"/>
    <n v="2"/>
    <x v="2"/>
    <x v="4"/>
    <x v="103"/>
    <s v="Aug-18"/>
    <x v="143"/>
    <x v="1"/>
    <s v="Mumbai"/>
  </r>
  <r>
    <s v="B-25751"/>
    <n v="106"/>
    <n v="0"/>
    <n v="0"/>
    <n v="2"/>
    <x v="2"/>
    <x v="4"/>
    <x v="103"/>
    <s v="Aug-18"/>
    <x v="143"/>
    <x v="1"/>
    <s v="Mumbai"/>
  </r>
  <r>
    <s v="B-25751"/>
    <n v="43"/>
    <n v="-5"/>
    <n v="-0.11627906976744186"/>
    <n v="2"/>
    <x v="1"/>
    <x v="5"/>
    <x v="103"/>
    <s v="Aug-18"/>
    <x v="143"/>
    <x v="1"/>
    <s v="Mumbai"/>
  </r>
  <r>
    <s v="B-25751"/>
    <n v="43"/>
    <n v="21"/>
    <n v="0.48837209302325579"/>
    <n v="3"/>
    <x v="1"/>
    <x v="10"/>
    <x v="103"/>
    <s v="Aug-18"/>
    <x v="143"/>
    <x v="1"/>
    <s v="Mumbai"/>
  </r>
  <r>
    <s v="B-25751"/>
    <n v="534"/>
    <n v="5"/>
    <n v="9.3632958801498131E-3"/>
    <n v="2"/>
    <x v="2"/>
    <x v="3"/>
    <x v="103"/>
    <s v="Aug-18"/>
    <x v="143"/>
    <x v="1"/>
    <s v="Mumbai"/>
  </r>
  <r>
    <s v="B-25751"/>
    <n v="32"/>
    <n v="7"/>
    <n v="0.21875"/>
    <n v="3"/>
    <x v="1"/>
    <x v="2"/>
    <x v="103"/>
    <s v="Aug-18"/>
    <x v="143"/>
    <x v="1"/>
    <s v="Mumbai"/>
  </r>
  <r>
    <s v="B-25751"/>
    <n v="65"/>
    <n v="-4"/>
    <n v="-6.1538461538461542E-2"/>
    <n v="6"/>
    <x v="1"/>
    <x v="2"/>
    <x v="103"/>
    <s v="Aug-18"/>
    <x v="143"/>
    <x v="1"/>
    <s v="Mumbai"/>
  </r>
  <r>
    <s v="B-25751"/>
    <n v="221"/>
    <n v="-15"/>
    <n v="-6.7873303167420809E-2"/>
    <n v="2"/>
    <x v="2"/>
    <x v="3"/>
    <x v="103"/>
    <s v="Aug-18"/>
    <x v="143"/>
    <x v="1"/>
    <s v="Mumbai"/>
  </r>
  <r>
    <s v="B-25752"/>
    <n v="1361"/>
    <n v="197"/>
    <n v="0.14474650991917706"/>
    <n v="9"/>
    <x v="0"/>
    <x v="0"/>
    <x v="103"/>
    <s v="Aug-18"/>
    <x v="144"/>
    <x v="2"/>
    <s v="Indore"/>
  </r>
  <r>
    <s v="B-25752"/>
    <n v="761"/>
    <n v="266"/>
    <n v="0.34954007884362681"/>
    <n v="9"/>
    <x v="2"/>
    <x v="3"/>
    <x v="103"/>
    <s v="Aug-18"/>
    <x v="144"/>
    <x v="2"/>
    <s v="Indore"/>
  </r>
  <r>
    <s v="B-25752"/>
    <n v="76"/>
    <n v="27"/>
    <n v="0.35526315789473684"/>
    <n v="5"/>
    <x v="1"/>
    <x v="1"/>
    <x v="103"/>
    <s v="Aug-18"/>
    <x v="144"/>
    <x v="2"/>
    <s v="Indore"/>
  </r>
  <r>
    <s v="B-25752"/>
    <n v="91"/>
    <n v="15"/>
    <n v="0.16483516483516483"/>
    <n v="6"/>
    <x v="1"/>
    <x v="9"/>
    <x v="103"/>
    <s v="Aug-18"/>
    <x v="144"/>
    <x v="2"/>
    <s v="Indore"/>
  </r>
  <r>
    <s v="B-25752"/>
    <n v="8"/>
    <n v="-2"/>
    <n v="-0.25"/>
    <n v="2"/>
    <x v="1"/>
    <x v="2"/>
    <x v="103"/>
    <s v="Aug-18"/>
    <x v="144"/>
    <x v="2"/>
    <s v="Indore"/>
  </r>
  <r>
    <s v="B-25752"/>
    <n v="735"/>
    <n v="-235"/>
    <n v="-0.31972789115646261"/>
    <n v="6"/>
    <x v="2"/>
    <x v="13"/>
    <x v="103"/>
    <s v="Aug-18"/>
    <x v="144"/>
    <x v="2"/>
    <s v="Indore"/>
  </r>
  <r>
    <s v="B-25752"/>
    <n v="33"/>
    <n v="-27"/>
    <n v="-0.81818181818181823"/>
    <n v="1"/>
    <x v="0"/>
    <x v="7"/>
    <x v="103"/>
    <s v="Aug-18"/>
    <x v="144"/>
    <x v="2"/>
    <s v="Indore"/>
  </r>
  <r>
    <s v="B-25753"/>
    <n v="62"/>
    <n v="-56"/>
    <n v="-0.90322580645161288"/>
    <n v="5"/>
    <x v="1"/>
    <x v="8"/>
    <x v="104"/>
    <s v="Aug-18"/>
    <x v="139"/>
    <x v="8"/>
    <s v="Lucknow"/>
  </r>
  <r>
    <s v="B-25753"/>
    <n v="27"/>
    <n v="-20"/>
    <n v="-0.7407407407407407"/>
    <n v="2"/>
    <x v="1"/>
    <x v="2"/>
    <x v="104"/>
    <s v="Aug-18"/>
    <x v="139"/>
    <x v="8"/>
    <s v="Lucknow"/>
  </r>
  <r>
    <s v="B-25753"/>
    <n v="65"/>
    <n v="-52"/>
    <n v="-0.8"/>
    <n v="3"/>
    <x v="2"/>
    <x v="14"/>
    <x v="104"/>
    <s v="Aug-18"/>
    <x v="139"/>
    <x v="8"/>
    <s v="Lucknow"/>
  </r>
  <r>
    <s v="B-25753"/>
    <n v="47"/>
    <n v="-114"/>
    <n v="-2.4255319148936172"/>
    <n v="5"/>
    <x v="0"/>
    <x v="15"/>
    <x v="104"/>
    <s v="Aug-18"/>
    <x v="139"/>
    <x v="8"/>
    <s v="Lucknow"/>
  </r>
  <r>
    <s v="B-25753"/>
    <n v="341"/>
    <n v="-85"/>
    <n v="-0.24926686217008798"/>
    <n v="6"/>
    <x v="1"/>
    <x v="6"/>
    <x v="104"/>
    <s v="Aug-18"/>
    <x v="139"/>
    <x v="8"/>
    <s v="Lucknow"/>
  </r>
  <r>
    <s v="B-25753"/>
    <n v="107"/>
    <n v="31"/>
    <n v="0.28971962616822428"/>
    <n v="5"/>
    <x v="1"/>
    <x v="9"/>
    <x v="104"/>
    <s v="Aug-18"/>
    <x v="139"/>
    <x v="8"/>
    <s v="Lucknow"/>
  </r>
  <r>
    <s v="B-25753"/>
    <n v="154"/>
    <n v="22"/>
    <n v="0.14285714285714285"/>
    <n v="7"/>
    <x v="1"/>
    <x v="9"/>
    <x v="104"/>
    <s v="Aug-18"/>
    <x v="139"/>
    <x v="8"/>
    <s v="Lucknow"/>
  </r>
  <r>
    <s v="B-25753"/>
    <n v="620"/>
    <n v="82"/>
    <n v="0.13225806451612904"/>
    <n v="6"/>
    <x v="2"/>
    <x v="14"/>
    <x v="104"/>
    <s v="Aug-18"/>
    <x v="139"/>
    <x v="8"/>
    <s v="Lucknow"/>
  </r>
  <r>
    <s v="B-25753"/>
    <n v="77"/>
    <n v="-43"/>
    <n v="-0.55844155844155841"/>
    <n v="8"/>
    <x v="1"/>
    <x v="1"/>
    <x v="104"/>
    <s v="Aug-18"/>
    <x v="139"/>
    <x v="8"/>
    <s v="Lucknow"/>
  </r>
  <r>
    <s v="B-25754"/>
    <n v="72"/>
    <n v="-46"/>
    <n v="-0.63888888888888884"/>
    <n v="7"/>
    <x v="1"/>
    <x v="8"/>
    <x v="105"/>
    <s v="Aug-18"/>
    <x v="145"/>
    <x v="9"/>
    <s v="Patna"/>
  </r>
  <r>
    <s v="B-25754"/>
    <n v="41"/>
    <n v="-14"/>
    <n v="-0.34146341463414637"/>
    <n v="5"/>
    <x v="1"/>
    <x v="11"/>
    <x v="105"/>
    <s v="Aug-18"/>
    <x v="145"/>
    <x v="9"/>
    <s v="Patna"/>
  </r>
  <r>
    <s v="B-25754"/>
    <n v="30"/>
    <n v="-23"/>
    <n v="-0.76666666666666672"/>
    <n v="2"/>
    <x v="1"/>
    <x v="5"/>
    <x v="105"/>
    <s v="Aug-18"/>
    <x v="145"/>
    <x v="9"/>
    <s v="Patna"/>
  </r>
  <r>
    <s v="B-25754"/>
    <n v="93"/>
    <n v="-65"/>
    <n v="-0.69892473118279574"/>
    <n v="4"/>
    <x v="1"/>
    <x v="1"/>
    <x v="105"/>
    <s v="Aug-18"/>
    <x v="145"/>
    <x v="9"/>
    <s v="Patna"/>
  </r>
  <r>
    <s v="B-25754"/>
    <n v="19"/>
    <n v="0"/>
    <n v="0"/>
    <n v="3"/>
    <x v="1"/>
    <x v="16"/>
    <x v="105"/>
    <s v="Aug-18"/>
    <x v="145"/>
    <x v="9"/>
    <s v="Patna"/>
  </r>
  <r>
    <s v="B-25754"/>
    <n v="9"/>
    <n v="-1"/>
    <n v="-0.1111111111111111"/>
    <n v="3"/>
    <x v="1"/>
    <x v="16"/>
    <x v="105"/>
    <s v="Aug-18"/>
    <x v="145"/>
    <x v="9"/>
    <s v="Patna"/>
  </r>
  <r>
    <s v="B-25754"/>
    <n v="319"/>
    <n v="-312"/>
    <n v="-0.9780564263322884"/>
    <n v="5"/>
    <x v="1"/>
    <x v="5"/>
    <x v="105"/>
    <s v="Aug-18"/>
    <x v="145"/>
    <x v="9"/>
    <s v="Patna"/>
  </r>
  <r>
    <s v="B-25754"/>
    <n v="262"/>
    <n v="-215"/>
    <n v="-0.82061068702290074"/>
    <n v="2"/>
    <x v="2"/>
    <x v="13"/>
    <x v="105"/>
    <s v="Aug-18"/>
    <x v="145"/>
    <x v="9"/>
    <s v="Patna"/>
  </r>
  <r>
    <s v="B-25755"/>
    <n v="37"/>
    <n v="-53"/>
    <n v="-1.4324324324324325"/>
    <n v="3"/>
    <x v="1"/>
    <x v="5"/>
    <x v="106"/>
    <s v="Aug-18"/>
    <x v="146"/>
    <x v="10"/>
    <s v="Thiruvananthapuram"/>
  </r>
  <r>
    <s v="B-25755"/>
    <n v="257"/>
    <n v="-3"/>
    <n v="-1.1673151750972763E-2"/>
    <n v="2"/>
    <x v="0"/>
    <x v="0"/>
    <x v="106"/>
    <s v="Aug-18"/>
    <x v="146"/>
    <x v="10"/>
    <s v="Thiruvananthapuram"/>
  </r>
  <r>
    <s v="B-25755"/>
    <n v="80"/>
    <n v="-19"/>
    <n v="-0.23749999999999999"/>
    <n v="5"/>
    <x v="1"/>
    <x v="1"/>
    <x v="106"/>
    <s v="Aug-18"/>
    <x v="146"/>
    <x v="10"/>
    <s v="Thiruvananthapuram"/>
  </r>
  <r>
    <s v="B-25755"/>
    <n v="321"/>
    <n v="-315"/>
    <n v="-0.98130841121495327"/>
    <n v="5"/>
    <x v="1"/>
    <x v="5"/>
    <x v="106"/>
    <s v="Aug-18"/>
    <x v="146"/>
    <x v="10"/>
    <s v="Thiruvananthapuram"/>
  </r>
  <r>
    <s v="B-25755"/>
    <n v="47"/>
    <n v="-3"/>
    <n v="-6.3829787234042548E-2"/>
    <n v="2"/>
    <x v="1"/>
    <x v="1"/>
    <x v="106"/>
    <s v="Aug-18"/>
    <x v="146"/>
    <x v="10"/>
    <s v="Thiruvananthapuram"/>
  </r>
  <r>
    <s v="B-25755"/>
    <n v="593"/>
    <n v="213"/>
    <n v="0.35919055649241149"/>
    <n v="4"/>
    <x v="0"/>
    <x v="0"/>
    <x v="106"/>
    <s v="Aug-18"/>
    <x v="146"/>
    <x v="10"/>
    <s v="Thiruvananthapuram"/>
  </r>
  <r>
    <s v="B-25755"/>
    <n v="134"/>
    <n v="-34"/>
    <n v="-0.2537313432835821"/>
    <n v="2"/>
    <x v="0"/>
    <x v="7"/>
    <x v="106"/>
    <s v="Aug-18"/>
    <x v="146"/>
    <x v="10"/>
    <s v="Thiruvananthapuram"/>
  </r>
  <r>
    <s v="B-25755"/>
    <n v="1709"/>
    <n v="564"/>
    <n v="0.33001755412521944"/>
    <n v="3"/>
    <x v="1"/>
    <x v="6"/>
    <x v="106"/>
    <s v="Aug-18"/>
    <x v="146"/>
    <x v="10"/>
    <s v="Thiruvananthapuram"/>
  </r>
  <r>
    <s v="B-25755"/>
    <n v="27"/>
    <n v="4"/>
    <n v="0.14814814814814814"/>
    <n v="2"/>
    <x v="1"/>
    <x v="5"/>
    <x v="106"/>
    <s v="Aug-18"/>
    <x v="146"/>
    <x v="10"/>
    <s v="Thiruvananthapuram"/>
  </r>
  <r>
    <s v="B-25756"/>
    <n v="465"/>
    <n v="-33"/>
    <n v="-7.0967741935483872E-2"/>
    <n v="4"/>
    <x v="2"/>
    <x v="4"/>
    <x v="107"/>
    <s v="Aug-18"/>
    <x v="147"/>
    <x v="1"/>
    <s v="Mumbai"/>
  </r>
  <r>
    <s v="B-25756"/>
    <n v="643"/>
    <n v="-45"/>
    <n v="-6.9984447900466568E-2"/>
    <n v="2"/>
    <x v="2"/>
    <x v="13"/>
    <x v="107"/>
    <s v="Aug-18"/>
    <x v="147"/>
    <x v="1"/>
    <s v="Mumbai"/>
  </r>
  <r>
    <s v="B-25756"/>
    <n v="204"/>
    <n v="-276"/>
    <n v="-1.3529411764705883"/>
    <n v="3"/>
    <x v="0"/>
    <x v="0"/>
    <x v="107"/>
    <s v="Aug-18"/>
    <x v="147"/>
    <x v="1"/>
    <s v="Mumbai"/>
  </r>
  <r>
    <s v="B-25756"/>
    <n v="729"/>
    <n v="-492"/>
    <n v="-0.67489711934156382"/>
    <n v="5"/>
    <x v="0"/>
    <x v="0"/>
    <x v="107"/>
    <s v="Aug-18"/>
    <x v="147"/>
    <x v="1"/>
    <s v="Mumbai"/>
  </r>
  <r>
    <s v="B-25756"/>
    <n v="29"/>
    <n v="-24"/>
    <n v="-0.82758620689655171"/>
    <n v="4"/>
    <x v="1"/>
    <x v="11"/>
    <x v="107"/>
    <s v="Aug-18"/>
    <x v="147"/>
    <x v="1"/>
    <s v="Mumbai"/>
  </r>
  <r>
    <s v="B-25757"/>
    <n v="17"/>
    <n v="-13"/>
    <n v="-0.76470588235294112"/>
    <n v="4"/>
    <x v="1"/>
    <x v="16"/>
    <x v="108"/>
    <s v="Aug-18"/>
    <x v="148"/>
    <x v="2"/>
    <s v="Indore"/>
  </r>
  <r>
    <s v="B-25757"/>
    <n v="34"/>
    <n v="-11"/>
    <n v="-0.3235294117647059"/>
    <n v="5"/>
    <x v="1"/>
    <x v="9"/>
    <x v="108"/>
    <s v="Aug-18"/>
    <x v="148"/>
    <x v="2"/>
    <s v="Indore"/>
  </r>
  <r>
    <s v="B-25757"/>
    <n v="98"/>
    <n v="9"/>
    <n v="9.1836734693877556E-2"/>
    <n v="2"/>
    <x v="0"/>
    <x v="15"/>
    <x v="108"/>
    <s v="Aug-18"/>
    <x v="148"/>
    <x v="2"/>
    <s v="Indore"/>
  </r>
  <r>
    <s v="B-25757"/>
    <n v="3151"/>
    <n v="-35"/>
    <n v="-1.1107584893684545E-2"/>
    <n v="7"/>
    <x v="1"/>
    <x v="6"/>
    <x v="108"/>
    <s v="Aug-18"/>
    <x v="148"/>
    <x v="2"/>
    <s v="Indore"/>
  </r>
  <r>
    <s v="B-25757"/>
    <n v="53"/>
    <n v="15"/>
    <n v="0.28301886792452829"/>
    <n v="2"/>
    <x v="1"/>
    <x v="1"/>
    <x v="108"/>
    <s v="Aug-18"/>
    <x v="148"/>
    <x v="2"/>
    <s v="Indore"/>
  </r>
  <r>
    <s v="B-25757"/>
    <n v="165"/>
    <n v="30"/>
    <n v="0.18181818181818182"/>
    <n v="3"/>
    <x v="1"/>
    <x v="1"/>
    <x v="108"/>
    <s v="Aug-18"/>
    <x v="148"/>
    <x v="2"/>
    <s v="Indore"/>
  </r>
  <r>
    <s v="B-25757"/>
    <n v="211"/>
    <n v="19"/>
    <n v="9.004739336492891E-2"/>
    <n v="8"/>
    <x v="1"/>
    <x v="1"/>
    <x v="108"/>
    <s v="Aug-18"/>
    <x v="148"/>
    <x v="2"/>
    <s v="Indore"/>
  </r>
  <r>
    <s v="B-25757"/>
    <n v="106"/>
    <n v="15"/>
    <n v="0.14150943396226415"/>
    <n v="7"/>
    <x v="1"/>
    <x v="2"/>
    <x v="108"/>
    <s v="Aug-18"/>
    <x v="148"/>
    <x v="2"/>
    <s v="Indore"/>
  </r>
  <r>
    <s v="B-25757"/>
    <n v="14"/>
    <n v="5"/>
    <n v="0.35714285714285715"/>
    <n v="1"/>
    <x v="1"/>
    <x v="2"/>
    <x v="108"/>
    <s v="Aug-18"/>
    <x v="148"/>
    <x v="2"/>
    <s v="Indore"/>
  </r>
  <r>
    <s v="B-25757"/>
    <n v="17"/>
    <n v="7"/>
    <n v="0.41176470588235292"/>
    <n v="3"/>
    <x v="1"/>
    <x v="2"/>
    <x v="108"/>
    <s v="Aug-18"/>
    <x v="148"/>
    <x v="2"/>
    <s v="Indore"/>
  </r>
  <r>
    <s v="B-25757"/>
    <n v="46"/>
    <n v="14"/>
    <n v="0.30434782608695654"/>
    <n v="5"/>
    <x v="1"/>
    <x v="16"/>
    <x v="108"/>
    <s v="Aug-18"/>
    <x v="148"/>
    <x v="2"/>
    <s v="Indore"/>
  </r>
  <r>
    <s v="B-25758"/>
    <n v="8"/>
    <n v="-2"/>
    <n v="-0.25"/>
    <n v="1"/>
    <x v="1"/>
    <x v="1"/>
    <x v="109"/>
    <s v="Aug-18"/>
    <x v="130"/>
    <x v="13"/>
    <s v="Simla"/>
  </r>
  <r>
    <s v="B-25759"/>
    <n v="20"/>
    <n v="-9"/>
    <n v="-0.45"/>
    <n v="6"/>
    <x v="1"/>
    <x v="2"/>
    <x v="110"/>
    <s v="Aug-18"/>
    <x v="149"/>
    <x v="14"/>
    <s v="Gangtok"/>
  </r>
  <r>
    <s v="B-25760"/>
    <n v="322"/>
    <n v="-193"/>
    <n v="-0.59937888198757761"/>
    <n v="5"/>
    <x v="2"/>
    <x v="13"/>
    <x v="111"/>
    <s v="Aug-18"/>
    <x v="27"/>
    <x v="15"/>
    <s v="Goa"/>
  </r>
  <r>
    <s v="B-25761"/>
    <n v="2188"/>
    <n v="1050"/>
    <n v="0.47989031078610606"/>
    <n v="5"/>
    <x v="0"/>
    <x v="0"/>
    <x v="112"/>
    <s v="Aug-18"/>
    <x v="112"/>
    <x v="1"/>
    <s v="Mumbai"/>
  </r>
  <r>
    <s v="B-25761"/>
    <n v="328"/>
    <n v="-15"/>
    <n v="-4.573170731707317E-2"/>
    <n v="3"/>
    <x v="2"/>
    <x v="3"/>
    <x v="112"/>
    <s v="Aug-18"/>
    <x v="112"/>
    <x v="1"/>
    <s v="Mumbai"/>
  </r>
  <r>
    <s v="B-25761"/>
    <n v="418"/>
    <n v="70"/>
    <n v="0.1674641148325359"/>
    <n v="7"/>
    <x v="2"/>
    <x v="4"/>
    <x v="112"/>
    <s v="Aug-18"/>
    <x v="112"/>
    <x v="1"/>
    <s v="Mumbai"/>
  </r>
  <r>
    <s v="B-25761"/>
    <n v="40"/>
    <n v="0"/>
    <n v="0"/>
    <n v="3"/>
    <x v="1"/>
    <x v="5"/>
    <x v="112"/>
    <s v="Aug-18"/>
    <x v="112"/>
    <x v="1"/>
    <s v="Mumbai"/>
  </r>
  <r>
    <s v="B-25761"/>
    <n v="102"/>
    <n v="-90"/>
    <n v="-0.88235294117647056"/>
    <n v="1"/>
    <x v="1"/>
    <x v="5"/>
    <x v="112"/>
    <s v="Aug-18"/>
    <x v="112"/>
    <x v="1"/>
    <s v="Mumbai"/>
  </r>
  <r>
    <s v="B-25761"/>
    <n v="263"/>
    <n v="-31"/>
    <n v="-0.11787072243346007"/>
    <n v="9"/>
    <x v="2"/>
    <x v="3"/>
    <x v="112"/>
    <s v="Aug-18"/>
    <x v="112"/>
    <x v="1"/>
    <s v="Mumbai"/>
  </r>
  <r>
    <s v="B-25762"/>
    <n v="1316"/>
    <n v="-527"/>
    <n v="-0.40045592705167171"/>
    <n v="7"/>
    <x v="2"/>
    <x v="3"/>
    <x v="113"/>
    <s v="Aug-18"/>
    <x v="150"/>
    <x v="2"/>
    <s v="Indore"/>
  </r>
  <r>
    <s v="B-25762"/>
    <n v="27"/>
    <n v="4"/>
    <n v="0.14814814814814814"/>
    <n v="3"/>
    <x v="1"/>
    <x v="16"/>
    <x v="113"/>
    <s v="Aug-18"/>
    <x v="150"/>
    <x v="2"/>
    <s v="Indore"/>
  </r>
  <r>
    <s v="B-25762"/>
    <n v="98"/>
    <n v="-5"/>
    <n v="-5.1020408163265307E-2"/>
    <n v="2"/>
    <x v="1"/>
    <x v="5"/>
    <x v="113"/>
    <s v="Aug-18"/>
    <x v="150"/>
    <x v="2"/>
    <s v="Indore"/>
  </r>
  <r>
    <s v="B-25763"/>
    <n v="58"/>
    <n v="-52"/>
    <n v="-0.89655172413793105"/>
    <n v="3"/>
    <x v="0"/>
    <x v="7"/>
    <x v="114"/>
    <s v="Aug-18"/>
    <x v="151"/>
    <x v="0"/>
    <s v="Ahmedabad"/>
  </r>
  <r>
    <s v="B-25764"/>
    <n v="119"/>
    <n v="43"/>
    <n v="0.36134453781512604"/>
    <n v="5"/>
    <x v="1"/>
    <x v="9"/>
    <x v="115"/>
    <s v="Aug-18"/>
    <x v="152"/>
    <x v="1"/>
    <s v="Pune"/>
  </r>
  <r>
    <s v="B-25764"/>
    <n v="765"/>
    <n v="-153"/>
    <n v="-0.2"/>
    <n v="2"/>
    <x v="2"/>
    <x v="4"/>
    <x v="115"/>
    <s v="Aug-18"/>
    <x v="152"/>
    <x v="1"/>
    <s v="Pune"/>
  </r>
  <r>
    <s v="B-25764"/>
    <n v="26"/>
    <n v="0"/>
    <n v="0"/>
    <n v="2"/>
    <x v="1"/>
    <x v="8"/>
    <x v="115"/>
    <s v="Aug-18"/>
    <x v="152"/>
    <x v="1"/>
    <s v="Pune"/>
  </r>
  <r>
    <s v="B-25764"/>
    <n v="24"/>
    <n v="-24"/>
    <n v="-1"/>
    <n v="2"/>
    <x v="1"/>
    <x v="5"/>
    <x v="115"/>
    <s v="Aug-18"/>
    <x v="152"/>
    <x v="1"/>
    <s v="Pune"/>
  </r>
  <r>
    <s v="B-25765"/>
    <n v="139"/>
    <n v="14"/>
    <n v="0.10071942446043165"/>
    <n v="3"/>
    <x v="1"/>
    <x v="1"/>
    <x v="116"/>
    <s v="Aug-18"/>
    <x v="153"/>
    <x v="2"/>
    <s v="Bhopal"/>
  </r>
  <r>
    <s v="B-25766"/>
    <n v="220"/>
    <n v="-19"/>
    <n v="-8.6363636363636365E-2"/>
    <n v="2"/>
    <x v="1"/>
    <x v="5"/>
    <x v="117"/>
    <s v="Aug-18"/>
    <x v="112"/>
    <x v="3"/>
    <s v="Jaipur"/>
  </r>
  <r>
    <s v="B-25767"/>
    <n v="299"/>
    <n v="-28"/>
    <n v="-9.3645484949832769E-2"/>
    <n v="3"/>
    <x v="2"/>
    <x v="3"/>
    <x v="118"/>
    <s v="Aug-18"/>
    <x v="154"/>
    <x v="4"/>
    <s v="Kolkata"/>
  </r>
  <r>
    <s v="B-25767"/>
    <n v="9"/>
    <n v="-9"/>
    <n v="-1"/>
    <n v="2"/>
    <x v="1"/>
    <x v="8"/>
    <x v="118"/>
    <s v="Aug-18"/>
    <x v="154"/>
    <x v="4"/>
    <s v="Kolkata"/>
  </r>
  <r>
    <s v="B-25767"/>
    <n v="74"/>
    <n v="-59"/>
    <n v="-0.79729729729729726"/>
    <n v="2"/>
    <x v="2"/>
    <x v="14"/>
    <x v="118"/>
    <s v="Aug-18"/>
    <x v="154"/>
    <x v="4"/>
    <s v="Kolkata"/>
  </r>
  <r>
    <s v="B-25767"/>
    <n v="29"/>
    <n v="-3"/>
    <n v="-0.10344827586206896"/>
    <n v="3"/>
    <x v="1"/>
    <x v="5"/>
    <x v="118"/>
    <s v="Aug-18"/>
    <x v="154"/>
    <x v="4"/>
    <s v="Kolkata"/>
  </r>
  <r>
    <s v="B-25767"/>
    <n v="48"/>
    <n v="-22"/>
    <n v="-0.45833333333333331"/>
    <n v="2"/>
    <x v="1"/>
    <x v="5"/>
    <x v="118"/>
    <s v="Aug-18"/>
    <x v="154"/>
    <x v="4"/>
    <s v="Kolkata"/>
  </r>
  <r>
    <s v="B-25768"/>
    <n v="1582"/>
    <n v="-443"/>
    <n v="-0.28002528445006319"/>
    <n v="6"/>
    <x v="1"/>
    <x v="6"/>
    <x v="119"/>
    <s v="Sep-18"/>
    <x v="155"/>
    <x v="5"/>
    <s v="Bangalore"/>
  </r>
  <r>
    <s v="B-25769"/>
    <n v="355"/>
    <n v="-4"/>
    <n v="-1.1267605633802818E-2"/>
    <n v="2"/>
    <x v="1"/>
    <x v="5"/>
    <x v="120"/>
    <s v="Sep-18"/>
    <x v="156"/>
    <x v="1"/>
    <s v="Mumbai"/>
  </r>
  <r>
    <s v="B-25770"/>
    <n v="375"/>
    <n v="180"/>
    <n v="0.48"/>
    <n v="3"/>
    <x v="0"/>
    <x v="0"/>
    <x v="120"/>
    <s v="Sep-18"/>
    <x v="107"/>
    <x v="2"/>
    <s v="Indore"/>
  </r>
  <r>
    <s v="B-25770"/>
    <n v="299"/>
    <n v="113"/>
    <n v="0.3779264214046823"/>
    <n v="2"/>
    <x v="0"/>
    <x v="0"/>
    <x v="120"/>
    <s v="Sep-18"/>
    <x v="107"/>
    <x v="2"/>
    <s v="Indore"/>
  </r>
  <r>
    <s v="B-25770"/>
    <n v="287"/>
    <n v="-280"/>
    <n v="-0.97560975609756095"/>
    <n v="12"/>
    <x v="0"/>
    <x v="7"/>
    <x v="120"/>
    <s v="Sep-18"/>
    <x v="107"/>
    <x v="2"/>
    <s v="Indore"/>
  </r>
  <r>
    <s v="B-25770"/>
    <n v="110"/>
    <n v="35"/>
    <n v="0.31818181818181818"/>
    <n v="1"/>
    <x v="0"/>
    <x v="15"/>
    <x v="120"/>
    <s v="Sep-18"/>
    <x v="107"/>
    <x v="2"/>
    <s v="Indore"/>
  </r>
  <r>
    <s v="B-25771"/>
    <n v="148"/>
    <n v="59"/>
    <n v="0.39864864864864863"/>
    <n v="3"/>
    <x v="1"/>
    <x v="2"/>
    <x v="120"/>
    <s v="Sep-18"/>
    <x v="157"/>
    <x v="8"/>
    <s v="Lucknow"/>
  </r>
  <r>
    <s v="B-25772"/>
    <n v="1183"/>
    <n v="106"/>
    <n v="8.960270498732037E-2"/>
    <n v="4"/>
    <x v="2"/>
    <x v="13"/>
    <x v="120"/>
    <s v="Sep-18"/>
    <x v="158"/>
    <x v="9"/>
    <s v="Patna"/>
  </r>
  <r>
    <s v="B-25773"/>
    <n v="248"/>
    <n v="-70"/>
    <n v="-0.28225806451612906"/>
    <n v="3"/>
    <x v="0"/>
    <x v="7"/>
    <x v="121"/>
    <s v="Sep-18"/>
    <x v="74"/>
    <x v="10"/>
    <s v="Thiruvananthapuram"/>
  </r>
  <r>
    <s v="B-25773"/>
    <n v="85"/>
    <n v="-9"/>
    <n v="-0.10588235294117647"/>
    <n v="4"/>
    <x v="1"/>
    <x v="5"/>
    <x v="121"/>
    <s v="Sep-18"/>
    <x v="74"/>
    <x v="10"/>
    <s v="Thiruvananthapuram"/>
  </r>
  <r>
    <s v="B-25773"/>
    <n v="24"/>
    <n v="-14"/>
    <n v="-0.58333333333333337"/>
    <n v="2"/>
    <x v="1"/>
    <x v="5"/>
    <x v="121"/>
    <s v="Sep-18"/>
    <x v="74"/>
    <x v="10"/>
    <s v="Thiruvananthapuram"/>
  </r>
  <r>
    <s v="B-25773"/>
    <n v="209"/>
    <n v="-21"/>
    <n v="-0.10047846889952153"/>
    <n v="2"/>
    <x v="2"/>
    <x v="3"/>
    <x v="121"/>
    <s v="Sep-18"/>
    <x v="74"/>
    <x v="10"/>
    <s v="Thiruvananthapuram"/>
  </r>
  <r>
    <s v="B-25773"/>
    <n v="224"/>
    <n v="-143"/>
    <n v="-0.6383928571428571"/>
    <n v="3"/>
    <x v="0"/>
    <x v="7"/>
    <x v="121"/>
    <s v="Sep-18"/>
    <x v="74"/>
    <x v="10"/>
    <s v="Thiruvananthapuram"/>
  </r>
  <r>
    <s v="B-25774"/>
    <n v="38"/>
    <n v="-6"/>
    <n v="-0.15789473684210525"/>
    <n v="2"/>
    <x v="0"/>
    <x v="15"/>
    <x v="122"/>
    <s v="Sep-18"/>
    <x v="159"/>
    <x v="11"/>
    <s v="Chandigarh"/>
  </r>
  <r>
    <s v="B-25775"/>
    <n v="50"/>
    <n v="-17"/>
    <n v="-0.34"/>
    <n v="2"/>
    <x v="1"/>
    <x v="1"/>
    <x v="123"/>
    <s v="Sep-18"/>
    <x v="160"/>
    <x v="12"/>
    <s v="Chandigarh"/>
  </r>
  <r>
    <s v="B-25776"/>
    <n v="47"/>
    <n v="-20"/>
    <n v="-0.42553191489361702"/>
    <n v="2"/>
    <x v="1"/>
    <x v="8"/>
    <x v="124"/>
    <s v="Sep-18"/>
    <x v="161"/>
    <x v="1"/>
    <s v="Mumbai"/>
  </r>
  <r>
    <s v="B-25777"/>
    <n v="61"/>
    <n v="-25"/>
    <n v="-0.4098360655737705"/>
    <n v="4"/>
    <x v="2"/>
    <x v="14"/>
    <x v="125"/>
    <s v="Sep-18"/>
    <x v="162"/>
    <x v="2"/>
    <s v="Indore"/>
  </r>
  <r>
    <s v="B-25777"/>
    <n v="69"/>
    <n v="-67"/>
    <n v="-0.97101449275362317"/>
    <n v="4"/>
    <x v="1"/>
    <x v="8"/>
    <x v="125"/>
    <s v="Sep-18"/>
    <x v="162"/>
    <x v="2"/>
    <s v="Indore"/>
  </r>
  <r>
    <s v="B-25777"/>
    <n v="59"/>
    <n v="-46"/>
    <n v="-0.77966101694915257"/>
    <n v="7"/>
    <x v="1"/>
    <x v="9"/>
    <x v="125"/>
    <s v="Sep-18"/>
    <x v="162"/>
    <x v="2"/>
    <s v="Indore"/>
  </r>
  <r>
    <s v="B-25777"/>
    <n v="117"/>
    <n v="17"/>
    <n v="0.14529914529914531"/>
    <n v="6"/>
    <x v="1"/>
    <x v="8"/>
    <x v="125"/>
    <s v="Sep-18"/>
    <x v="162"/>
    <x v="2"/>
    <s v="Indore"/>
  </r>
  <r>
    <s v="B-25777"/>
    <n v="1076"/>
    <n v="-38"/>
    <n v="-3.5315985130111527E-2"/>
    <n v="4"/>
    <x v="2"/>
    <x v="13"/>
    <x v="125"/>
    <s v="Sep-18"/>
    <x v="162"/>
    <x v="2"/>
    <s v="Indore"/>
  </r>
  <r>
    <s v="B-25778"/>
    <n v="1506"/>
    <n v="-266"/>
    <n v="-0.17662682602921648"/>
    <n v="6"/>
    <x v="2"/>
    <x v="13"/>
    <x v="126"/>
    <s v="Sep-18"/>
    <x v="112"/>
    <x v="1"/>
    <s v="Mumbai"/>
  </r>
  <r>
    <s v="B-25778"/>
    <n v="109"/>
    <n v="-6"/>
    <n v="-5.5045871559633031E-2"/>
    <n v="6"/>
    <x v="1"/>
    <x v="5"/>
    <x v="126"/>
    <s v="Sep-18"/>
    <x v="112"/>
    <x v="1"/>
    <s v="Mumbai"/>
  </r>
  <r>
    <s v="B-25778"/>
    <n v="933"/>
    <n v="166"/>
    <n v="0.17792068595927116"/>
    <n v="5"/>
    <x v="1"/>
    <x v="5"/>
    <x v="126"/>
    <s v="Sep-18"/>
    <x v="112"/>
    <x v="1"/>
    <s v="Mumbai"/>
  </r>
  <r>
    <s v="B-25778"/>
    <n v="724"/>
    <n v="-447"/>
    <n v="-0.61740331491712708"/>
    <n v="4"/>
    <x v="2"/>
    <x v="3"/>
    <x v="126"/>
    <s v="Sep-18"/>
    <x v="112"/>
    <x v="1"/>
    <s v="Mumbai"/>
  </r>
  <r>
    <s v="B-25779"/>
    <n v="1361"/>
    <n v="-980"/>
    <n v="-0.7200587803085966"/>
    <n v="3"/>
    <x v="0"/>
    <x v="12"/>
    <x v="127"/>
    <s v="Sep-18"/>
    <x v="163"/>
    <x v="2"/>
    <s v="Indore"/>
  </r>
  <r>
    <s v="B-25780"/>
    <n v="137"/>
    <n v="-41"/>
    <n v="-0.29927007299270075"/>
    <n v="3"/>
    <x v="2"/>
    <x v="4"/>
    <x v="128"/>
    <s v="Sep-18"/>
    <x v="164"/>
    <x v="17"/>
    <s v="Hyderabad"/>
  </r>
  <r>
    <s v="B-25781"/>
    <n v="60"/>
    <n v="-49"/>
    <n v="-0.81666666666666665"/>
    <n v="8"/>
    <x v="1"/>
    <x v="2"/>
    <x v="129"/>
    <s v="Sep-18"/>
    <x v="165"/>
    <x v="0"/>
    <s v="Ahmedabad"/>
  </r>
  <r>
    <s v="B-25781"/>
    <n v="30"/>
    <n v="-25"/>
    <n v="-0.83333333333333337"/>
    <n v="2"/>
    <x v="1"/>
    <x v="9"/>
    <x v="129"/>
    <s v="Sep-18"/>
    <x v="165"/>
    <x v="0"/>
    <s v="Ahmedabad"/>
  </r>
  <r>
    <s v="B-25781"/>
    <n v="767"/>
    <n v="-353"/>
    <n v="-0.46023468057366362"/>
    <n v="5"/>
    <x v="1"/>
    <x v="6"/>
    <x v="129"/>
    <s v="Sep-18"/>
    <x v="165"/>
    <x v="0"/>
    <s v="Ahmedabad"/>
  </r>
  <r>
    <s v="B-25781"/>
    <n v="45"/>
    <n v="-28"/>
    <n v="-0.62222222222222223"/>
    <n v="2"/>
    <x v="1"/>
    <x v="1"/>
    <x v="129"/>
    <s v="Sep-18"/>
    <x v="165"/>
    <x v="0"/>
    <s v="Ahmedabad"/>
  </r>
  <r>
    <s v="B-25781"/>
    <n v="25"/>
    <n v="-1"/>
    <n v="-0.04"/>
    <n v="4"/>
    <x v="1"/>
    <x v="8"/>
    <x v="129"/>
    <s v="Sep-18"/>
    <x v="165"/>
    <x v="0"/>
    <s v="Ahmedabad"/>
  </r>
  <r>
    <s v="B-25781"/>
    <n v="584"/>
    <n v="-444"/>
    <n v="-0.76027397260273977"/>
    <n v="7"/>
    <x v="2"/>
    <x v="13"/>
    <x v="129"/>
    <s v="Sep-18"/>
    <x v="165"/>
    <x v="0"/>
    <s v="Ahmedabad"/>
  </r>
  <r>
    <s v="B-25782"/>
    <n v="335"/>
    <n v="-22"/>
    <n v="-6.5671641791044774E-2"/>
    <n v="7"/>
    <x v="0"/>
    <x v="7"/>
    <x v="130"/>
    <s v="Sep-18"/>
    <x v="79"/>
    <x v="1"/>
    <s v="Mumbai"/>
  </r>
  <r>
    <s v="B-25783"/>
    <n v="25"/>
    <n v="-11"/>
    <n v="-0.44"/>
    <n v="1"/>
    <x v="1"/>
    <x v="1"/>
    <x v="130"/>
    <s v="Sep-18"/>
    <x v="166"/>
    <x v="2"/>
    <s v="Indore"/>
  </r>
  <r>
    <s v="B-25783"/>
    <n v="30"/>
    <n v="-6"/>
    <n v="-0.2"/>
    <n v="2"/>
    <x v="1"/>
    <x v="2"/>
    <x v="130"/>
    <s v="Sep-18"/>
    <x v="166"/>
    <x v="2"/>
    <s v="Indore"/>
  </r>
  <r>
    <s v="B-25783"/>
    <n v="33"/>
    <n v="-10"/>
    <n v="-0.30303030303030304"/>
    <n v="6"/>
    <x v="1"/>
    <x v="11"/>
    <x v="130"/>
    <s v="Sep-18"/>
    <x v="166"/>
    <x v="2"/>
    <s v="Indore"/>
  </r>
  <r>
    <s v="B-25783"/>
    <n v="21"/>
    <n v="-17"/>
    <n v="-0.80952380952380953"/>
    <n v="3"/>
    <x v="1"/>
    <x v="10"/>
    <x v="130"/>
    <s v="Sep-18"/>
    <x v="166"/>
    <x v="2"/>
    <s v="Indore"/>
  </r>
  <r>
    <s v="B-25783"/>
    <n v="26"/>
    <n v="2"/>
    <n v="7.6923076923076927E-2"/>
    <n v="2"/>
    <x v="1"/>
    <x v="2"/>
    <x v="130"/>
    <s v="Sep-18"/>
    <x v="166"/>
    <x v="2"/>
    <s v="Indore"/>
  </r>
  <r>
    <s v="B-25784"/>
    <n v="15"/>
    <n v="4"/>
    <n v="0.26666666666666666"/>
    <n v="1"/>
    <x v="1"/>
    <x v="2"/>
    <x v="130"/>
    <s v="Sep-18"/>
    <x v="167"/>
    <x v="3"/>
    <s v="Jaipur"/>
  </r>
  <r>
    <s v="B-25785"/>
    <n v="595"/>
    <n v="292"/>
    <n v="0.49075630252100838"/>
    <n v="3"/>
    <x v="1"/>
    <x v="5"/>
    <x v="130"/>
    <s v="Sep-18"/>
    <x v="131"/>
    <x v="4"/>
    <s v="Kolkata"/>
  </r>
  <r>
    <s v="B-25785"/>
    <n v="45"/>
    <n v="0"/>
    <n v="0"/>
    <n v="2"/>
    <x v="1"/>
    <x v="9"/>
    <x v="130"/>
    <s v="Sep-18"/>
    <x v="131"/>
    <x v="4"/>
    <s v="Kolkata"/>
  </r>
  <r>
    <s v="B-25785"/>
    <n v="192"/>
    <n v="-146"/>
    <n v="-0.76041666666666663"/>
    <n v="3"/>
    <x v="1"/>
    <x v="5"/>
    <x v="130"/>
    <s v="Sep-18"/>
    <x v="131"/>
    <x v="4"/>
    <s v="Kolkata"/>
  </r>
  <r>
    <s v="B-25785"/>
    <n v="26"/>
    <n v="-25"/>
    <n v="-0.96153846153846156"/>
    <n v="3"/>
    <x v="1"/>
    <x v="5"/>
    <x v="130"/>
    <s v="Sep-18"/>
    <x v="131"/>
    <x v="4"/>
    <s v="Kolkata"/>
  </r>
  <r>
    <s v="B-25786"/>
    <n v="1854"/>
    <n v="433"/>
    <n v="0.23354908306364616"/>
    <n v="5"/>
    <x v="0"/>
    <x v="0"/>
    <x v="131"/>
    <s v="Sep-18"/>
    <x v="168"/>
    <x v="5"/>
    <s v="Bangalore"/>
  </r>
  <r>
    <s v="B-25786"/>
    <n v="623"/>
    <n v="-192"/>
    <n v="-0.30818619582664525"/>
    <n v="3"/>
    <x v="0"/>
    <x v="12"/>
    <x v="131"/>
    <s v="Sep-18"/>
    <x v="168"/>
    <x v="5"/>
    <s v="Bangalore"/>
  </r>
  <r>
    <s v="B-25786"/>
    <n v="44"/>
    <n v="-34"/>
    <n v="-0.77272727272727271"/>
    <n v="3"/>
    <x v="1"/>
    <x v="1"/>
    <x v="131"/>
    <s v="Sep-18"/>
    <x v="168"/>
    <x v="5"/>
    <s v="Bangalore"/>
  </r>
  <r>
    <s v="B-25786"/>
    <n v="17"/>
    <n v="-11"/>
    <n v="-0.6470588235294118"/>
    <n v="3"/>
    <x v="1"/>
    <x v="16"/>
    <x v="131"/>
    <s v="Sep-18"/>
    <x v="168"/>
    <x v="5"/>
    <s v="Bangalore"/>
  </r>
  <r>
    <s v="B-25787"/>
    <n v="556"/>
    <n v="-209"/>
    <n v="-0.37589928057553956"/>
    <n v="7"/>
    <x v="1"/>
    <x v="5"/>
    <x v="132"/>
    <s v="Sep-18"/>
    <x v="169"/>
    <x v="6"/>
    <s v="Kashmir"/>
  </r>
  <r>
    <s v="B-25787"/>
    <n v="40"/>
    <n v="-12"/>
    <n v="-0.3"/>
    <n v="3"/>
    <x v="1"/>
    <x v="10"/>
    <x v="132"/>
    <s v="Sep-18"/>
    <x v="169"/>
    <x v="6"/>
    <s v="Kashmir"/>
  </r>
  <r>
    <s v="B-25787"/>
    <n v="229"/>
    <n v="-41"/>
    <n v="-0.17903930131004367"/>
    <n v="8"/>
    <x v="2"/>
    <x v="14"/>
    <x v="132"/>
    <s v="Sep-18"/>
    <x v="169"/>
    <x v="6"/>
    <s v="Kashmir"/>
  </r>
  <r>
    <s v="B-25787"/>
    <n v="140"/>
    <n v="-58"/>
    <n v="-0.41428571428571431"/>
    <n v="4"/>
    <x v="0"/>
    <x v="15"/>
    <x v="132"/>
    <s v="Sep-18"/>
    <x v="169"/>
    <x v="6"/>
    <s v="Kashmir"/>
  </r>
  <r>
    <s v="B-25788"/>
    <n v="12"/>
    <n v="3"/>
    <n v="0.25"/>
    <n v="1"/>
    <x v="1"/>
    <x v="1"/>
    <x v="133"/>
    <s v="Sep-18"/>
    <x v="170"/>
    <x v="7"/>
    <s v="Chennai"/>
  </r>
  <r>
    <s v="B-25789"/>
    <n v="30"/>
    <n v="0"/>
    <n v="0"/>
    <n v="1"/>
    <x v="1"/>
    <x v="8"/>
    <x v="134"/>
    <s v="Sep-18"/>
    <x v="145"/>
    <x v="8"/>
    <s v="Lucknow"/>
  </r>
  <r>
    <s v="B-25789"/>
    <n v="313"/>
    <n v="-13"/>
    <n v="-4.1533546325878593E-2"/>
    <n v="5"/>
    <x v="0"/>
    <x v="0"/>
    <x v="134"/>
    <s v="Sep-18"/>
    <x v="145"/>
    <x v="8"/>
    <s v="Lucknow"/>
  </r>
  <r>
    <s v="B-25789"/>
    <n v="67"/>
    <n v="-86"/>
    <n v="-1.2835820895522387"/>
    <n v="9"/>
    <x v="0"/>
    <x v="15"/>
    <x v="134"/>
    <s v="Sep-18"/>
    <x v="145"/>
    <x v="8"/>
    <s v="Lucknow"/>
  </r>
  <r>
    <s v="B-25790"/>
    <n v="42"/>
    <n v="-3"/>
    <n v="-7.1428571428571425E-2"/>
    <n v="1"/>
    <x v="2"/>
    <x v="3"/>
    <x v="135"/>
    <s v="Sep-18"/>
    <x v="171"/>
    <x v="9"/>
    <s v="Patna"/>
  </r>
  <r>
    <s v="B-25791"/>
    <n v="253"/>
    <n v="-63"/>
    <n v="-0.24901185770750989"/>
    <n v="2"/>
    <x v="1"/>
    <x v="5"/>
    <x v="136"/>
    <s v="Sep-18"/>
    <x v="172"/>
    <x v="10"/>
    <s v="Thiruvananthapuram"/>
  </r>
  <r>
    <s v="B-25791"/>
    <n v="565"/>
    <n v="66"/>
    <n v="0.1168141592920354"/>
    <n v="7"/>
    <x v="1"/>
    <x v="5"/>
    <x v="136"/>
    <s v="Sep-18"/>
    <x v="172"/>
    <x v="10"/>
    <s v="Thiruvananthapuram"/>
  </r>
  <r>
    <s v="B-25791"/>
    <n v="175"/>
    <n v="77"/>
    <n v="0.44"/>
    <n v="3"/>
    <x v="1"/>
    <x v="5"/>
    <x v="136"/>
    <s v="Sep-18"/>
    <x v="172"/>
    <x v="10"/>
    <s v="Thiruvananthapuram"/>
  </r>
  <r>
    <s v="B-25792"/>
    <n v="74"/>
    <n v="-25"/>
    <n v="-0.33783783783783783"/>
    <n v="3"/>
    <x v="1"/>
    <x v="1"/>
    <x v="136"/>
    <s v="Sep-18"/>
    <x v="168"/>
    <x v="1"/>
    <s v="Mumbai"/>
  </r>
  <r>
    <s v="B-25793"/>
    <n v="40"/>
    <n v="-33"/>
    <n v="-0.82499999999999996"/>
    <n v="5"/>
    <x v="1"/>
    <x v="2"/>
    <x v="136"/>
    <s v="Sep-18"/>
    <x v="173"/>
    <x v="2"/>
    <s v="Indore"/>
  </r>
  <r>
    <s v="B-25793"/>
    <n v="63"/>
    <n v="-24"/>
    <n v="-0.38095238095238093"/>
    <n v="6"/>
    <x v="1"/>
    <x v="8"/>
    <x v="136"/>
    <s v="Sep-18"/>
    <x v="173"/>
    <x v="2"/>
    <s v="Indore"/>
  </r>
  <r>
    <s v="B-25793"/>
    <n v="60"/>
    <n v="-12"/>
    <n v="-0.2"/>
    <n v="4"/>
    <x v="1"/>
    <x v="2"/>
    <x v="136"/>
    <s v="Sep-18"/>
    <x v="173"/>
    <x v="2"/>
    <s v="Indore"/>
  </r>
  <r>
    <s v="B-25793"/>
    <n v="257"/>
    <n v="-252"/>
    <n v="-0.98054474708171202"/>
    <n v="4"/>
    <x v="1"/>
    <x v="5"/>
    <x v="136"/>
    <s v="Sep-18"/>
    <x v="173"/>
    <x v="2"/>
    <s v="Indore"/>
  </r>
  <r>
    <s v="B-25793"/>
    <n v="24"/>
    <n v="-1"/>
    <n v="-4.1666666666666664E-2"/>
    <n v="4"/>
    <x v="1"/>
    <x v="16"/>
    <x v="136"/>
    <s v="Sep-18"/>
    <x v="173"/>
    <x v="2"/>
    <s v="Indore"/>
  </r>
  <r>
    <s v="B-25793"/>
    <n v="18"/>
    <n v="1"/>
    <n v="5.5555555555555552E-2"/>
    <n v="3"/>
    <x v="1"/>
    <x v="2"/>
    <x v="136"/>
    <s v="Sep-18"/>
    <x v="173"/>
    <x v="2"/>
    <s v="Indore"/>
  </r>
  <r>
    <s v="B-25793"/>
    <n v="1402"/>
    <n v="109"/>
    <n v="7.7746077032810265E-2"/>
    <n v="11"/>
    <x v="1"/>
    <x v="5"/>
    <x v="136"/>
    <s v="Sep-18"/>
    <x v="173"/>
    <x v="2"/>
    <s v="Indore"/>
  </r>
  <r>
    <s v="B-25794"/>
    <n v="176"/>
    <n v="37"/>
    <n v="0.21022727272727273"/>
    <n v="6"/>
    <x v="2"/>
    <x v="14"/>
    <x v="136"/>
    <s v="Sep-18"/>
    <x v="47"/>
    <x v="13"/>
    <s v="Simla"/>
  </r>
  <r>
    <s v="B-25795"/>
    <n v="276"/>
    <n v="-21"/>
    <n v="-7.6086956521739135E-2"/>
    <n v="2"/>
    <x v="2"/>
    <x v="4"/>
    <x v="136"/>
    <s v="Sep-18"/>
    <x v="174"/>
    <x v="14"/>
    <s v="Gangtok"/>
  </r>
  <r>
    <s v="B-25796"/>
    <n v="37"/>
    <n v="-6"/>
    <n v="-0.16216216216216217"/>
    <n v="1"/>
    <x v="1"/>
    <x v="5"/>
    <x v="136"/>
    <s v="Sep-18"/>
    <x v="175"/>
    <x v="1"/>
    <s v="Mumbai"/>
  </r>
  <r>
    <s v="B-25796"/>
    <n v="28"/>
    <n v="1"/>
    <n v="3.5714285714285712E-2"/>
    <n v="1"/>
    <x v="2"/>
    <x v="14"/>
    <x v="136"/>
    <s v="Sep-18"/>
    <x v="175"/>
    <x v="1"/>
    <s v="Mumbai"/>
  </r>
  <r>
    <s v="B-25796"/>
    <n v="239"/>
    <n v="-162"/>
    <n v="-0.67782426778242677"/>
    <n v="5"/>
    <x v="0"/>
    <x v="7"/>
    <x v="136"/>
    <s v="Sep-18"/>
    <x v="175"/>
    <x v="1"/>
    <s v="Mumbai"/>
  </r>
  <r>
    <s v="B-25796"/>
    <n v="78"/>
    <n v="-64"/>
    <n v="-0.82051282051282048"/>
    <n v="7"/>
    <x v="1"/>
    <x v="1"/>
    <x v="136"/>
    <s v="Sep-18"/>
    <x v="175"/>
    <x v="1"/>
    <s v="Mumbai"/>
  </r>
  <r>
    <s v="B-25796"/>
    <n v="632"/>
    <n v="-316"/>
    <n v="-0.5"/>
    <n v="6"/>
    <x v="1"/>
    <x v="5"/>
    <x v="136"/>
    <s v="Sep-18"/>
    <x v="175"/>
    <x v="1"/>
    <s v="Mumbai"/>
  </r>
  <r>
    <s v="B-25796"/>
    <n v="559"/>
    <n v="-19"/>
    <n v="-3.3989266547406083E-2"/>
    <n v="2"/>
    <x v="1"/>
    <x v="6"/>
    <x v="136"/>
    <s v="Sep-18"/>
    <x v="175"/>
    <x v="1"/>
    <s v="Mumbai"/>
  </r>
  <r>
    <s v="B-25796"/>
    <n v="148"/>
    <n v="0"/>
    <n v="0"/>
    <n v="3"/>
    <x v="1"/>
    <x v="5"/>
    <x v="136"/>
    <s v="Sep-18"/>
    <x v="175"/>
    <x v="1"/>
    <s v="Mumbai"/>
  </r>
  <r>
    <s v="B-25797"/>
    <n v="976"/>
    <n v="293"/>
    <n v="0.30020491803278687"/>
    <n v="4"/>
    <x v="2"/>
    <x v="14"/>
    <x v="137"/>
    <s v="Sep-18"/>
    <x v="176"/>
    <x v="2"/>
    <s v="Indore"/>
  </r>
  <r>
    <s v="B-25797"/>
    <n v="148"/>
    <n v="-101"/>
    <n v="-0.68243243243243246"/>
    <n v="2"/>
    <x v="0"/>
    <x v="0"/>
    <x v="137"/>
    <s v="Sep-18"/>
    <x v="176"/>
    <x v="2"/>
    <s v="Indore"/>
  </r>
  <r>
    <s v="B-25797"/>
    <n v="413"/>
    <n v="-314"/>
    <n v="-0.76029055690072644"/>
    <n v="9"/>
    <x v="0"/>
    <x v="7"/>
    <x v="137"/>
    <s v="Sep-18"/>
    <x v="176"/>
    <x v="2"/>
    <s v="Indore"/>
  </r>
  <r>
    <s v="B-25797"/>
    <n v="89"/>
    <n v="-4"/>
    <n v="-4.49438202247191E-2"/>
    <n v="5"/>
    <x v="1"/>
    <x v="5"/>
    <x v="137"/>
    <s v="Sep-18"/>
    <x v="176"/>
    <x v="2"/>
    <s v="Indore"/>
  </r>
  <r>
    <s v="B-25797"/>
    <n v="1630"/>
    <n v="-802"/>
    <n v="-0.4920245398773006"/>
    <n v="5"/>
    <x v="0"/>
    <x v="12"/>
    <x v="137"/>
    <s v="Sep-18"/>
    <x v="176"/>
    <x v="2"/>
    <s v="Indore"/>
  </r>
  <r>
    <s v="B-25797"/>
    <n v="31"/>
    <n v="1"/>
    <n v="3.2258064516129031E-2"/>
    <n v="2"/>
    <x v="1"/>
    <x v="2"/>
    <x v="137"/>
    <s v="Sep-18"/>
    <x v="176"/>
    <x v="2"/>
    <s v="Indore"/>
  </r>
  <r>
    <s v="B-25798"/>
    <n v="379"/>
    <n v="63"/>
    <n v="0.16622691292875991"/>
    <n v="2"/>
    <x v="1"/>
    <x v="5"/>
    <x v="138"/>
    <s v="Oct-18"/>
    <x v="177"/>
    <x v="17"/>
    <s v="Hyderabad"/>
  </r>
  <r>
    <s v="B-25798"/>
    <n v="448"/>
    <n v="148"/>
    <n v="0.33035714285714285"/>
    <n v="2"/>
    <x v="2"/>
    <x v="13"/>
    <x v="138"/>
    <s v="Oct-18"/>
    <x v="177"/>
    <x v="17"/>
    <s v="Hyderabad"/>
  </r>
  <r>
    <s v="B-25798"/>
    <n v="2830"/>
    <n v="-1981"/>
    <n v="-0.7"/>
    <n v="13"/>
    <x v="0"/>
    <x v="0"/>
    <x v="138"/>
    <s v="Oct-18"/>
    <x v="177"/>
    <x v="17"/>
    <s v="Hyderabad"/>
  </r>
  <r>
    <s v="B-25798"/>
    <n v="47"/>
    <n v="-3"/>
    <n v="-6.3829787234042548E-2"/>
    <n v="2"/>
    <x v="1"/>
    <x v="1"/>
    <x v="138"/>
    <s v="Oct-18"/>
    <x v="177"/>
    <x v="17"/>
    <s v="Hyderabad"/>
  </r>
  <r>
    <s v="B-25798"/>
    <n v="38"/>
    <n v="-13"/>
    <n v="-0.34210526315789475"/>
    <n v="3"/>
    <x v="1"/>
    <x v="1"/>
    <x v="138"/>
    <s v="Oct-18"/>
    <x v="177"/>
    <x v="17"/>
    <s v="Hyderabad"/>
  </r>
  <r>
    <s v="B-25798"/>
    <n v="61"/>
    <n v="-50"/>
    <n v="-0.81967213114754101"/>
    <n v="4"/>
    <x v="1"/>
    <x v="2"/>
    <x v="138"/>
    <s v="Oct-18"/>
    <x v="177"/>
    <x v="17"/>
    <s v="Hyderabad"/>
  </r>
  <r>
    <s v="B-25799"/>
    <n v="205"/>
    <n v="-119"/>
    <n v="-0.58048780487804874"/>
    <n v="3"/>
    <x v="1"/>
    <x v="5"/>
    <x v="138"/>
    <s v="Oct-18"/>
    <x v="178"/>
    <x v="0"/>
    <s v="Ahmedabad"/>
  </r>
  <r>
    <s v="B-25799"/>
    <n v="47"/>
    <n v="-27"/>
    <n v="-0.57446808510638303"/>
    <n v="4"/>
    <x v="1"/>
    <x v="5"/>
    <x v="138"/>
    <s v="Oct-18"/>
    <x v="178"/>
    <x v="0"/>
    <s v="Ahmedabad"/>
  </r>
  <r>
    <s v="B-25799"/>
    <n v="45"/>
    <n v="-15"/>
    <n v="-0.33333333333333331"/>
    <n v="2"/>
    <x v="0"/>
    <x v="7"/>
    <x v="138"/>
    <s v="Oct-18"/>
    <x v="178"/>
    <x v="0"/>
    <s v="Ahmedabad"/>
  </r>
  <r>
    <s v="B-25799"/>
    <n v="70"/>
    <n v="-64"/>
    <n v="-0.91428571428571426"/>
    <n v="5"/>
    <x v="1"/>
    <x v="1"/>
    <x v="138"/>
    <s v="Oct-18"/>
    <x v="178"/>
    <x v="0"/>
    <s v="Ahmedabad"/>
  </r>
  <r>
    <s v="B-25800"/>
    <n v="122"/>
    <n v="-66"/>
    <n v="-0.54098360655737709"/>
    <n v="9"/>
    <x v="2"/>
    <x v="14"/>
    <x v="138"/>
    <s v="Oct-18"/>
    <x v="179"/>
    <x v="1"/>
    <s v="Pune"/>
  </r>
  <r>
    <s v="B-25800"/>
    <n v="21"/>
    <n v="-6"/>
    <n v="-0.2857142857142857"/>
    <n v="3"/>
    <x v="1"/>
    <x v="11"/>
    <x v="138"/>
    <s v="Oct-18"/>
    <x v="179"/>
    <x v="1"/>
    <s v="Pune"/>
  </r>
  <r>
    <s v="B-25800"/>
    <n v="45"/>
    <n v="12"/>
    <n v="0.26666666666666666"/>
    <n v="7"/>
    <x v="1"/>
    <x v="2"/>
    <x v="138"/>
    <s v="Oct-18"/>
    <x v="179"/>
    <x v="1"/>
    <s v="Pune"/>
  </r>
  <r>
    <s v="B-25801"/>
    <n v="64"/>
    <n v="6"/>
    <n v="9.375E-2"/>
    <n v="4"/>
    <x v="1"/>
    <x v="5"/>
    <x v="138"/>
    <s v="Oct-18"/>
    <x v="180"/>
    <x v="2"/>
    <s v="Bhopal"/>
  </r>
  <r>
    <s v="B-25801"/>
    <n v="49"/>
    <n v="-31"/>
    <n v="-0.63265306122448983"/>
    <n v="2"/>
    <x v="1"/>
    <x v="1"/>
    <x v="138"/>
    <s v="Oct-18"/>
    <x v="180"/>
    <x v="2"/>
    <s v="Bhopal"/>
  </r>
  <r>
    <s v="B-25801"/>
    <n v="21"/>
    <n v="-10"/>
    <n v="-0.47619047619047616"/>
    <n v="4"/>
    <x v="1"/>
    <x v="11"/>
    <x v="138"/>
    <s v="Oct-18"/>
    <x v="180"/>
    <x v="2"/>
    <s v="Bhopal"/>
  </r>
  <r>
    <s v="B-25801"/>
    <n v="15"/>
    <n v="-2"/>
    <n v="-0.13333333333333333"/>
    <n v="1"/>
    <x v="1"/>
    <x v="9"/>
    <x v="138"/>
    <s v="Oct-18"/>
    <x v="180"/>
    <x v="2"/>
    <s v="Bhopal"/>
  </r>
  <r>
    <s v="B-25802"/>
    <n v="27"/>
    <n v="-7"/>
    <n v="-0.25925925925925924"/>
    <n v="5"/>
    <x v="1"/>
    <x v="5"/>
    <x v="139"/>
    <s v="Oct-18"/>
    <x v="181"/>
    <x v="1"/>
    <s v="Mumbai"/>
  </r>
  <r>
    <s v="B-25802"/>
    <n v="633"/>
    <n v="-633"/>
    <n v="-1"/>
    <n v="11"/>
    <x v="2"/>
    <x v="14"/>
    <x v="139"/>
    <s v="Oct-18"/>
    <x v="181"/>
    <x v="1"/>
    <s v="Mumbai"/>
  </r>
  <r>
    <s v="B-25802"/>
    <n v="13"/>
    <n v="-9"/>
    <n v="-0.69230769230769229"/>
    <n v="2"/>
    <x v="1"/>
    <x v="16"/>
    <x v="139"/>
    <s v="Oct-18"/>
    <x v="181"/>
    <x v="1"/>
    <s v="Mumbai"/>
  </r>
  <r>
    <s v="B-25802"/>
    <n v="23"/>
    <n v="-3"/>
    <n v="-0.13043478260869565"/>
    <n v="1"/>
    <x v="1"/>
    <x v="10"/>
    <x v="139"/>
    <s v="Oct-18"/>
    <x v="181"/>
    <x v="1"/>
    <s v="Mumbai"/>
  </r>
  <r>
    <s v="B-25802"/>
    <n v="95"/>
    <n v="5"/>
    <n v="5.2631578947368418E-2"/>
    <n v="2"/>
    <x v="1"/>
    <x v="1"/>
    <x v="139"/>
    <s v="Oct-18"/>
    <x v="181"/>
    <x v="1"/>
    <s v="Mumbai"/>
  </r>
  <r>
    <s v="B-25803"/>
    <n v="106"/>
    <n v="12"/>
    <n v="0.11320754716981132"/>
    <n v="3"/>
    <x v="1"/>
    <x v="6"/>
    <x v="139"/>
    <s v="Oct-18"/>
    <x v="182"/>
    <x v="2"/>
    <s v="Indore"/>
  </r>
  <r>
    <s v="B-25803"/>
    <n v="269"/>
    <n v="91"/>
    <n v="0.33828996282527879"/>
    <n v="1"/>
    <x v="2"/>
    <x v="3"/>
    <x v="139"/>
    <s v="Oct-18"/>
    <x v="182"/>
    <x v="2"/>
    <s v="Indore"/>
  </r>
  <r>
    <s v="B-25803"/>
    <n v="536"/>
    <n v="91"/>
    <n v="0.16977611940298507"/>
    <n v="1"/>
    <x v="1"/>
    <x v="6"/>
    <x v="139"/>
    <s v="Oct-18"/>
    <x v="182"/>
    <x v="2"/>
    <s v="Indore"/>
  </r>
  <r>
    <s v="B-25803"/>
    <n v="137"/>
    <n v="5"/>
    <n v="3.6496350364963501E-2"/>
    <n v="5"/>
    <x v="1"/>
    <x v="10"/>
    <x v="139"/>
    <s v="Oct-18"/>
    <x v="182"/>
    <x v="2"/>
    <s v="Indore"/>
  </r>
  <r>
    <s v="B-25803"/>
    <n v="757"/>
    <n v="371"/>
    <n v="0.49009247027741082"/>
    <n v="2"/>
    <x v="2"/>
    <x v="13"/>
    <x v="139"/>
    <s v="Oct-18"/>
    <x v="182"/>
    <x v="2"/>
    <s v="Indore"/>
  </r>
  <r>
    <s v="B-25803"/>
    <n v="511"/>
    <n v="194"/>
    <n v="0.37964774951076319"/>
    <n v="3"/>
    <x v="0"/>
    <x v="7"/>
    <x v="139"/>
    <s v="Oct-18"/>
    <x v="182"/>
    <x v="2"/>
    <s v="Indore"/>
  </r>
  <r>
    <s v="B-25803"/>
    <n v="185"/>
    <n v="48"/>
    <n v="0.25945945945945947"/>
    <n v="4"/>
    <x v="1"/>
    <x v="1"/>
    <x v="139"/>
    <s v="Oct-18"/>
    <x v="182"/>
    <x v="2"/>
    <s v="Indore"/>
  </r>
  <r>
    <s v="B-25803"/>
    <n v="765"/>
    <n v="8"/>
    <n v="1.045751633986928E-2"/>
    <n v="6"/>
    <x v="1"/>
    <x v="5"/>
    <x v="139"/>
    <s v="Oct-18"/>
    <x v="182"/>
    <x v="2"/>
    <s v="Indore"/>
  </r>
  <r>
    <s v="B-25804"/>
    <n v="156"/>
    <n v="36"/>
    <n v="0.23076923076923078"/>
    <n v="5"/>
    <x v="1"/>
    <x v="9"/>
    <x v="139"/>
    <s v="Oct-18"/>
    <x v="183"/>
    <x v="5"/>
    <s v="Bangalore"/>
  </r>
  <r>
    <s v="B-25804"/>
    <n v="321"/>
    <n v="26"/>
    <n v="8.0996884735202487E-2"/>
    <n v="3"/>
    <x v="2"/>
    <x v="13"/>
    <x v="139"/>
    <s v="Oct-18"/>
    <x v="183"/>
    <x v="5"/>
    <s v="Bangalore"/>
  </r>
  <r>
    <s v="B-25805"/>
    <n v="112"/>
    <n v="15"/>
    <n v="0.13392857142857142"/>
    <n v="2"/>
    <x v="0"/>
    <x v="7"/>
    <x v="139"/>
    <s v="Oct-18"/>
    <x v="184"/>
    <x v="1"/>
    <s v="Mumbai"/>
  </r>
  <r>
    <s v="B-25806"/>
    <n v="632"/>
    <n v="-114"/>
    <n v="-0.18037974683544303"/>
    <n v="4"/>
    <x v="0"/>
    <x v="12"/>
    <x v="140"/>
    <s v="Oct-18"/>
    <x v="185"/>
    <x v="2"/>
    <s v="Indore"/>
  </r>
  <r>
    <s v="B-25807"/>
    <n v="16"/>
    <n v="6"/>
    <n v="0.375"/>
    <n v="1"/>
    <x v="1"/>
    <x v="1"/>
    <x v="141"/>
    <s v="Oct-18"/>
    <x v="186"/>
    <x v="8"/>
    <s v="Lucknow"/>
  </r>
  <r>
    <s v="B-25808"/>
    <n v="63"/>
    <n v="17"/>
    <n v="0.26984126984126983"/>
    <n v="6"/>
    <x v="1"/>
    <x v="11"/>
    <x v="142"/>
    <s v="Oct-18"/>
    <x v="187"/>
    <x v="9"/>
    <s v="Patna"/>
  </r>
  <r>
    <s v="B-25808"/>
    <n v="146"/>
    <n v="-63"/>
    <n v="-0.4315068493150685"/>
    <n v="3"/>
    <x v="2"/>
    <x v="3"/>
    <x v="142"/>
    <s v="Oct-18"/>
    <x v="187"/>
    <x v="9"/>
    <s v="Patna"/>
  </r>
  <r>
    <s v="B-25808"/>
    <n v="59"/>
    <n v="21"/>
    <n v="0.3559322033898305"/>
    <n v="2"/>
    <x v="1"/>
    <x v="1"/>
    <x v="142"/>
    <s v="Oct-18"/>
    <x v="187"/>
    <x v="9"/>
    <s v="Patna"/>
  </r>
  <r>
    <s v="B-25808"/>
    <n v="210"/>
    <n v="50"/>
    <n v="0.23809523809523808"/>
    <n v="4"/>
    <x v="1"/>
    <x v="2"/>
    <x v="142"/>
    <s v="Oct-18"/>
    <x v="187"/>
    <x v="9"/>
    <s v="Patna"/>
  </r>
  <r>
    <s v="B-25809"/>
    <n v="154"/>
    <n v="54"/>
    <n v="0.35064935064935066"/>
    <n v="3"/>
    <x v="1"/>
    <x v="2"/>
    <x v="143"/>
    <s v="Oct-18"/>
    <x v="188"/>
    <x v="10"/>
    <s v="Thiruvananthapuram"/>
  </r>
  <r>
    <s v="B-25809"/>
    <n v="53"/>
    <n v="24"/>
    <n v="0.45283018867924529"/>
    <n v="1"/>
    <x v="1"/>
    <x v="2"/>
    <x v="143"/>
    <s v="Oct-18"/>
    <x v="188"/>
    <x v="10"/>
    <s v="Thiruvananthapuram"/>
  </r>
  <r>
    <s v="B-25810"/>
    <n v="26"/>
    <n v="10"/>
    <n v="0.38461538461538464"/>
    <n v="4"/>
    <x v="1"/>
    <x v="2"/>
    <x v="144"/>
    <s v="Oct-18"/>
    <x v="189"/>
    <x v="11"/>
    <s v="Chandigarh"/>
  </r>
  <r>
    <s v="B-25810"/>
    <n v="1120"/>
    <n v="199"/>
    <n v="0.17767857142857144"/>
    <n v="6"/>
    <x v="1"/>
    <x v="5"/>
    <x v="144"/>
    <s v="Oct-18"/>
    <x v="189"/>
    <x v="11"/>
    <s v="Chandigarh"/>
  </r>
  <r>
    <s v="B-25810"/>
    <n v="45"/>
    <n v="6"/>
    <n v="0.13333333333333333"/>
    <n v="3"/>
    <x v="1"/>
    <x v="10"/>
    <x v="144"/>
    <s v="Oct-18"/>
    <x v="189"/>
    <x v="11"/>
    <s v="Chandigarh"/>
  </r>
  <r>
    <s v="B-25810"/>
    <n v="307"/>
    <n v="74"/>
    <n v="0.24104234527687296"/>
    <n v="3"/>
    <x v="2"/>
    <x v="14"/>
    <x v="144"/>
    <s v="Oct-18"/>
    <x v="189"/>
    <x v="11"/>
    <s v="Chandigarh"/>
  </r>
  <r>
    <s v="B-25810"/>
    <n v="92"/>
    <n v="42"/>
    <n v="0.45652173913043476"/>
    <n v="2"/>
    <x v="1"/>
    <x v="1"/>
    <x v="144"/>
    <s v="Oct-18"/>
    <x v="189"/>
    <x v="11"/>
    <s v="Chandigarh"/>
  </r>
  <r>
    <s v="B-25810"/>
    <n v="29"/>
    <n v="8"/>
    <n v="0.27586206896551724"/>
    <n v="5"/>
    <x v="1"/>
    <x v="2"/>
    <x v="144"/>
    <s v="Oct-18"/>
    <x v="189"/>
    <x v="11"/>
    <s v="Chandigarh"/>
  </r>
  <r>
    <s v="B-25811"/>
    <n v="126"/>
    <n v="52"/>
    <n v="0.41269841269841268"/>
    <n v="4"/>
    <x v="1"/>
    <x v="2"/>
    <x v="144"/>
    <s v="Oct-18"/>
    <x v="190"/>
    <x v="1"/>
    <s v="Mumbai"/>
  </r>
  <r>
    <s v="B-25812"/>
    <n v="259"/>
    <n v="47"/>
    <n v="0.18146718146718147"/>
    <n v="5"/>
    <x v="1"/>
    <x v="2"/>
    <x v="144"/>
    <s v="Oct-18"/>
    <x v="191"/>
    <x v="2"/>
    <s v="Indore"/>
  </r>
  <r>
    <s v="B-25813"/>
    <n v="911"/>
    <n v="202"/>
    <n v="0.22173435784851811"/>
    <n v="7"/>
    <x v="0"/>
    <x v="7"/>
    <x v="144"/>
    <s v="Oct-18"/>
    <x v="192"/>
    <x v="1"/>
    <s v="Mumbai"/>
  </r>
  <r>
    <s v="B-25814"/>
    <n v="118"/>
    <n v="35"/>
    <n v="0.29661016949152541"/>
    <n v="7"/>
    <x v="1"/>
    <x v="9"/>
    <x v="144"/>
    <s v="Oct-18"/>
    <x v="193"/>
    <x v="2"/>
    <s v="Indore"/>
  </r>
  <r>
    <s v="B-25814"/>
    <n v="462"/>
    <n v="169"/>
    <n v="0.36580086580086579"/>
    <n v="4"/>
    <x v="1"/>
    <x v="5"/>
    <x v="144"/>
    <s v="Oct-18"/>
    <x v="193"/>
    <x v="2"/>
    <s v="Indore"/>
  </r>
  <r>
    <s v="B-25815"/>
    <n v="35"/>
    <n v="14"/>
    <n v="0.4"/>
    <n v="2"/>
    <x v="1"/>
    <x v="1"/>
    <x v="144"/>
    <s v="Oct-18"/>
    <x v="140"/>
    <x v="16"/>
    <s v="Kohima"/>
  </r>
  <r>
    <s v="B-25816"/>
    <n v="391"/>
    <n v="113"/>
    <n v="0.28900255754475701"/>
    <n v="8"/>
    <x v="1"/>
    <x v="1"/>
    <x v="145"/>
    <s v="Oct-18"/>
    <x v="194"/>
    <x v="17"/>
    <s v="Hyderabad"/>
  </r>
  <r>
    <s v="B-25817"/>
    <n v="743"/>
    <n v="89"/>
    <n v="0.11978465679676985"/>
    <n v="5"/>
    <x v="2"/>
    <x v="13"/>
    <x v="146"/>
    <s v="Oct-18"/>
    <x v="195"/>
    <x v="1"/>
    <s v="Mumbai"/>
  </r>
  <r>
    <s v="B-25818"/>
    <n v="75"/>
    <n v="28"/>
    <n v="0.37333333333333335"/>
    <n v="9"/>
    <x v="1"/>
    <x v="2"/>
    <x v="147"/>
    <s v="Oct-18"/>
    <x v="196"/>
    <x v="2"/>
    <s v="Indore"/>
  </r>
  <r>
    <s v="B-25818"/>
    <n v="36"/>
    <n v="0"/>
    <n v="0"/>
    <n v="4"/>
    <x v="1"/>
    <x v="8"/>
    <x v="147"/>
    <s v="Oct-18"/>
    <x v="196"/>
    <x v="2"/>
    <s v="Indore"/>
  </r>
  <r>
    <s v="B-25818"/>
    <n v="32"/>
    <n v="11"/>
    <n v="0.34375"/>
    <n v="2"/>
    <x v="1"/>
    <x v="11"/>
    <x v="147"/>
    <s v="Oct-18"/>
    <x v="196"/>
    <x v="2"/>
    <s v="Indore"/>
  </r>
  <r>
    <s v="B-25818"/>
    <n v="94"/>
    <n v="20"/>
    <n v="0.21276595744680851"/>
    <n v="2"/>
    <x v="0"/>
    <x v="15"/>
    <x v="147"/>
    <s v="Oct-18"/>
    <x v="196"/>
    <x v="2"/>
    <s v="Indore"/>
  </r>
  <r>
    <s v="B-25818"/>
    <n v="28"/>
    <n v="14"/>
    <n v="0.5"/>
    <n v="4"/>
    <x v="1"/>
    <x v="2"/>
    <x v="147"/>
    <s v="Oct-18"/>
    <x v="196"/>
    <x v="2"/>
    <s v="Indore"/>
  </r>
  <r>
    <s v="B-25819"/>
    <n v="417"/>
    <n v="49"/>
    <n v="0.11750599520383694"/>
    <n v="3"/>
    <x v="2"/>
    <x v="3"/>
    <x v="148"/>
    <s v="Oct-18"/>
    <x v="197"/>
    <x v="2"/>
    <s v="Bhopal"/>
  </r>
  <r>
    <s v="B-25820"/>
    <n v="119"/>
    <n v="1"/>
    <n v="8.4033613445378148E-3"/>
    <n v="1"/>
    <x v="0"/>
    <x v="7"/>
    <x v="149"/>
    <s v="Oct-18"/>
    <x v="198"/>
    <x v="3"/>
    <s v="Jaipur"/>
  </r>
  <r>
    <s v="B-25821"/>
    <n v="60"/>
    <n v="21"/>
    <n v="0.35"/>
    <n v="4"/>
    <x v="1"/>
    <x v="1"/>
    <x v="149"/>
    <s v="Oct-18"/>
    <x v="41"/>
    <x v="4"/>
    <s v="Kolkata"/>
  </r>
  <r>
    <s v="B-25821"/>
    <n v="17"/>
    <n v="0"/>
    <n v="0"/>
    <n v="1"/>
    <x v="1"/>
    <x v="2"/>
    <x v="149"/>
    <s v="Oct-18"/>
    <x v="41"/>
    <x v="4"/>
    <s v="Kolkata"/>
  </r>
  <r>
    <s v="B-25821"/>
    <n v="125"/>
    <n v="0"/>
    <n v="0"/>
    <n v="3"/>
    <x v="2"/>
    <x v="14"/>
    <x v="149"/>
    <s v="Oct-18"/>
    <x v="41"/>
    <x v="4"/>
    <s v="Kolkata"/>
  </r>
  <r>
    <s v="B-25822"/>
    <n v="34"/>
    <n v="13"/>
    <n v="0.38235294117647056"/>
    <n v="2"/>
    <x v="1"/>
    <x v="5"/>
    <x v="150"/>
    <s v="Oct-18"/>
    <x v="199"/>
    <x v="5"/>
    <s v="Bangalore"/>
  </r>
  <r>
    <s v="B-25823"/>
    <n v="2103"/>
    <n v="322"/>
    <n v="0.15311459819305753"/>
    <n v="8"/>
    <x v="2"/>
    <x v="3"/>
    <x v="150"/>
    <s v="Oct-18"/>
    <x v="200"/>
    <x v="1"/>
    <s v="Mumbai"/>
  </r>
  <r>
    <s v="B-25823"/>
    <n v="104"/>
    <n v="2"/>
    <n v="1.9230769230769232E-2"/>
    <n v="2"/>
    <x v="0"/>
    <x v="15"/>
    <x v="150"/>
    <s v="Oct-18"/>
    <x v="200"/>
    <x v="1"/>
    <s v="Mumbai"/>
  </r>
  <r>
    <s v="B-25823"/>
    <n v="59"/>
    <n v="6"/>
    <n v="0.10169491525423729"/>
    <n v="1"/>
    <x v="2"/>
    <x v="14"/>
    <x v="150"/>
    <s v="Oct-18"/>
    <x v="200"/>
    <x v="1"/>
    <s v="Mumbai"/>
  </r>
  <r>
    <s v="B-25823"/>
    <n v="103"/>
    <n v="50"/>
    <n v="0.4854368932038835"/>
    <n v="2"/>
    <x v="0"/>
    <x v="15"/>
    <x v="150"/>
    <s v="Oct-18"/>
    <x v="200"/>
    <x v="1"/>
    <s v="Mumbai"/>
  </r>
  <r>
    <s v="B-25824"/>
    <n v="101"/>
    <n v="38"/>
    <n v="0.37623762376237624"/>
    <n v="2"/>
    <x v="0"/>
    <x v="15"/>
    <x v="151"/>
    <s v="Oct-18"/>
    <x v="201"/>
    <x v="2"/>
    <s v="Indore"/>
  </r>
  <r>
    <s v="B-25825"/>
    <n v="911"/>
    <n v="355"/>
    <n v="0.3896816684961581"/>
    <n v="5"/>
    <x v="2"/>
    <x v="4"/>
    <x v="152"/>
    <s v="Oct-18"/>
    <x v="138"/>
    <x v="2"/>
    <s v="Indore"/>
  </r>
  <r>
    <s v="B-25825"/>
    <n v="115"/>
    <n v="25"/>
    <n v="0.21739130434782608"/>
    <n v="6"/>
    <x v="1"/>
    <x v="1"/>
    <x v="152"/>
    <s v="Oct-18"/>
    <x v="138"/>
    <x v="2"/>
    <s v="Indore"/>
  </r>
  <r>
    <s v="B-25825"/>
    <n v="140"/>
    <n v="6"/>
    <n v="4.2857142857142858E-2"/>
    <n v="5"/>
    <x v="1"/>
    <x v="5"/>
    <x v="152"/>
    <s v="Oct-18"/>
    <x v="138"/>
    <x v="2"/>
    <s v="Indore"/>
  </r>
  <r>
    <s v="B-25826"/>
    <n v="637"/>
    <n v="261"/>
    <n v="0.40973312401883832"/>
    <n v="2"/>
    <x v="2"/>
    <x v="13"/>
    <x v="153"/>
    <s v="Oct-18"/>
    <x v="202"/>
    <x v="1"/>
    <s v="Mumbai"/>
  </r>
  <r>
    <s v="B-25827"/>
    <n v="156"/>
    <n v="21"/>
    <n v="0.13461538461538461"/>
    <n v="3"/>
    <x v="0"/>
    <x v="7"/>
    <x v="154"/>
    <s v="Oct-18"/>
    <x v="83"/>
    <x v="2"/>
    <s v="Indore"/>
  </r>
  <r>
    <s v="B-25828"/>
    <n v="537"/>
    <n v="107"/>
    <n v="0.19925512104283055"/>
    <n v="3"/>
    <x v="1"/>
    <x v="5"/>
    <x v="155"/>
    <s v="Oct-18"/>
    <x v="203"/>
    <x v="11"/>
    <s v="Chandigarh"/>
  </r>
  <r>
    <s v="B-25828"/>
    <n v="15"/>
    <n v="2"/>
    <n v="0.13333333333333333"/>
    <n v="1"/>
    <x v="1"/>
    <x v="11"/>
    <x v="155"/>
    <s v="Oct-18"/>
    <x v="203"/>
    <x v="11"/>
    <s v="Chandigarh"/>
  </r>
  <r>
    <s v="B-25828"/>
    <n v="128"/>
    <n v="-3"/>
    <n v="-2.34375E-2"/>
    <n v="3"/>
    <x v="1"/>
    <x v="5"/>
    <x v="155"/>
    <s v="Oct-18"/>
    <x v="203"/>
    <x v="11"/>
    <s v="Chandigarh"/>
  </r>
  <r>
    <s v="B-25828"/>
    <n v="222"/>
    <n v="35"/>
    <n v="0.15765765765765766"/>
    <n v="5"/>
    <x v="1"/>
    <x v="5"/>
    <x v="155"/>
    <s v="Oct-18"/>
    <x v="203"/>
    <x v="11"/>
    <s v="Chandigarh"/>
  </r>
  <r>
    <s v="B-25829"/>
    <n v="345"/>
    <n v="38"/>
    <n v="0.11014492753623188"/>
    <n v="7"/>
    <x v="1"/>
    <x v="2"/>
    <x v="156"/>
    <s v="Oct-18"/>
    <x v="204"/>
    <x v="12"/>
    <s v="Chandigarh"/>
  </r>
  <r>
    <s v="B-25830"/>
    <n v="41"/>
    <n v="11"/>
    <n v="0.26829268292682928"/>
    <n v="6"/>
    <x v="1"/>
    <x v="2"/>
    <x v="157"/>
    <s v="Oct-18"/>
    <x v="205"/>
    <x v="13"/>
    <s v="Simla"/>
  </r>
  <r>
    <s v="B-25830"/>
    <n v="54"/>
    <n v="1"/>
    <n v="1.8518518518518517E-2"/>
    <n v="2"/>
    <x v="1"/>
    <x v="5"/>
    <x v="157"/>
    <s v="Oct-18"/>
    <x v="205"/>
    <x v="13"/>
    <s v="Simla"/>
  </r>
  <r>
    <s v="B-25830"/>
    <n v="71"/>
    <n v="0"/>
    <n v="0"/>
    <n v="8"/>
    <x v="1"/>
    <x v="16"/>
    <x v="157"/>
    <s v="Oct-18"/>
    <x v="205"/>
    <x v="13"/>
    <s v="Simla"/>
  </r>
  <r>
    <s v="B-25830"/>
    <n v="93"/>
    <n v="15"/>
    <n v="0.16129032258064516"/>
    <n v="2"/>
    <x v="2"/>
    <x v="14"/>
    <x v="157"/>
    <s v="Oct-18"/>
    <x v="205"/>
    <x v="13"/>
    <s v="Simla"/>
  </r>
  <r>
    <s v="B-25830"/>
    <n v="1063"/>
    <n v="64"/>
    <n v="6.0206961429915336E-2"/>
    <n v="7"/>
    <x v="2"/>
    <x v="4"/>
    <x v="157"/>
    <s v="Oct-18"/>
    <x v="205"/>
    <x v="13"/>
    <s v="Simla"/>
  </r>
  <r>
    <s v="B-25830"/>
    <n v="1954"/>
    <n v="782"/>
    <n v="0.40020470829068577"/>
    <n v="3"/>
    <x v="2"/>
    <x v="4"/>
    <x v="157"/>
    <s v="Oct-18"/>
    <x v="205"/>
    <x v="13"/>
    <s v="Simla"/>
  </r>
  <r>
    <s v="B-25831"/>
    <n v="693"/>
    <n v="254"/>
    <n v="0.36652236652236653"/>
    <n v="6"/>
    <x v="1"/>
    <x v="5"/>
    <x v="158"/>
    <s v="Oct-18"/>
    <x v="73"/>
    <x v="14"/>
    <s v="Gangtok"/>
  </r>
  <r>
    <s v="B-25832"/>
    <n v="504"/>
    <n v="116"/>
    <n v="0.23015873015873015"/>
    <n v="3"/>
    <x v="0"/>
    <x v="0"/>
    <x v="159"/>
    <s v="Oct-18"/>
    <x v="206"/>
    <x v="1"/>
    <s v="Mumbai"/>
  </r>
  <r>
    <s v="B-25833"/>
    <n v="64"/>
    <n v="27"/>
    <n v="0.421875"/>
    <n v="5"/>
    <x v="1"/>
    <x v="2"/>
    <x v="160"/>
    <s v="Oct-18"/>
    <x v="207"/>
    <x v="2"/>
    <s v="Indore"/>
  </r>
  <r>
    <s v="B-25833"/>
    <n v="36"/>
    <n v="4"/>
    <n v="0.1111111111111111"/>
    <n v="9"/>
    <x v="1"/>
    <x v="2"/>
    <x v="160"/>
    <s v="Oct-18"/>
    <x v="207"/>
    <x v="2"/>
    <s v="Indore"/>
  </r>
  <r>
    <s v="B-25833"/>
    <n v="45"/>
    <n v="16"/>
    <n v="0.35555555555555557"/>
    <n v="3"/>
    <x v="1"/>
    <x v="1"/>
    <x v="160"/>
    <s v="Oct-18"/>
    <x v="207"/>
    <x v="2"/>
    <s v="Indore"/>
  </r>
  <r>
    <s v="B-25834"/>
    <n v="16"/>
    <n v="5"/>
    <n v="0.3125"/>
    <n v="1"/>
    <x v="1"/>
    <x v="1"/>
    <x v="160"/>
    <s v="Oct-18"/>
    <x v="208"/>
    <x v="17"/>
    <s v="Hyderabad"/>
  </r>
  <r>
    <s v="B-25835"/>
    <n v="52"/>
    <n v="11"/>
    <n v="0.21153846153846154"/>
    <n v="5"/>
    <x v="1"/>
    <x v="11"/>
    <x v="160"/>
    <s v="Oct-18"/>
    <x v="209"/>
    <x v="0"/>
    <s v="Ahmedabad"/>
  </r>
  <r>
    <s v="B-25835"/>
    <n v="27"/>
    <n v="2"/>
    <n v="7.407407407407407E-2"/>
    <n v="2"/>
    <x v="1"/>
    <x v="11"/>
    <x v="160"/>
    <s v="Oct-18"/>
    <x v="209"/>
    <x v="0"/>
    <s v="Ahmedabad"/>
  </r>
  <r>
    <s v="B-25835"/>
    <n v="155"/>
    <n v="26"/>
    <n v="0.16774193548387098"/>
    <n v="3"/>
    <x v="1"/>
    <x v="1"/>
    <x v="160"/>
    <s v="Oct-18"/>
    <x v="209"/>
    <x v="0"/>
    <s v="Ahmedabad"/>
  </r>
  <r>
    <s v="B-25836"/>
    <n v="1298"/>
    <n v="65"/>
    <n v="5.007704160246533E-2"/>
    <n v="9"/>
    <x v="2"/>
    <x v="13"/>
    <x v="160"/>
    <s v="Oct-18"/>
    <x v="210"/>
    <x v="1"/>
    <s v="Pune"/>
  </r>
  <r>
    <s v="B-25837"/>
    <n v="263"/>
    <n v="50"/>
    <n v="0.19011406844106463"/>
    <n v="5"/>
    <x v="1"/>
    <x v="1"/>
    <x v="160"/>
    <s v="Oct-18"/>
    <x v="211"/>
    <x v="1"/>
    <s v="Mumbai"/>
  </r>
  <r>
    <s v="B-25838"/>
    <n v="70"/>
    <n v="26"/>
    <n v="0.37142857142857144"/>
    <n v="5"/>
    <x v="1"/>
    <x v="2"/>
    <x v="160"/>
    <s v="Oct-18"/>
    <x v="158"/>
    <x v="2"/>
    <s v="Indore"/>
  </r>
  <r>
    <s v="B-25838"/>
    <n v="81"/>
    <n v="19"/>
    <n v="0.23456790123456789"/>
    <n v="7"/>
    <x v="1"/>
    <x v="2"/>
    <x v="160"/>
    <s v="Oct-18"/>
    <x v="158"/>
    <x v="2"/>
    <s v="Indore"/>
  </r>
  <r>
    <s v="B-25838"/>
    <n v="955"/>
    <n v="305"/>
    <n v="0.3193717277486911"/>
    <n v="3"/>
    <x v="2"/>
    <x v="13"/>
    <x v="160"/>
    <s v="Oct-18"/>
    <x v="158"/>
    <x v="2"/>
    <s v="Indore"/>
  </r>
  <r>
    <s v="B-25838"/>
    <n v="161"/>
    <n v="40"/>
    <n v="0.2484472049689441"/>
    <n v="3"/>
    <x v="1"/>
    <x v="1"/>
    <x v="160"/>
    <s v="Oct-18"/>
    <x v="158"/>
    <x v="2"/>
    <s v="Indore"/>
  </r>
  <r>
    <s v="B-25839"/>
    <n v="1250"/>
    <n v="486"/>
    <n v="0.38879999999999998"/>
    <n v="7"/>
    <x v="1"/>
    <x v="5"/>
    <x v="161"/>
    <s v="Oct-18"/>
    <x v="212"/>
    <x v="4"/>
    <s v="Kolkata"/>
  </r>
  <r>
    <s v="B-25840"/>
    <n v="246"/>
    <n v="61"/>
    <n v="0.24796747967479674"/>
    <n v="2"/>
    <x v="0"/>
    <x v="0"/>
    <x v="162"/>
    <s v="Oct-18"/>
    <x v="213"/>
    <x v="5"/>
    <s v="Bangalore"/>
  </r>
  <r>
    <s v="B-25840"/>
    <n v="298"/>
    <n v="74"/>
    <n v="0.24832214765100671"/>
    <n v="2"/>
    <x v="0"/>
    <x v="0"/>
    <x v="162"/>
    <s v="Oct-18"/>
    <x v="213"/>
    <x v="5"/>
    <s v="Bangalore"/>
  </r>
  <r>
    <s v="B-25840"/>
    <n v="262"/>
    <n v="64"/>
    <n v="0.24427480916030533"/>
    <n v="6"/>
    <x v="1"/>
    <x v="5"/>
    <x v="162"/>
    <s v="Oct-18"/>
    <x v="213"/>
    <x v="5"/>
    <s v="Bangalore"/>
  </r>
  <r>
    <s v="B-25841"/>
    <n v="22"/>
    <n v="11"/>
    <n v="0.5"/>
    <n v="2"/>
    <x v="1"/>
    <x v="16"/>
    <x v="163"/>
    <s v="Nov-18"/>
    <x v="214"/>
    <x v="1"/>
    <s v="Mumbai"/>
  </r>
  <r>
    <s v="B-25842"/>
    <n v="1543"/>
    <n v="370"/>
    <n v="0.23979261179520414"/>
    <n v="8"/>
    <x v="2"/>
    <x v="13"/>
    <x v="164"/>
    <s v="Nov-18"/>
    <x v="83"/>
    <x v="2"/>
    <s v="Indore"/>
  </r>
  <r>
    <s v="B-25843"/>
    <n v="50"/>
    <n v="7"/>
    <n v="0.14000000000000001"/>
    <n v="6"/>
    <x v="1"/>
    <x v="16"/>
    <x v="165"/>
    <s v="Nov-18"/>
    <x v="215"/>
    <x v="1"/>
    <s v="Mumbai"/>
  </r>
  <r>
    <s v="B-25843"/>
    <n v="214"/>
    <n v="30"/>
    <n v="0.14018691588785046"/>
    <n v="3"/>
    <x v="2"/>
    <x v="14"/>
    <x v="165"/>
    <s v="Nov-18"/>
    <x v="215"/>
    <x v="1"/>
    <s v="Mumbai"/>
  </r>
  <r>
    <s v="B-25843"/>
    <n v="255"/>
    <n v="74"/>
    <n v="0.29019607843137257"/>
    <n v="5"/>
    <x v="1"/>
    <x v="2"/>
    <x v="165"/>
    <s v="Nov-18"/>
    <x v="215"/>
    <x v="1"/>
    <s v="Mumbai"/>
  </r>
  <r>
    <s v="B-25843"/>
    <n v="18"/>
    <n v="6"/>
    <n v="0.33333333333333331"/>
    <n v="3"/>
    <x v="1"/>
    <x v="2"/>
    <x v="165"/>
    <s v="Nov-18"/>
    <x v="215"/>
    <x v="1"/>
    <s v="Mumbai"/>
  </r>
  <r>
    <s v="B-25843"/>
    <n v="45"/>
    <n v="0"/>
    <n v="0"/>
    <n v="2"/>
    <x v="1"/>
    <x v="1"/>
    <x v="165"/>
    <s v="Nov-18"/>
    <x v="215"/>
    <x v="1"/>
    <s v="Mumbai"/>
  </r>
  <r>
    <s v="B-25844"/>
    <n v="86"/>
    <n v="8"/>
    <n v="9.3023255813953487E-2"/>
    <n v="2"/>
    <x v="1"/>
    <x v="5"/>
    <x v="165"/>
    <s v="Nov-18"/>
    <x v="216"/>
    <x v="2"/>
    <s v="Indore"/>
  </r>
  <r>
    <s v="B-25845"/>
    <n v="274"/>
    <n v="-7"/>
    <n v="-2.5547445255474453E-2"/>
    <n v="4"/>
    <x v="2"/>
    <x v="4"/>
    <x v="165"/>
    <s v="Nov-18"/>
    <x v="217"/>
    <x v="10"/>
    <s v="Thiruvananthapuram"/>
  </r>
  <r>
    <s v="B-25845"/>
    <n v="82"/>
    <n v="33"/>
    <n v="0.40243902439024393"/>
    <n v="4"/>
    <x v="1"/>
    <x v="8"/>
    <x v="165"/>
    <s v="Nov-18"/>
    <x v="217"/>
    <x v="10"/>
    <s v="Thiruvananthapuram"/>
  </r>
  <r>
    <s v="B-25845"/>
    <n v="757"/>
    <n v="371"/>
    <n v="0.49009247027741082"/>
    <n v="2"/>
    <x v="2"/>
    <x v="13"/>
    <x v="165"/>
    <s v="Nov-18"/>
    <x v="217"/>
    <x v="10"/>
    <s v="Thiruvananthapuram"/>
  </r>
  <r>
    <s v="B-25845"/>
    <n v="132"/>
    <n v="54"/>
    <n v="0.40909090909090912"/>
    <n v="5"/>
    <x v="1"/>
    <x v="1"/>
    <x v="165"/>
    <s v="Nov-18"/>
    <x v="217"/>
    <x v="10"/>
    <s v="Thiruvananthapuram"/>
  </r>
  <r>
    <s v="B-25846"/>
    <n v="94"/>
    <n v="7"/>
    <n v="7.4468085106382975E-2"/>
    <n v="7"/>
    <x v="1"/>
    <x v="11"/>
    <x v="165"/>
    <s v="Nov-18"/>
    <x v="218"/>
    <x v="11"/>
    <s v="Chandigarh"/>
  </r>
  <r>
    <s v="B-25847"/>
    <n v="643"/>
    <n v="225"/>
    <n v="0.34992223950233281"/>
    <n v="2"/>
    <x v="2"/>
    <x v="13"/>
    <x v="165"/>
    <s v="Nov-18"/>
    <x v="219"/>
    <x v="12"/>
    <s v="Chandigarh"/>
  </r>
  <r>
    <s v="B-25847"/>
    <n v="264"/>
    <n v="71"/>
    <n v="0.26893939393939392"/>
    <n v="10"/>
    <x v="0"/>
    <x v="15"/>
    <x v="165"/>
    <s v="Nov-18"/>
    <x v="219"/>
    <x v="12"/>
    <s v="Chandigarh"/>
  </r>
  <r>
    <s v="B-25848"/>
    <n v="147"/>
    <n v="21"/>
    <n v="0.14285714285714285"/>
    <n v="3"/>
    <x v="0"/>
    <x v="15"/>
    <x v="165"/>
    <s v="Nov-18"/>
    <x v="200"/>
    <x v="13"/>
    <s v="Simla"/>
  </r>
  <r>
    <s v="B-25848"/>
    <n v="16"/>
    <n v="8"/>
    <n v="0.5"/>
    <n v="2"/>
    <x v="1"/>
    <x v="2"/>
    <x v="165"/>
    <s v="Nov-18"/>
    <x v="200"/>
    <x v="13"/>
    <s v="Simla"/>
  </r>
  <r>
    <s v="B-25848"/>
    <n v="648"/>
    <n v="50"/>
    <n v="7.716049382716049E-2"/>
    <n v="6"/>
    <x v="2"/>
    <x v="3"/>
    <x v="165"/>
    <s v="Nov-18"/>
    <x v="200"/>
    <x v="13"/>
    <s v="Simla"/>
  </r>
  <r>
    <s v="B-25849"/>
    <n v="336"/>
    <n v="123"/>
    <n v="0.36607142857142855"/>
    <n v="3"/>
    <x v="2"/>
    <x v="4"/>
    <x v="166"/>
    <s v="Nov-18"/>
    <x v="220"/>
    <x v="14"/>
    <s v="Gangtok"/>
  </r>
  <r>
    <s v="B-25850"/>
    <n v="45"/>
    <n v="1"/>
    <n v="2.2222222222222223E-2"/>
    <n v="3"/>
    <x v="1"/>
    <x v="9"/>
    <x v="167"/>
    <s v="Nov-18"/>
    <x v="168"/>
    <x v="15"/>
    <s v="Goa"/>
  </r>
  <r>
    <s v="B-25850"/>
    <n v="93"/>
    <n v="-1"/>
    <n v="-1.0752688172043012E-2"/>
    <n v="2"/>
    <x v="1"/>
    <x v="2"/>
    <x v="167"/>
    <s v="Nov-18"/>
    <x v="168"/>
    <x v="15"/>
    <s v="Goa"/>
  </r>
  <r>
    <s v="B-25850"/>
    <n v="52"/>
    <n v="18"/>
    <n v="0.34615384615384615"/>
    <n v="5"/>
    <x v="1"/>
    <x v="11"/>
    <x v="167"/>
    <s v="Nov-18"/>
    <x v="168"/>
    <x v="15"/>
    <s v="Goa"/>
  </r>
  <r>
    <s v="B-25850"/>
    <n v="148"/>
    <n v="24"/>
    <n v="0.16216216216216217"/>
    <n v="3"/>
    <x v="1"/>
    <x v="1"/>
    <x v="167"/>
    <s v="Nov-18"/>
    <x v="168"/>
    <x v="15"/>
    <s v="Goa"/>
  </r>
  <r>
    <s v="B-25850"/>
    <n v="24"/>
    <n v="1"/>
    <n v="4.1666666666666664E-2"/>
    <n v="4"/>
    <x v="1"/>
    <x v="2"/>
    <x v="167"/>
    <s v="Nov-18"/>
    <x v="168"/>
    <x v="15"/>
    <s v="Goa"/>
  </r>
  <r>
    <s v="B-25850"/>
    <n v="513"/>
    <n v="215"/>
    <n v="0.41910331384015592"/>
    <n v="2"/>
    <x v="2"/>
    <x v="14"/>
    <x v="167"/>
    <s v="Nov-18"/>
    <x v="168"/>
    <x v="15"/>
    <s v="Goa"/>
  </r>
  <r>
    <s v="B-25850"/>
    <n v="117"/>
    <n v="36"/>
    <n v="0.30769230769230771"/>
    <n v="2"/>
    <x v="1"/>
    <x v="6"/>
    <x v="167"/>
    <s v="Nov-18"/>
    <x v="168"/>
    <x v="15"/>
    <s v="Goa"/>
  </r>
  <r>
    <s v="B-25850"/>
    <n v="916"/>
    <n v="192"/>
    <n v="0.20960698689956331"/>
    <n v="11"/>
    <x v="2"/>
    <x v="4"/>
    <x v="167"/>
    <s v="Nov-18"/>
    <x v="168"/>
    <x v="15"/>
    <s v="Goa"/>
  </r>
  <r>
    <s v="B-25850"/>
    <n v="485"/>
    <n v="199"/>
    <n v="0.41030927835051545"/>
    <n v="4"/>
    <x v="1"/>
    <x v="5"/>
    <x v="167"/>
    <s v="Nov-18"/>
    <x v="168"/>
    <x v="15"/>
    <s v="Goa"/>
  </r>
  <r>
    <s v="B-25851"/>
    <n v="10"/>
    <n v="2"/>
    <n v="0.2"/>
    <n v="2"/>
    <x v="1"/>
    <x v="2"/>
    <x v="168"/>
    <s v="Nov-18"/>
    <x v="221"/>
    <x v="16"/>
    <s v="Kohima"/>
  </r>
  <r>
    <s v="B-25851"/>
    <n v="300"/>
    <n v="42"/>
    <n v="0.14000000000000001"/>
    <n v="2"/>
    <x v="2"/>
    <x v="13"/>
    <x v="168"/>
    <s v="Nov-18"/>
    <x v="221"/>
    <x v="16"/>
    <s v="Kohima"/>
  </r>
  <r>
    <s v="B-25851"/>
    <n v="57"/>
    <n v="27"/>
    <n v="0.47368421052631576"/>
    <n v="2"/>
    <x v="1"/>
    <x v="9"/>
    <x v="168"/>
    <s v="Nov-18"/>
    <x v="221"/>
    <x v="16"/>
    <s v="Kohima"/>
  </r>
  <r>
    <s v="B-25851"/>
    <n v="103"/>
    <n v="46"/>
    <n v="0.44660194174757284"/>
    <n v="2"/>
    <x v="1"/>
    <x v="5"/>
    <x v="168"/>
    <s v="Nov-18"/>
    <x v="221"/>
    <x v="16"/>
    <s v="Kohima"/>
  </r>
  <r>
    <s v="B-25851"/>
    <n v="336"/>
    <n v="71"/>
    <n v="0.21130952380952381"/>
    <n v="3"/>
    <x v="0"/>
    <x v="0"/>
    <x v="168"/>
    <s v="Nov-18"/>
    <x v="221"/>
    <x v="16"/>
    <s v="Kohima"/>
  </r>
  <r>
    <s v="B-25851"/>
    <n v="53"/>
    <n v="24"/>
    <n v="0.45283018867924529"/>
    <n v="6"/>
    <x v="1"/>
    <x v="2"/>
    <x v="168"/>
    <s v="Nov-18"/>
    <x v="221"/>
    <x v="16"/>
    <s v="Kohima"/>
  </r>
  <r>
    <s v="B-25851"/>
    <n v="90"/>
    <n v="29"/>
    <n v="0.32222222222222224"/>
    <n v="5"/>
    <x v="1"/>
    <x v="9"/>
    <x v="168"/>
    <s v="Nov-18"/>
    <x v="221"/>
    <x v="16"/>
    <s v="Kohima"/>
  </r>
  <r>
    <s v="B-25851"/>
    <n v="62"/>
    <n v="1"/>
    <n v="1.6129032258064516E-2"/>
    <n v="3"/>
    <x v="1"/>
    <x v="5"/>
    <x v="168"/>
    <s v="Nov-18"/>
    <x v="221"/>
    <x v="16"/>
    <s v="Kohima"/>
  </r>
  <r>
    <s v="B-25851"/>
    <n v="135"/>
    <n v="54"/>
    <n v="0.4"/>
    <n v="5"/>
    <x v="1"/>
    <x v="8"/>
    <x v="168"/>
    <s v="Nov-18"/>
    <x v="221"/>
    <x v="16"/>
    <s v="Kohima"/>
  </r>
  <r>
    <s v="B-25851"/>
    <n v="237"/>
    <n v="47"/>
    <n v="0.19831223628691982"/>
    <n v="9"/>
    <x v="1"/>
    <x v="9"/>
    <x v="168"/>
    <s v="Nov-18"/>
    <x v="221"/>
    <x v="16"/>
    <s v="Kohima"/>
  </r>
  <r>
    <s v="B-25852"/>
    <n v="320"/>
    <n v="144"/>
    <n v="0.45"/>
    <n v="1"/>
    <x v="2"/>
    <x v="13"/>
    <x v="169"/>
    <s v="Nov-18"/>
    <x v="222"/>
    <x v="17"/>
    <s v="Hyderabad"/>
  </r>
  <r>
    <s v="B-25852"/>
    <n v="24"/>
    <n v="1"/>
    <n v="4.1666666666666664E-2"/>
    <n v="2"/>
    <x v="1"/>
    <x v="2"/>
    <x v="169"/>
    <s v="Nov-18"/>
    <x v="222"/>
    <x v="17"/>
    <s v="Hyderabad"/>
  </r>
  <r>
    <s v="B-25852"/>
    <n v="45"/>
    <n v="12"/>
    <n v="0.26666666666666666"/>
    <n v="4"/>
    <x v="1"/>
    <x v="2"/>
    <x v="169"/>
    <s v="Nov-18"/>
    <x v="222"/>
    <x v="17"/>
    <s v="Hyderabad"/>
  </r>
  <r>
    <s v="B-25852"/>
    <n v="97"/>
    <n v="17"/>
    <n v="0.17525773195876287"/>
    <n v="2"/>
    <x v="1"/>
    <x v="1"/>
    <x v="169"/>
    <s v="Nov-18"/>
    <x v="222"/>
    <x v="17"/>
    <s v="Hyderabad"/>
  </r>
  <r>
    <s v="B-25852"/>
    <n v="50"/>
    <n v="16"/>
    <n v="0.32"/>
    <n v="1"/>
    <x v="1"/>
    <x v="1"/>
    <x v="169"/>
    <s v="Nov-18"/>
    <x v="222"/>
    <x v="17"/>
    <s v="Hyderabad"/>
  </r>
  <r>
    <s v="B-25852"/>
    <n v="869"/>
    <n v="67"/>
    <n v="7.7100115074798622E-2"/>
    <n v="4"/>
    <x v="0"/>
    <x v="12"/>
    <x v="169"/>
    <s v="Nov-18"/>
    <x v="222"/>
    <x v="17"/>
    <s v="Hyderabad"/>
  </r>
  <r>
    <s v="B-25852"/>
    <n v="105"/>
    <n v="33"/>
    <n v="0.31428571428571428"/>
    <n v="5"/>
    <x v="1"/>
    <x v="8"/>
    <x v="169"/>
    <s v="Nov-18"/>
    <x v="222"/>
    <x v="17"/>
    <s v="Hyderabad"/>
  </r>
  <r>
    <s v="B-25853"/>
    <n v="39"/>
    <n v="16"/>
    <n v="0.41025641025641024"/>
    <n v="6"/>
    <x v="1"/>
    <x v="16"/>
    <x v="170"/>
    <s v="Nov-18"/>
    <x v="223"/>
    <x v="0"/>
    <s v="Ahmedabad"/>
  </r>
  <r>
    <s v="B-25853"/>
    <n v="30"/>
    <n v="14"/>
    <n v="0.46666666666666667"/>
    <n v="3"/>
    <x v="1"/>
    <x v="2"/>
    <x v="170"/>
    <s v="Nov-18"/>
    <x v="223"/>
    <x v="0"/>
    <s v="Ahmedabad"/>
  </r>
  <r>
    <s v="B-25853"/>
    <n v="26"/>
    <n v="11"/>
    <n v="0.42307692307692307"/>
    <n v="2"/>
    <x v="1"/>
    <x v="2"/>
    <x v="170"/>
    <s v="Nov-18"/>
    <x v="223"/>
    <x v="0"/>
    <s v="Ahmedabad"/>
  </r>
  <r>
    <s v="B-25853"/>
    <n v="19"/>
    <n v="6"/>
    <n v="0.31578947368421051"/>
    <n v="2"/>
    <x v="1"/>
    <x v="5"/>
    <x v="170"/>
    <s v="Nov-18"/>
    <x v="223"/>
    <x v="0"/>
    <s v="Ahmedabad"/>
  </r>
  <r>
    <s v="B-25853"/>
    <n v="579"/>
    <n v="139"/>
    <n v="0.24006908462867013"/>
    <n v="3"/>
    <x v="2"/>
    <x v="13"/>
    <x v="170"/>
    <s v="Nov-18"/>
    <x v="223"/>
    <x v="0"/>
    <s v="Ahmedabad"/>
  </r>
  <r>
    <s v="B-25853"/>
    <n v="2093"/>
    <n v="721"/>
    <n v="0.34448160535117056"/>
    <n v="5"/>
    <x v="0"/>
    <x v="7"/>
    <x v="170"/>
    <s v="Nov-18"/>
    <x v="223"/>
    <x v="0"/>
    <s v="Ahmedabad"/>
  </r>
  <r>
    <s v="B-25853"/>
    <n v="95"/>
    <n v="11"/>
    <n v="0.11578947368421053"/>
    <n v="4"/>
    <x v="0"/>
    <x v="15"/>
    <x v="170"/>
    <s v="Nov-18"/>
    <x v="223"/>
    <x v="0"/>
    <s v="Ahmedabad"/>
  </r>
  <r>
    <s v="B-25853"/>
    <n v="128"/>
    <n v="4"/>
    <n v="3.125E-2"/>
    <n v="3"/>
    <x v="1"/>
    <x v="5"/>
    <x v="170"/>
    <s v="Nov-18"/>
    <x v="223"/>
    <x v="0"/>
    <s v="Ahmedabad"/>
  </r>
  <r>
    <s v="B-25853"/>
    <n v="199"/>
    <n v="48"/>
    <n v="0.24120603015075376"/>
    <n v="4"/>
    <x v="1"/>
    <x v="1"/>
    <x v="170"/>
    <s v="Nov-18"/>
    <x v="223"/>
    <x v="0"/>
    <s v="Ahmedabad"/>
  </r>
  <r>
    <s v="B-25854"/>
    <n v="149"/>
    <n v="48"/>
    <n v="0.32214765100671139"/>
    <n v="6"/>
    <x v="1"/>
    <x v="1"/>
    <x v="170"/>
    <s v="Nov-18"/>
    <x v="130"/>
    <x v="1"/>
    <s v="Pune"/>
  </r>
  <r>
    <s v="B-25854"/>
    <n v="436"/>
    <n v="131"/>
    <n v="0.30045871559633025"/>
    <n v="9"/>
    <x v="1"/>
    <x v="2"/>
    <x v="170"/>
    <s v="Nov-18"/>
    <x v="130"/>
    <x v="1"/>
    <s v="Pune"/>
  </r>
  <r>
    <s v="B-25854"/>
    <n v="76"/>
    <n v="19"/>
    <n v="0.25"/>
    <n v="3"/>
    <x v="1"/>
    <x v="2"/>
    <x v="170"/>
    <s v="Nov-18"/>
    <x v="130"/>
    <x v="1"/>
    <s v="Pune"/>
  </r>
  <r>
    <s v="B-25854"/>
    <n v="88"/>
    <n v="16"/>
    <n v="0.18181818181818182"/>
    <n v="4"/>
    <x v="1"/>
    <x v="1"/>
    <x v="170"/>
    <s v="Nov-18"/>
    <x v="130"/>
    <x v="1"/>
    <s v="Pune"/>
  </r>
  <r>
    <s v="B-25854"/>
    <n v="342"/>
    <n v="154"/>
    <n v="0.45029239766081869"/>
    <n v="7"/>
    <x v="0"/>
    <x v="15"/>
    <x v="170"/>
    <s v="Nov-18"/>
    <x v="130"/>
    <x v="1"/>
    <s v="Pune"/>
  </r>
  <r>
    <s v="B-25854"/>
    <n v="40"/>
    <n v="16"/>
    <n v="0.4"/>
    <n v="3"/>
    <x v="1"/>
    <x v="2"/>
    <x v="170"/>
    <s v="Nov-18"/>
    <x v="130"/>
    <x v="1"/>
    <s v="Pune"/>
  </r>
  <r>
    <s v="B-25854"/>
    <n v="53"/>
    <n v="-2"/>
    <n v="-3.7735849056603772E-2"/>
    <n v="3"/>
    <x v="1"/>
    <x v="5"/>
    <x v="170"/>
    <s v="Nov-18"/>
    <x v="130"/>
    <x v="1"/>
    <s v="Pune"/>
  </r>
  <r>
    <s v="B-25854"/>
    <n v="381"/>
    <n v="144"/>
    <n v="0.37795275590551181"/>
    <n v="2"/>
    <x v="1"/>
    <x v="5"/>
    <x v="170"/>
    <s v="Nov-18"/>
    <x v="130"/>
    <x v="1"/>
    <s v="Pune"/>
  </r>
  <r>
    <s v="B-25855"/>
    <n v="829"/>
    <n v="19"/>
    <n v="2.2919179734620022E-2"/>
    <n v="4"/>
    <x v="2"/>
    <x v="13"/>
    <x v="170"/>
    <s v="Nov-18"/>
    <x v="224"/>
    <x v="2"/>
    <s v="Bhopal"/>
  </r>
  <r>
    <s v="B-25855"/>
    <n v="442"/>
    <n v="31"/>
    <n v="7.0135746606334842E-2"/>
    <n v="2"/>
    <x v="2"/>
    <x v="3"/>
    <x v="170"/>
    <s v="Nov-18"/>
    <x v="224"/>
    <x v="2"/>
    <s v="Bhopal"/>
  </r>
  <r>
    <s v="B-25855"/>
    <n v="90"/>
    <n v="17"/>
    <n v="0.18888888888888888"/>
    <n v="3"/>
    <x v="1"/>
    <x v="2"/>
    <x v="170"/>
    <s v="Nov-18"/>
    <x v="224"/>
    <x v="2"/>
    <s v="Bhopal"/>
  </r>
  <r>
    <s v="B-25855"/>
    <n v="98"/>
    <n v="12"/>
    <n v="0.12244897959183673"/>
    <n v="2"/>
    <x v="1"/>
    <x v="2"/>
    <x v="170"/>
    <s v="Nov-18"/>
    <x v="224"/>
    <x v="2"/>
    <s v="Bhopal"/>
  </r>
  <r>
    <s v="B-25855"/>
    <n v="61"/>
    <n v="30"/>
    <n v="0.49180327868852458"/>
    <n v="2"/>
    <x v="1"/>
    <x v="2"/>
    <x v="170"/>
    <s v="Nov-18"/>
    <x v="224"/>
    <x v="2"/>
    <s v="Bhopal"/>
  </r>
  <r>
    <s v="B-25855"/>
    <n v="1027"/>
    <n v="441"/>
    <n v="0.42940603700097368"/>
    <n v="8"/>
    <x v="1"/>
    <x v="5"/>
    <x v="170"/>
    <s v="Nov-18"/>
    <x v="224"/>
    <x v="2"/>
    <s v="Bhopal"/>
  </r>
  <r>
    <s v="B-25855"/>
    <n v="1319"/>
    <n v="567"/>
    <n v="0.42987111448066717"/>
    <n v="5"/>
    <x v="2"/>
    <x v="13"/>
    <x v="170"/>
    <s v="Nov-18"/>
    <x v="224"/>
    <x v="2"/>
    <s v="Bhopal"/>
  </r>
  <r>
    <s v="B-25855"/>
    <n v="197"/>
    <n v="73"/>
    <n v="0.37055837563451777"/>
    <n v="1"/>
    <x v="0"/>
    <x v="0"/>
    <x v="170"/>
    <s v="Nov-18"/>
    <x v="224"/>
    <x v="2"/>
    <s v="Bhopal"/>
  </r>
  <r>
    <s v="B-25855"/>
    <n v="550"/>
    <n v="242"/>
    <n v="0.44"/>
    <n v="5"/>
    <x v="0"/>
    <x v="15"/>
    <x v="170"/>
    <s v="Nov-18"/>
    <x v="224"/>
    <x v="2"/>
    <s v="Bhopal"/>
  </r>
  <r>
    <s v="B-25856"/>
    <n v="74"/>
    <n v="29"/>
    <n v="0.39189189189189189"/>
    <n v="3"/>
    <x v="1"/>
    <x v="1"/>
    <x v="171"/>
    <s v="Nov-18"/>
    <x v="224"/>
    <x v="1"/>
    <s v="Mumbai"/>
  </r>
  <r>
    <s v="B-25856"/>
    <n v="10"/>
    <n v="2"/>
    <n v="0.2"/>
    <n v="2"/>
    <x v="1"/>
    <x v="16"/>
    <x v="171"/>
    <s v="Nov-18"/>
    <x v="224"/>
    <x v="1"/>
    <s v="Mumbai"/>
  </r>
  <r>
    <s v="B-25856"/>
    <n v="689"/>
    <n v="90"/>
    <n v="0.13062409288824384"/>
    <n v="5"/>
    <x v="1"/>
    <x v="5"/>
    <x v="171"/>
    <s v="Nov-18"/>
    <x v="224"/>
    <x v="1"/>
    <s v="Mumbai"/>
  </r>
  <r>
    <s v="B-25856"/>
    <n v="257"/>
    <n v="3"/>
    <n v="1.1673151750972763E-2"/>
    <n v="2"/>
    <x v="1"/>
    <x v="5"/>
    <x v="171"/>
    <s v="Nov-18"/>
    <x v="224"/>
    <x v="1"/>
    <s v="Mumbai"/>
  </r>
  <r>
    <s v="B-25856"/>
    <n v="48"/>
    <n v="6"/>
    <n v="0.125"/>
    <n v="1"/>
    <x v="1"/>
    <x v="5"/>
    <x v="171"/>
    <s v="Nov-18"/>
    <x v="224"/>
    <x v="1"/>
    <s v="Mumbai"/>
  </r>
  <r>
    <s v="B-25857"/>
    <n v="324"/>
    <n v="39"/>
    <n v="0.12037037037037036"/>
    <n v="8"/>
    <x v="2"/>
    <x v="14"/>
    <x v="171"/>
    <s v="Nov-18"/>
    <x v="225"/>
    <x v="2"/>
    <s v="Indore"/>
  </r>
  <r>
    <s v="B-25857"/>
    <n v="598"/>
    <n v="166"/>
    <n v="0.27759197324414714"/>
    <n v="4"/>
    <x v="0"/>
    <x v="0"/>
    <x v="171"/>
    <s v="Nov-18"/>
    <x v="225"/>
    <x v="2"/>
    <s v="Indore"/>
  </r>
  <r>
    <s v="B-25857"/>
    <n v="227"/>
    <n v="59"/>
    <n v="0.25991189427312777"/>
    <n v="2"/>
    <x v="0"/>
    <x v="15"/>
    <x v="171"/>
    <s v="Nov-18"/>
    <x v="225"/>
    <x v="2"/>
    <s v="Indore"/>
  </r>
  <r>
    <s v="B-25858"/>
    <n v="22"/>
    <n v="8"/>
    <n v="0.36363636363636365"/>
    <n v="3"/>
    <x v="1"/>
    <x v="2"/>
    <x v="172"/>
    <s v="Nov-18"/>
    <x v="193"/>
    <x v="1"/>
    <s v="Mumbai"/>
  </r>
  <r>
    <s v="B-25858"/>
    <n v="29"/>
    <n v="11"/>
    <n v="0.37931034482758619"/>
    <n v="4"/>
    <x v="1"/>
    <x v="16"/>
    <x v="172"/>
    <s v="Nov-18"/>
    <x v="193"/>
    <x v="1"/>
    <s v="Mumbai"/>
  </r>
  <r>
    <s v="B-25858"/>
    <n v="27"/>
    <n v="5"/>
    <n v="0.18518518518518517"/>
    <n v="2"/>
    <x v="1"/>
    <x v="16"/>
    <x v="172"/>
    <s v="Nov-18"/>
    <x v="193"/>
    <x v="1"/>
    <s v="Mumbai"/>
  </r>
  <r>
    <s v="B-25858"/>
    <n v="82"/>
    <n v="13"/>
    <n v="0.15853658536585366"/>
    <n v="2"/>
    <x v="1"/>
    <x v="10"/>
    <x v="172"/>
    <s v="Nov-18"/>
    <x v="193"/>
    <x v="1"/>
    <s v="Mumbai"/>
  </r>
  <r>
    <s v="B-25858"/>
    <n v="294"/>
    <n v="109"/>
    <n v="0.37074829931972791"/>
    <n v="7"/>
    <x v="2"/>
    <x v="14"/>
    <x v="172"/>
    <s v="Nov-18"/>
    <x v="193"/>
    <x v="1"/>
    <s v="Mumbai"/>
  </r>
  <r>
    <s v="B-25858"/>
    <n v="16"/>
    <n v="0"/>
    <n v="0"/>
    <n v="1"/>
    <x v="1"/>
    <x v="5"/>
    <x v="172"/>
    <s v="Nov-18"/>
    <x v="193"/>
    <x v="1"/>
    <s v="Mumbai"/>
  </r>
  <r>
    <s v="B-25858"/>
    <n v="245"/>
    <n v="30"/>
    <n v="0.12244897959183673"/>
    <n v="2"/>
    <x v="1"/>
    <x v="5"/>
    <x v="172"/>
    <s v="Nov-18"/>
    <x v="193"/>
    <x v="1"/>
    <s v="Mumbai"/>
  </r>
  <r>
    <s v="B-25858"/>
    <n v="223"/>
    <n v="27"/>
    <n v="0.1210762331838565"/>
    <n v="2"/>
    <x v="0"/>
    <x v="0"/>
    <x v="172"/>
    <s v="Nov-18"/>
    <x v="193"/>
    <x v="1"/>
    <s v="Mumbai"/>
  </r>
  <r>
    <s v="B-25858"/>
    <n v="2457"/>
    <n v="665"/>
    <n v="0.27065527065527067"/>
    <n v="11"/>
    <x v="2"/>
    <x v="3"/>
    <x v="172"/>
    <s v="Nov-18"/>
    <x v="193"/>
    <x v="1"/>
    <s v="Mumbai"/>
  </r>
  <r>
    <s v="B-25859"/>
    <n v="724"/>
    <n v="253"/>
    <n v="0.34944751381215472"/>
    <n v="2"/>
    <x v="0"/>
    <x v="0"/>
    <x v="173"/>
    <s v="Nov-18"/>
    <x v="226"/>
    <x v="2"/>
    <s v="Indore"/>
  </r>
  <r>
    <s v="B-25860"/>
    <n v="112"/>
    <n v="24"/>
    <n v="0.21428571428571427"/>
    <n v="3"/>
    <x v="1"/>
    <x v="8"/>
    <x v="174"/>
    <s v="Nov-18"/>
    <x v="145"/>
    <x v="7"/>
    <s v="Chennai"/>
  </r>
  <r>
    <s v="B-25861"/>
    <n v="128"/>
    <n v="4"/>
    <n v="3.125E-2"/>
    <n v="3"/>
    <x v="1"/>
    <x v="5"/>
    <x v="174"/>
    <s v="Nov-18"/>
    <x v="227"/>
    <x v="8"/>
    <s v="Lucknow"/>
  </r>
  <r>
    <s v="B-25861"/>
    <n v="50"/>
    <n v="3"/>
    <n v="0.06"/>
    <n v="2"/>
    <x v="1"/>
    <x v="1"/>
    <x v="174"/>
    <s v="Nov-18"/>
    <x v="227"/>
    <x v="8"/>
    <s v="Lucknow"/>
  </r>
  <r>
    <s v="B-25861"/>
    <n v="62"/>
    <n v="6"/>
    <n v="9.6774193548387094E-2"/>
    <n v="5"/>
    <x v="1"/>
    <x v="2"/>
    <x v="174"/>
    <s v="Nov-18"/>
    <x v="227"/>
    <x v="8"/>
    <s v="Lucknow"/>
  </r>
  <r>
    <s v="B-25861"/>
    <n v="44"/>
    <n v="14"/>
    <n v="0.31818181818181818"/>
    <n v="3"/>
    <x v="1"/>
    <x v="2"/>
    <x v="174"/>
    <s v="Nov-18"/>
    <x v="227"/>
    <x v="8"/>
    <s v="Lucknow"/>
  </r>
  <r>
    <s v="B-25861"/>
    <n v="56"/>
    <n v="18"/>
    <n v="0.32142857142857145"/>
    <n v="2"/>
    <x v="1"/>
    <x v="2"/>
    <x v="174"/>
    <s v="Nov-18"/>
    <x v="227"/>
    <x v="8"/>
    <s v="Lucknow"/>
  </r>
  <r>
    <s v="B-25861"/>
    <n v="216"/>
    <n v="-83"/>
    <n v="-0.38425925925925924"/>
    <n v="3"/>
    <x v="2"/>
    <x v="3"/>
    <x v="174"/>
    <s v="Nov-18"/>
    <x v="227"/>
    <x v="8"/>
    <s v="Lucknow"/>
  </r>
  <r>
    <s v="B-25862"/>
    <n v="2061"/>
    <n v="701"/>
    <n v="0.34012615235322657"/>
    <n v="5"/>
    <x v="0"/>
    <x v="0"/>
    <x v="174"/>
    <s v="Nov-18"/>
    <x v="228"/>
    <x v="9"/>
    <s v="Patna"/>
  </r>
  <r>
    <s v="B-25862"/>
    <n v="121"/>
    <n v="41"/>
    <n v="0.33884297520661155"/>
    <n v="4"/>
    <x v="1"/>
    <x v="1"/>
    <x v="174"/>
    <s v="Nov-18"/>
    <x v="228"/>
    <x v="9"/>
    <s v="Patna"/>
  </r>
  <r>
    <s v="B-25862"/>
    <n v="80"/>
    <n v="3"/>
    <n v="3.7499999999999999E-2"/>
    <n v="3"/>
    <x v="1"/>
    <x v="1"/>
    <x v="174"/>
    <s v="Nov-18"/>
    <x v="228"/>
    <x v="9"/>
    <s v="Patna"/>
  </r>
  <r>
    <s v="B-25863"/>
    <n v="189"/>
    <n v="87"/>
    <n v="0.46031746031746029"/>
    <n v="7"/>
    <x v="1"/>
    <x v="1"/>
    <x v="174"/>
    <s v="Nov-18"/>
    <x v="229"/>
    <x v="10"/>
    <s v="Thiruvananthapuram"/>
  </r>
  <r>
    <s v="B-25864"/>
    <n v="100"/>
    <n v="6"/>
    <n v="0.06"/>
    <n v="4"/>
    <x v="1"/>
    <x v="1"/>
    <x v="174"/>
    <s v="Nov-18"/>
    <x v="230"/>
    <x v="1"/>
    <s v="Mumbai"/>
  </r>
  <r>
    <s v="B-25864"/>
    <n v="17"/>
    <n v="5"/>
    <n v="0.29411764705882354"/>
    <n v="1"/>
    <x v="1"/>
    <x v="2"/>
    <x v="174"/>
    <s v="Nov-18"/>
    <x v="230"/>
    <x v="1"/>
    <s v="Mumbai"/>
  </r>
  <r>
    <s v="B-25864"/>
    <n v="22"/>
    <n v="8"/>
    <n v="0.36363636363636365"/>
    <n v="2"/>
    <x v="1"/>
    <x v="11"/>
    <x v="174"/>
    <s v="Nov-18"/>
    <x v="230"/>
    <x v="1"/>
    <s v="Mumbai"/>
  </r>
  <r>
    <s v="B-25864"/>
    <n v="27"/>
    <n v="9"/>
    <n v="0.33333333333333331"/>
    <n v="2"/>
    <x v="1"/>
    <x v="2"/>
    <x v="174"/>
    <s v="Nov-18"/>
    <x v="230"/>
    <x v="1"/>
    <s v="Mumbai"/>
  </r>
  <r>
    <s v="B-25865"/>
    <n v="85"/>
    <n v="-1"/>
    <n v="-1.1764705882352941E-2"/>
    <n v="3"/>
    <x v="1"/>
    <x v="5"/>
    <x v="174"/>
    <s v="Nov-18"/>
    <x v="231"/>
    <x v="2"/>
    <s v="Indore"/>
  </r>
  <r>
    <s v="B-25866"/>
    <n v="51"/>
    <n v="14"/>
    <n v="0.27450980392156865"/>
    <n v="2"/>
    <x v="1"/>
    <x v="1"/>
    <x v="175"/>
    <s v="Nov-18"/>
    <x v="232"/>
    <x v="13"/>
    <s v="Simla"/>
  </r>
  <r>
    <s v="B-25867"/>
    <n v="31"/>
    <n v="14"/>
    <n v="0.45161290322580644"/>
    <n v="3"/>
    <x v="1"/>
    <x v="1"/>
    <x v="176"/>
    <s v="Nov-18"/>
    <x v="184"/>
    <x v="14"/>
    <s v="Gangtok"/>
  </r>
  <r>
    <s v="B-25867"/>
    <n v="240"/>
    <n v="12"/>
    <n v="0.05"/>
    <n v="6"/>
    <x v="1"/>
    <x v="8"/>
    <x v="176"/>
    <s v="Nov-18"/>
    <x v="184"/>
    <x v="14"/>
    <s v="Gangtok"/>
  </r>
  <r>
    <s v="B-25867"/>
    <n v="163"/>
    <n v="26"/>
    <n v="0.15950920245398773"/>
    <n v="4"/>
    <x v="1"/>
    <x v="10"/>
    <x v="176"/>
    <s v="Nov-18"/>
    <x v="184"/>
    <x v="14"/>
    <s v="Gangtok"/>
  </r>
  <r>
    <s v="B-25868"/>
    <n v="170"/>
    <n v="73"/>
    <n v="0.42941176470588233"/>
    <n v="2"/>
    <x v="2"/>
    <x v="14"/>
    <x v="177"/>
    <s v="Nov-18"/>
    <x v="233"/>
    <x v="15"/>
    <s v="Goa"/>
  </r>
  <r>
    <s v="B-25868"/>
    <n v="62"/>
    <n v="-1"/>
    <n v="-1.6129032258064516E-2"/>
    <n v="1"/>
    <x v="2"/>
    <x v="4"/>
    <x v="177"/>
    <s v="Nov-18"/>
    <x v="233"/>
    <x v="15"/>
    <s v="Goa"/>
  </r>
  <r>
    <s v="B-25868"/>
    <n v="1118"/>
    <n v="206"/>
    <n v="0.18425760286225404"/>
    <n v="2"/>
    <x v="0"/>
    <x v="12"/>
    <x v="177"/>
    <s v="Nov-18"/>
    <x v="233"/>
    <x v="15"/>
    <s v="Goa"/>
  </r>
  <r>
    <s v="B-25869"/>
    <n v="86"/>
    <n v="9"/>
    <n v="0.10465116279069768"/>
    <n v="3"/>
    <x v="1"/>
    <x v="5"/>
    <x v="178"/>
    <s v="Nov-18"/>
    <x v="234"/>
    <x v="16"/>
    <s v="Kohima"/>
  </r>
  <r>
    <s v="B-25870"/>
    <n v="10"/>
    <n v="4"/>
    <n v="0.4"/>
    <n v="1"/>
    <x v="1"/>
    <x v="8"/>
    <x v="179"/>
    <s v="Nov-18"/>
    <x v="127"/>
    <x v="17"/>
    <s v="Hyderabad"/>
  </r>
  <r>
    <s v="B-25870"/>
    <n v="845"/>
    <n v="84"/>
    <n v="9.9408284023668636E-2"/>
    <n v="7"/>
    <x v="1"/>
    <x v="5"/>
    <x v="179"/>
    <s v="Nov-18"/>
    <x v="127"/>
    <x v="17"/>
    <s v="Hyderabad"/>
  </r>
  <r>
    <s v="B-25870"/>
    <n v="57"/>
    <n v="7"/>
    <n v="0.12280701754385964"/>
    <n v="3"/>
    <x v="0"/>
    <x v="15"/>
    <x v="179"/>
    <s v="Nov-18"/>
    <x v="127"/>
    <x v="17"/>
    <s v="Hyderabad"/>
  </r>
  <r>
    <s v="B-25870"/>
    <n v="473"/>
    <n v="113"/>
    <n v="0.23890063424947147"/>
    <n v="9"/>
    <x v="1"/>
    <x v="2"/>
    <x v="179"/>
    <s v="Nov-18"/>
    <x v="127"/>
    <x v="17"/>
    <s v="Hyderabad"/>
  </r>
  <r>
    <s v="B-25871"/>
    <n v="118"/>
    <n v="25"/>
    <n v="0.21186440677966101"/>
    <n v="4"/>
    <x v="1"/>
    <x v="2"/>
    <x v="180"/>
    <s v="Nov-18"/>
    <x v="235"/>
    <x v="0"/>
    <s v="Surat"/>
  </r>
  <r>
    <s v="B-25872"/>
    <n v="57"/>
    <n v="27"/>
    <n v="0.47368421052631576"/>
    <n v="2"/>
    <x v="1"/>
    <x v="10"/>
    <x v="181"/>
    <s v="Nov-18"/>
    <x v="236"/>
    <x v="1"/>
    <s v="Mumbai"/>
  </r>
  <r>
    <s v="B-25873"/>
    <n v="66"/>
    <n v="12"/>
    <n v="0.18181818181818182"/>
    <n v="3"/>
    <x v="1"/>
    <x v="1"/>
    <x v="182"/>
    <s v="Nov-18"/>
    <x v="237"/>
    <x v="2"/>
    <s v="Indore"/>
  </r>
  <r>
    <s v="B-25873"/>
    <n v="367"/>
    <n v="73"/>
    <n v="0.1989100817438692"/>
    <n v="3"/>
    <x v="2"/>
    <x v="3"/>
    <x v="182"/>
    <s v="Nov-18"/>
    <x v="237"/>
    <x v="2"/>
    <s v="Indore"/>
  </r>
  <r>
    <s v="B-25873"/>
    <n v="7"/>
    <n v="1"/>
    <n v="0.14285714285714285"/>
    <n v="1"/>
    <x v="1"/>
    <x v="2"/>
    <x v="182"/>
    <s v="Nov-18"/>
    <x v="237"/>
    <x v="2"/>
    <s v="Indore"/>
  </r>
  <r>
    <s v="B-25873"/>
    <n v="1275"/>
    <n v="357"/>
    <n v="0.28000000000000003"/>
    <n v="2"/>
    <x v="2"/>
    <x v="4"/>
    <x v="182"/>
    <s v="Nov-18"/>
    <x v="237"/>
    <x v="2"/>
    <s v="Indore"/>
  </r>
  <r>
    <s v="B-25873"/>
    <n v="42"/>
    <n v="12"/>
    <n v="0.2857142857142857"/>
    <n v="2"/>
    <x v="1"/>
    <x v="8"/>
    <x v="182"/>
    <s v="Nov-18"/>
    <x v="237"/>
    <x v="2"/>
    <s v="Indore"/>
  </r>
  <r>
    <s v="B-25874"/>
    <n v="124"/>
    <n v="54"/>
    <n v="0.43548387096774194"/>
    <n v="5"/>
    <x v="1"/>
    <x v="9"/>
    <x v="183"/>
    <s v="Nov-18"/>
    <x v="106"/>
    <x v="3"/>
    <s v="Udaipur"/>
  </r>
  <r>
    <s v="B-25875"/>
    <n v="248"/>
    <n v="8"/>
    <n v="3.2258064516129031E-2"/>
    <n v="2"/>
    <x v="1"/>
    <x v="5"/>
    <x v="183"/>
    <s v="Nov-18"/>
    <x v="238"/>
    <x v="8"/>
    <s v="Allahabad"/>
  </r>
  <r>
    <s v="B-25876"/>
    <n v="282"/>
    <n v="14"/>
    <n v="4.9645390070921988E-2"/>
    <n v="4"/>
    <x v="1"/>
    <x v="6"/>
    <x v="183"/>
    <s v="Nov-18"/>
    <x v="239"/>
    <x v="11"/>
    <s v="Amritsar"/>
  </r>
  <r>
    <s v="B-25877"/>
    <n v="1137"/>
    <n v="568"/>
    <n v="0.49956024626209322"/>
    <n v="2"/>
    <x v="1"/>
    <x v="6"/>
    <x v="183"/>
    <s v="Nov-18"/>
    <x v="240"/>
    <x v="0"/>
    <s v="Surat"/>
  </r>
  <r>
    <s v="B-25877"/>
    <n v="269"/>
    <n v="33"/>
    <n v="0.12267657992565056"/>
    <n v="5"/>
    <x v="0"/>
    <x v="7"/>
    <x v="183"/>
    <s v="Nov-18"/>
    <x v="240"/>
    <x v="0"/>
    <s v="Surat"/>
  </r>
  <r>
    <s v="B-25877"/>
    <n v="24"/>
    <n v="8"/>
    <n v="0.33333333333333331"/>
    <n v="2"/>
    <x v="1"/>
    <x v="16"/>
    <x v="183"/>
    <s v="Nov-18"/>
    <x v="240"/>
    <x v="0"/>
    <s v="Surat"/>
  </r>
  <r>
    <s v="B-25878"/>
    <n v="165"/>
    <n v="46"/>
    <n v="0.27878787878787881"/>
    <n v="3"/>
    <x v="0"/>
    <x v="15"/>
    <x v="183"/>
    <s v="Nov-18"/>
    <x v="241"/>
    <x v="1"/>
    <s v="Mumbai"/>
  </r>
  <r>
    <s v="B-25878"/>
    <n v="46"/>
    <n v="0"/>
    <n v="0"/>
    <n v="4"/>
    <x v="1"/>
    <x v="11"/>
    <x v="183"/>
    <s v="Nov-18"/>
    <x v="241"/>
    <x v="1"/>
    <s v="Mumbai"/>
  </r>
  <r>
    <s v="B-25878"/>
    <n v="84"/>
    <n v="41"/>
    <n v="0.48809523809523808"/>
    <n v="3"/>
    <x v="1"/>
    <x v="9"/>
    <x v="183"/>
    <s v="Nov-18"/>
    <x v="241"/>
    <x v="1"/>
    <s v="Mumbai"/>
  </r>
  <r>
    <s v="B-25878"/>
    <n v="140"/>
    <n v="15"/>
    <n v="0.10714285714285714"/>
    <n v="5"/>
    <x v="1"/>
    <x v="1"/>
    <x v="183"/>
    <s v="Nov-18"/>
    <x v="241"/>
    <x v="1"/>
    <s v="Mumbai"/>
  </r>
  <r>
    <s v="B-25878"/>
    <n v="741"/>
    <n v="267"/>
    <n v="0.36032388663967613"/>
    <n v="5"/>
    <x v="0"/>
    <x v="0"/>
    <x v="183"/>
    <s v="Nov-18"/>
    <x v="241"/>
    <x v="1"/>
    <s v="Mumbai"/>
  </r>
  <r>
    <s v="B-25878"/>
    <n v="719"/>
    <n v="303"/>
    <n v="0.42141863699582754"/>
    <n v="6"/>
    <x v="0"/>
    <x v="7"/>
    <x v="183"/>
    <s v="Nov-18"/>
    <x v="241"/>
    <x v="1"/>
    <s v="Mumbai"/>
  </r>
  <r>
    <s v="B-25879"/>
    <n v="57"/>
    <n v="28"/>
    <n v="0.49122807017543857"/>
    <n v="2"/>
    <x v="1"/>
    <x v="8"/>
    <x v="183"/>
    <s v="Nov-18"/>
    <x v="173"/>
    <x v="2"/>
    <s v="Indore"/>
  </r>
  <r>
    <s v="B-25880"/>
    <n v="108"/>
    <n v="37"/>
    <n v="0.34259259259259262"/>
    <n v="2"/>
    <x v="1"/>
    <x v="1"/>
    <x v="183"/>
    <s v="Nov-18"/>
    <x v="242"/>
    <x v="3"/>
    <s v="Udaipur"/>
  </r>
  <r>
    <s v="B-25881"/>
    <n v="37"/>
    <n v="3"/>
    <n v="8.1081081081081086E-2"/>
    <n v="3"/>
    <x v="1"/>
    <x v="2"/>
    <x v="184"/>
    <s v="Nov-18"/>
    <x v="27"/>
    <x v="8"/>
    <s v="Allahabad"/>
  </r>
  <r>
    <s v="B-25881"/>
    <n v="26"/>
    <n v="9"/>
    <n v="0.34615384615384615"/>
    <n v="2"/>
    <x v="1"/>
    <x v="11"/>
    <x v="184"/>
    <s v="Nov-18"/>
    <x v="27"/>
    <x v="8"/>
    <s v="Allahabad"/>
  </r>
  <r>
    <s v="B-25881"/>
    <n v="1351"/>
    <n v="111"/>
    <n v="8.2161361954108073E-2"/>
    <n v="6"/>
    <x v="2"/>
    <x v="3"/>
    <x v="184"/>
    <s v="Nov-18"/>
    <x v="27"/>
    <x v="8"/>
    <s v="Allahabad"/>
  </r>
  <r>
    <s v="B-25881"/>
    <n v="2244"/>
    <n v="247"/>
    <n v="0.11007130124777184"/>
    <n v="4"/>
    <x v="1"/>
    <x v="6"/>
    <x v="184"/>
    <s v="Nov-18"/>
    <x v="27"/>
    <x v="8"/>
    <s v="Allahabad"/>
  </r>
  <r>
    <s v="B-25881"/>
    <n v="36"/>
    <n v="7"/>
    <n v="0.19444444444444445"/>
    <n v="3"/>
    <x v="1"/>
    <x v="11"/>
    <x v="184"/>
    <s v="Nov-18"/>
    <x v="27"/>
    <x v="8"/>
    <s v="Allahabad"/>
  </r>
  <r>
    <s v="B-25881"/>
    <n v="2115"/>
    <n v="23"/>
    <n v="1.0874704491725768E-2"/>
    <n v="5"/>
    <x v="0"/>
    <x v="7"/>
    <x v="184"/>
    <s v="Nov-18"/>
    <x v="27"/>
    <x v="8"/>
    <s v="Allahabad"/>
  </r>
  <r>
    <s v="B-25882"/>
    <n v="121"/>
    <n v="19"/>
    <n v="0.15702479338842976"/>
    <n v="4"/>
    <x v="1"/>
    <x v="1"/>
    <x v="185"/>
    <s v="Nov-18"/>
    <x v="243"/>
    <x v="11"/>
    <s v="Amritsar"/>
  </r>
  <r>
    <s v="B-25883"/>
    <n v="146"/>
    <n v="42"/>
    <n v="0.28767123287671231"/>
    <n v="5"/>
    <x v="1"/>
    <x v="2"/>
    <x v="186"/>
    <s v="Nov-18"/>
    <x v="244"/>
    <x v="0"/>
    <s v="Surat"/>
  </r>
  <r>
    <s v="B-25883"/>
    <n v="105"/>
    <n v="26"/>
    <n v="0.24761904761904763"/>
    <n v="8"/>
    <x v="1"/>
    <x v="11"/>
    <x v="186"/>
    <s v="Nov-18"/>
    <x v="244"/>
    <x v="0"/>
    <s v="Surat"/>
  </r>
  <r>
    <s v="B-25883"/>
    <n v="127"/>
    <n v="29"/>
    <n v="0.2283464566929134"/>
    <n v="3"/>
    <x v="0"/>
    <x v="15"/>
    <x v="186"/>
    <s v="Nov-18"/>
    <x v="244"/>
    <x v="0"/>
    <s v="Surat"/>
  </r>
  <r>
    <s v="B-25883"/>
    <n v="16"/>
    <n v="-15"/>
    <n v="-0.9375"/>
    <n v="4"/>
    <x v="1"/>
    <x v="2"/>
    <x v="186"/>
    <s v="Nov-18"/>
    <x v="244"/>
    <x v="0"/>
    <s v="Surat"/>
  </r>
  <r>
    <s v="B-25883"/>
    <n v="10"/>
    <n v="-2"/>
    <n v="-0.2"/>
    <n v="2"/>
    <x v="1"/>
    <x v="11"/>
    <x v="186"/>
    <s v="Nov-18"/>
    <x v="244"/>
    <x v="0"/>
    <s v="Surat"/>
  </r>
  <r>
    <s v="B-25884"/>
    <n v="24"/>
    <n v="2"/>
    <n v="8.3333333333333329E-2"/>
    <n v="4"/>
    <x v="1"/>
    <x v="2"/>
    <x v="187"/>
    <s v="Nov-18"/>
    <x v="245"/>
    <x v="1"/>
    <s v="Mumbai"/>
  </r>
  <r>
    <s v="B-25885"/>
    <n v="94"/>
    <n v="27"/>
    <n v="0.28723404255319152"/>
    <n v="2"/>
    <x v="1"/>
    <x v="10"/>
    <x v="187"/>
    <s v="Nov-18"/>
    <x v="246"/>
    <x v="2"/>
    <s v="Indore"/>
  </r>
  <r>
    <s v="B-25885"/>
    <n v="394"/>
    <n v="146"/>
    <n v="0.37055837563451777"/>
    <n v="2"/>
    <x v="0"/>
    <x v="0"/>
    <x v="187"/>
    <s v="Nov-18"/>
    <x v="246"/>
    <x v="2"/>
    <s v="Indore"/>
  </r>
  <r>
    <s v="B-25885"/>
    <n v="734"/>
    <n v="248"/>
    <n v="0.33787465940054495"/>
    <n v="2"/>
    <x v="0"/>
    <x v="7"/>
    <x v="187"/>
    <s v="Nov-18"/>
    <x v="246"/>
    <x v="2"/>
    <s v="Indore"/>
  </r>
  <r>
    <s v="B-25885"/>
    <n v="349"/>
    <n v="0"/>
    <n v="0"/>
    <n v="7"/>
    <x v="1"/>
    <x v="1"/>
    <x v="187"/>
    <s v="Nov-18"/>
    <x v="246"/>
    <x v="2"/>
    <s v="Indore"/>
  </r>
  <r>
    <s v="B-25886"/>
    <n v="89"/>
    <n v="17"/>
    <n v="0.19101123595505617"/>
    <n v="2"/>
    <x v="1"/>
    <x v="1"/>
    <x v="187"/>
    <s v="Nov-18"/>
    <x v="247"/>
    <x v="3"/>
    <s v="Udaipur"/>
  </r>
  <r>
    <s v="B-25886"/>
    <n v="502"/>
    <n v="84"/>
    <n v="0.16733067729083664"/>
    <n v="4"/>
    <x v="2"/>
    <x v="4"/>
    <x v="187"/>
    <s v="Nov-18"/>
    <x v="247"/>
    <x v="3"/>
    <s v="Udaipur"/>
  </r>
  <r>
    <s v="B-25886"/>
    <n v="63"/>
    <n v="1"/>
    <n v="1.5873015873015872E-2"/>
    <n v="4"/>
    <x v="1"/>
    <x v="9"/>
    <x v="187"/>
    <s v="Nov-18"/>
    <x v="247"/>
    <x v="3"/>
    <s v="Udaipur"/>
  </r>
  <r>
    <s v="B-25886"/>
    <n v="107"/>
    <n v="37"/>
    <n v="0.34579439252336447"/>
    <n v="3"/>
    <x v="1"/>
    <x v="10"/>
    <x v="187"/>
    <s v="Nov-18"/>
    <x v="247"/>
    <x v="3"/>
    <s v="Udaipur"/>
  </r>
  <r>
    <s v="B-25887"/>
    <n v="83"/>
    <n v="6"/>
    <n v="7.2289156626506021E-2"/>
    <n v="6"/>
    <x v="1"/>
    <x v="10"/>
    <x v="188"/>
    <s v="Dec-18"/>
    <x v="248"/>
    <x v="8"/>
    <s v="Allahabad"/>
  </r>
  <r>
    <s v="B-25887"/>
    <n v="2125"/>
    <n v="234"/>
    <n v="0.11011764705882353"/>
    <n v="6"/>
    <x v="2"/>
    <x v="13"/>
    <x v="188"/>
    <s v="Dec-18"/>
    <x v="248"/>
    <x v="8"/>
    <s v="Allahabad"/>
  </r>
  <r>
    <s v="B-25888"/>
    <n v="18"/>
    <n v="2"/>
    <n v="0.1111111111111111"/>
    <n v="3"/>
    <x v="1"/>
    <x v="2"/>
    <x v="189"/>
    <s v="Dec-18"/>
    <x v="200"/>
    <x v="11"/>
    <s v="Amritsar"/>
  </r>
  <r>
    <s v="B-25888"/>
    <n v="223"/>
    <n v="4"/>
    <n v="1.7937219730941704E-2"/>
    <n v="3"/>
    <x v="2"/>
    <x v="4"/>
    <x v="189"/>
    <s v="Dec-18"/>
    <x v="200"/>
    <x v="11"/>
    <s v="Amritsar"/>
  </r>
  <r>
    <s v="B-25888"/>
    <n v="646"/>
    <n v="213"/>
    <n v="0.32972136222910214"/>
    <n v="3"/>
    <x v="2"/>
    <x v="3"/>
    <x v="189"/>
    <s v="Dec-18"/>
    <x v="200"/>
    <x v="11"/>
    <s v="Amritsar"/>
  </r>
  <r>
    <s v="B-25889"/>
    <n v="31"/>
    <n v="10"/>
    <n v="0.32258064516129031"/>
    <n v="1"/>
    <x v="1"/>
    <x v="8"/>
    <x v="190"/>
    <s v="Dec-18"/>
    <x v="168"/>
    <x v="0"/>
    <s v="Surat"/>
  </r>
  <r>
    <s v="B-25889"/>
    <n v="119"/>
    <n v="43"/>
    <n v="0.36134453781512604"/>
    <n v="7"/>
    <x v="1"/>
    <x v="8"/>
    <x v="190"/>
    <s v="Dec-18"/>
    <x v="168"/>
    <x v="0"/>
    <s v="Surat"/>
  </r>
  <r>
    <s v="B-25889"/>
    <n v="114"/>
    <n v="11"/>
    <n v="9.6491228070175433E-2"/>
    <n v="4"/>
    <x v="1"/>
    <x v="9"/>
    <x v="190"/>
    <s v="Dec-18"/>
    <x v="168"/>
    <x v="0"/>
    <s v="Surat"/>
  </r>
  <r>
    <s v="B-25890"/>
    <n v="465"/>
    <n v="207"/>
    <n v="0.44516129032258067"/>
    <n v="9"/>
    <x v="1"/>
    <x v="5"/>
    <x v="191"/>
    <s v="Dec-18"/>
    <x v="249"/>
    <x v="1"/>
    <s v="Mumbai"/>
  </r>
  <r>
    <s v="B-25891"/>
    <n v="25"/>
    <n v="2"/>
    <n v="0.08"/>
    <n v="2"/>
    <x v="1"/>
    <x v="2"/>
    <x v="191"/>
    <s v="Dec-18"/>
    <x v="103"/>
    <x v="2"/>
    <s v="Indore"/>
  </r>
  <r>
    <s v="B-25891"/>
    <n v="97"/>
    <n v="36"/>
    <n v="0.37113402061855671"/>
    <n v="7"/>
    <x v="1"/>
    <x v="2"/>
    <x v="191"/>
    <s v="Dec-18"/>
    <x v="103"/>
    <x v="2"/>
    <s v="Indore"/>
  </r>
  <r>
    <s v="B-25891"/>
    <n v="121"/>
    <n v="41"/>
    <n v="0.33884297520661155"/>
    <n v="4"/>
    <x v="1"/>
    <x v="1"/>
    <x v="191"/>
    <s v="Dec-18"/>
    <x v="103"/>
    <x v="2"/>
    <s v="Indore"/>
  </r>
  <r>
    <s v="B-25892"/>
    <n v="139"/>
    <n v="30"/>
    <n v="0.21582733812949639"/>
    <n v="3"/>
    <x v="1"/>
    <x v="10"/>
    <x v="191"/>
    <s v="Dec-18"/>
    <x v="162"/>
    <x v="3"/>
    <s v="Udaipur"/>
  </r>
  <r>
    <s v="B-25893"/>
    <n v="355"/>
    <n v="114"/>
    <n v="0.3211267605633803"/>
    <n v="7"/>
    <x v="1"/>
    <x v="1"/>
    <x v="191"/>
    <s v="Dec-18"/>
    <x v="250"/>
    <x v="8"/>
    <s v="Allahabad"/>
  </r>
  <r>
    <s v="B-25893"/>
    <n v="61"/>
    <n v="11"/>
    <n v="0.18032786885245902"/>
    <n v="3"/>
    <x v="1"/>
    <x v="8"/>
    <x v="191"/>
    <s v="Dec-18"/>
    <x v="250"/>
    <x v="8"/>
    <s v="Allahabad"/>
  </r>
  <r>
    <s v="B-25893"/>
    <n v="149"/>
    <n v="15"/>
    <n v="0.10067114093959731"/>
    <n v="3"/>
    <x v="1"/>
    <x v="5"/>
    <x v="191"/>
    <s v="Dec-18"/>
    <x v="250"/>
    <x v="8"/>
    <s v="Allahabad"/>
  </r>
  <r>
    <s v="B-25893"/>
    <n v="688"/>
    <n v="103"/>
    <n v="0.14970930232558138"/>
    <n v="6"/>
    <x v="2"/>
    <x v="14"/>
    <x v="191"/>
    <s v="Dec-18"/>
    <x v="250"/>
    <x v="8"/>
    <s v="Allahabad"/>
  </r>
  <r>
    <s v="B-25893"/>
    <n v="372"/>
    <n v="59"/>
    <n v="0.15860215053763441"/>
    <n v="3"/>
    <x v="2"/>
    <x v="13"/>
    <x v="191"/>
    <s v="Dec-18"/>
    <x v="250"/>
    <x v="8"/>
    <s v="Allahabad"/>
  </r>
  <r>
    <s v="B-25893"/>
    <n v="223"/>
    <n v="62"/>
    <n v="0.27802690582959644"/>
    <n v="7"/>
    <x v="1"/>
    <x v="10"/>
    <x v="191"/>
    <s v="Dec-18"/>
    <x v="250"/>
    <x v="8"/>
    <s v="Allahabad"/>
  </r>
  <r>
    <s v="B-25893"/>
    <n v="83"/>
    <n v="12"/>
    <n v="0.14457831325301204"/>
    <n v="3"/>
    <x v="1"/>
    <x v="1"/>
    <x v="191"/>
    <s v="Dec-18"/>
    <x v="250"/>
    <x v="8"/>
    <s v="Allahabad"/>
  </r>
  <r>
    <s v="B-25894"/>
    <n v="1246"/>
    <n v="62"/>
    <n v="4.9759229534510431E-2"/>
    <n v="3"/>
    <x v="0"/>
    <x v="0"/>
    <x v="191"/>
    <s v="Dec-18"/>
    <x v="251"/>
    <x v="11"/>
    <s v="Amritsar"/>
  </r>
  <r>
    <s v="B-25895"/>
    <n v="388"/>
    <n v="93"/>
    <n v="0.23969072164948454"/>
    <n v="2"/>
    <x v="0"/>
    <x v="0"/>
    <x v="191"/>
    <s v="Dec-18"/>
    <x v="252"/>
    <x v="0"/>
    <s v="Surat"/>
  </r>
  <r>
    <s v="B-25896"/>
    <n v="31"/>
    <n v="11"/>
    <n v="0.35483870967741937"/>
    <n v="3"/>
    <x v="1"/>
    <x v="16"/>
    <x v="192"/>
    <s v="Dec-18"/>
    <x v="136"/>
    <x v="1"/>
    <s v="Mumbai"/>
  </r>
  <r>
    <s v="B-25896"/>
    <n v="42"/>
    <n v="7"/>
    <n v="0.16666666666666666"/>
    <n v="2"/>
    <x v="1"/>
    <x v="8"/>
    <x v="192"/>
    <s v="Dec-18"/>
    <x v="136"/>
    <x v="1"/>
    <s v="Mumbai"/>
  </r>
  <r>
    <s v="B-25896"/>
    <n v="190"/>
    <n v="68"/>
    <n v="0.35789473684210527"/>
    <n v="8"/>
    <x v="1"/>
    <x v="9"/>
    <x v="192"/>
    <s v="Dec-18"/>
    <x v="136"/>
    <x v="1"/>
    <s v="Mumbai"/>
  </r>
  <r>
    <s v="B-25896"/>
    <n v="103"/>
    <n v="36"/>
    <n v="0.34951456310679613"/>
    <n v="2"/>
    <x v="1"/>
    <x v="2"/>
    <x v="192"/>
    <s v="Dec-18"/>
    <x v="136"/>
    <x v="1"/>
    <s v="Mumbai"/>
  </r>
  <r>
    <s v="B-25896"/>
    <n v="287"/>
    <n v="66"/>
    <n v="0.22996515679442509"/>
    <n v="6"/>
    <x v="1"/>
    <x v="8"/>
    <x v="192"/>
    <s v="Dec-18"/>
    <x v="136"/>
    <x v="1"/>
    <s v="Mumbai"/>
  </r>
  <r>
    <s v="B-25896"/>
    <n v="23"/>
    <n v="4"/>
    <n v="0.17391304347826086"/>
    <n v="2"/>
    <x v="1"/>
    <x v="16"/>
    <x v="192"/>
    <s v="Dec-18"/>
    <x v="136"/>
    <x v="1"/>
    <s v="Mumbai"/>
  </r>
  <r>
    <s v="B-25896"/>
    <n v="79"/>
    <n v="-2"/>
    <n v="-2.5316455696202531E-2"/>
    <n v="2"/>
    <x v="0"/>
    <x v="15"/>
    <x v="192"/>
    <s v="Dec-18"/>
    <x v="136"/>
    <x v="1"/>
    <s v="Mumbai"/>
  </r>
  <r>
    <s v="B-25897"/>
    <n v="43"/>
    <n v="5"/>
    <n v="0.11627906976744186"/>
    <n v="3"/>
    <x v="1"/>
    <x v="1"/>
    <x v="193"/>
    <s v="Dec-18"/>
    <x v="200"/>
    <x v="2"/>
    <s v="Indore"/>
  </r>
  <r>
    <s v="B-25897"/>
    <n v="33"/>
    <n v="10"/>
    <n v="0.30303030303030304"/>
    <n v="3"/>
    <x v="1"/>
    <x v="2"/>
    <x v="193"/>
    <s v="Dec-18"/>
    <x v="200"/>
    <x v="2"/>
    <s v="Indore"/>
  </r>
  <r>
    <s v="B-25897"/>
    <n v="24"/>
    <n v="11"/>
    <n v="0.45833333333333331"/>
    <n v="5"/>
    <x v="1"/>
    <x v="2"/>
    <x v="193"/>
    <s v="Dec-18"/>
    <x v="200"/>
    <x v="2"/>
    <s v="Indore"/>
  </r>
  <r>
    <s v="B-25897"/>
    <n v="734"/>
    <n v="213"/>
    <n v="0.2901907356948229"/>
    <n v="6"/>
    <x v="2"/>
    <x v="3"/>
    <x v="193"/>
    <s v="Dec-18"/>
    <x v="200"/>
    <x v="2"/>
    <s v="Indore"/>
  </r>
  <r>
    <s v="B-25898"/>
    <n v="33"/>
    <n v="13"/>
    <n v="0.39393939393939392"/>
    <n v="3"/>
    <x v="1"/>
    <x v="11"/>
    <x v="194"/>
    <s v="Dec-18"/>
    <x v="168"/>
    <x v="3"/>
    <s v="Udaipur"/>
  </r>
  <r>
    <s v="B-25898"/>
    <n v="499"/>
    <n v="33"/>
    <n v="6.6132264529058113E-2"/>
    <n v="4"/>
    <x v="1"/>
    <x v="5"/>
    <x v="194"/>
    <s v="Dec-18"/>
    <x v="168"/>
    <x v="3"/>
    <s v="Udaipur"/>
  </r>
  <r>
    <s v="B-25898"/>
    <n v="147"/>
    <n v="73"/>
    <n v="0.49659863945578231"/>
    <n v="3"/>
    <x v="1"/>
    <x v="1"/>
    <x v="194"/>
    <s v="Dec-18"/>
    <x v="168"/>
    <x v="3"/>
    <s v="Udaipur"/>
  </r>
  <r>
    <s v="B-25898"/>
    <n v="53"/>
    <n v="5"/>
    <n v="9.4339622641509441E-2"/>
    <n v="3"/>
    <x v="1"/>
    <x v="9"/>
    <x v="194"/>
    <s v="Dec-18"/>
    <x v="168"/>
    <x v="3"/>
    <s v="Udaipur"/>
  </r>
  <r>
    <s v="B-25898"/>
    <n v="171"/>
    <n v="2"/>
    <n v="1.1695906432748537E-2"/>
    <n v="2"/>
    <x v="2"/>
    <x v="3"/>
    <x v="194"/>
    <s v="Dec-18"/>
    <x v="168"/>
    <x v="3"/>
    <s v="Udaipur"/>
  </r>
  <r>
    <s v="B-25898"/>
    <n v="915"/>
    <n v="-99"/>
    <n v="-0.10819672131147541"/>
    <n v="3"/>
    <x v="0"/>
    <x v="12"/>
    <x v="194"/>
    <s v="Dec-18"/>
    <x v="168"/>
    <x v="3"/>
    <s v="Udaipur"/>
  </r>
  <r>
    <s v="B-25898"/>
    <n v="191"/>
    <n v="93"/>
    <n v="0.48691099476439792"/>
    <n v="4"/>
    <x v="1"/>
    <x v="10"/>
    <x v="194"/>
    <s v="Dec-18"/>
    <x v="168"/>
    <x v="3"/>
    <s v="Udaipur"/>
  </r>
  <r>
    <s v="B-25898"/>
    <n v="857"/>
    <n v="274"/>
    <n v="0.31971995332555425"/>
    <n v="2"/>
    <x v="0"/>
    <x v="12"/>
    <x v="194"/>
    <s v="Dec-18"/>
    <x v="168"/>
    <x v="3"/>
    <s v="Udaipur"/>
  </r>
  <r>
    <s v="B-25899"/>
    <n v="22"/>
    <n v="9"/>
    <n v="0.40909090909090912"/>
    <n v="2"/>
    <x v="1"/>
    <x v="11"/>
    <x v="195"/>
    <s v="Dec-18"/>
    <x v="253"/>
    <x v="8"/>
    <s v="Allahabad"/>
  </r>
  <r>
    <s v="B-25899"/>
    <n v="28"/>
    <n v="6"/>
    <n v="0.21428571428571427"/>
    <n v="4"/>
    <x v="1"/>
    <x v="16"/>
    <x v="195"/>
    <s v="Dec-18"/>
    <x v="253"/>
    <x v="8"/>
    <s v="Allahabad"/>
  </r>
  <r>
    <s v="B-25899"/>
    <n v="43"/>
    <n v="17"/>
    <n v="0.39534883720930231"/>
    <n v="1"/>
    <x v="1"/>
    <x v="5"/>
    <x v="195"/>
    <s v="Dec-18"/>
    <x v="253"/>
    <x v="8"/>
    <s v="Allahabad"/>
  </r>
  <r>
    <s v="B-25899"/>
    <n v="846"/>
    <n v="9"/>
    <n v="1.0638297872340425E-2"/>
    <n v="2"/>
    <x v="0"/>
    <x v="7"/>
    <x v="195"/>
    <s v="Dec-18"/>
    <x v="253"/>
    <x v="8"/>
    <s v="Allahabad"/>
  </r>
  <r>
    <s v="B-25900"/>
    <n v="15"/>
    <n v="2"/>
    <n v="0.13333333333333333"/>
    <n v="1"/>
    <x v="1"/>
    <x v="11"/>
    <x v="196"/>
    <s v="Dec-18"/>
    <x v="225"/>
    <x v="11"/>
    <s v="Amritsar"/>
  </r>
  <r>
    <s v="B-25900"/>
    <n v="140"/>
    <n v="68"/>
    <n v="0.48571428571428571"/>
    <n v="5"/>
    <x v="1"/>
    <x v="9"/>
    <x v="196"/>
    <s v="Dec-18"/>
    <x v="225"/>
    <x v="11"/>
    <s v="Amritsar"/>
  </r>
  <r>
    <s v="B-25900"/>
    <n v="210"/>
    <n v="62"/>
    <n v="0.29523809523809524"/>
    <n v="2"/>
    <x v="2"/>
    <x v="4"/>
    <x v="196"/>
    <s v="Dec-18"/>
    <x v="225"/>
    <x v="11"/>
    <s v="Amritsar"/>
  </r>
  <r>
    <s v="B-25901"/>
    <n v="158"/>
    <n v="38"/>
    <n v="0.24050632911392406"/>
    <n v="3"/>
    <x v="1"/>
    <x v="2"/>
    <x v="197"/>
    <s v="Dec-18"/>
    <x v="254"/>
    <x v="0"/>
    <s v="Surat"/>
  </r>
  <r>
    <s v="B-25901"/>
    <n v="90"/>
    <n v="27"/>
    <n v="0.3"/>
    <n v="2"/>
    <x v="1"/>
    <x v="9"/>
    <x v="197"/>
    <s v="Dec-18"/>
    <x v="254"/>
    <x v="0"/>
    <s v="Surat"/>
  </r>
  <r>
    <s v="B-25901"/>
    <n v="159"/>
    <n v="2"/>
    <n v="1.2578616352201259E-2"/>
    <n v="3"/>
    <x v="0"/>
    <x v="15"/>
    <x v="197"/>
    <s v="Dec-18"/>
    <x v="254"/>
    <x v="0"/>
    <s v="Surat"/>
  </r>
  <r>
    <s v="B-25901"/>
    <n v="61"/>
    <n v="28"/>
    <n v="0.45901639344262296"/>
    <n v="2"/>
    <x v="1"/>
    <x v="2"/>
    <x v="197"/>
    <s v="Dec-18"/>
    <x v="254"/>
    <x v="0"/>
    <s v="Surat"/>
  </r>
  <r>
    <s v="B-25902"/>
    <n v="79"/>
    <n v="6"/>
    <n v="7.5949367088607597E-2"/>
    <n v="7"/>
    <x v="1"/>
    <x v="5"/>
    <x v="197"/>
    <s v="Dec-18"/>
    <x v="255"/>
    <x v="1"/>
    <s v="Mumbai"/>
  </r>
  <r>
    <s v="B-25902"/>
    <n v="268"/>
    <n v="6"/>
    <n v="2.2388059701492536E-2"/>
    <n v="2"/>
    <x v="0"/>
    <x v="0"/>
    <x v="197"/>
    <s v="Dec-18"/>
    <x v="255"/>
    <x v="1"/>
    <s v="Mumbai"/>
  </r>
  <r>
    <s v="B-25902"/>
    <n v="802"/>
    <n v="120"/>
    <n v="0.14962593516209477"/>
    <n v="7"/>
    <x v="2"/>
    <x v="14"/>
    <x v="197"/>
    <s v="Dec-18"/>
    <x v="255"/>
    <x v="1"/>
    <s v="Mumbai"/>
  </r>
  <r>
    <s v="B-25902"/>
    <n v="1700"/>
    <n v="85"/>
    <n v="0.05"/>
    <n v="3"/>
    <x v="1"/>
    <x v="6"/>
    <x v="197"/>
    <s v="Dec-18"/>
    <x v="255"/>
    <x v="1"/>
    <s v="Mumbai"/>
  </r>
  <r>
    <s v="B-25902"/>
    <n v="154"/>
    <n v="26"/>
    <n v="0.16883116883116883"/>
    <n v="4"/>
    <x v="2"/>
    <x v="14"/>
    <x v="197"/>
    <s v="Dec-18"/>
    <x v="255"/>
    <x v="1"/>
    <s v="Mumbai"/>
  </r>
  <r>
    <s v="B-25903"/>
    <n v="455"/>
    <n v="77"/>
    <n v="0.16923076923076924"/>
    <n v="8"/>
    <x v="2"/>
    <x v="14"/>
    <x v="197"/>
    <s v="Dec-18"/>
    <x v="256"/>
    <x v="2"/>
    <s v="Indore"/>
  </r>
  <r>
    <s v="B-25903"/>
    <n v="19"/>
    <n v="8"/>
    <n v="0.42105263157894735"/>
    <n v="2"/>
    <x v="1"/>
    <x v="2"/>
    <x v="197"/>
    <s v="Dec-18"/>
    <x v="256"/>
    <x v="2"/>
    <s v="Indore"/>
  </r>
  <r>
    <s v="B-25903"/>
    <n v="25"/>
    <n v="11"/>
    <n v="0.44"/>
    <n v="3"/>
    <x v="1"/>
    <x v="11"/>
    <x v="197"/>
    <s v="Dec-18"/>
    <x v="256"/>
    <x v="2"/>
    <s v="Indore"/>
  </r>
  <r>
    <s v="B-25903"/>
    <n v="37"/>
    <n v="17"/>
    <n v="0.45945945945945948"/>
    <n v="3"/>
    <x v="1"/>
    <x v="2"/>
    <x v="197"/>
    <s v="Dec-18"/>
    <x v="256"/>
    <x v="2"/>
    <s v="Indore"/>
  </r>
  <r>
    <s v="B-25903"/>
    <n v="60"/>
    <n v="-10"/>
    <n v="-0.16666666666666666"/>
    <n v="2"/>
    <x v="0"/>
    <x v="15"/>
    <x v="197"/>
    <s v="Dec-18"/>
    <x v="256"/>
    <x v="2"/>
    <s v="Indore"/>
  </r>
  <r>
    <s v="B-25903"/>
    <n v="204"/>
    <n v="94"/>
    <n v="0.46078431372549017"/>
    <n v="4"/>
    <x v="1"/>
    <x v="2"/>
    <x v="197"/>
    <s v="Dec-18"/>
    <x v="256"/>
    <x v="2"/>
    <s v="Indore"/>
  </r>
  <r>
    <s v="B-25903"/>
    <n v="74"/>
    <n v="33"/>
    <n v="0.44594594594594594"/>
    <n v="2"/>
    <x v="1"/>
    <x v="10"/>
    <x v="197"/>
    <s v="Dec-18"/>
    <x v="256"/>
    <x v="2"/>
    <s v="Indore"/>
  </r>
  <r>
    <s v="B-25903"/>
    <n v="336"/>
    <n v="57"/>
    <n v="0.16964285714285715"/>
    <n v="2"/>
    <x v="2"/>
    <x v="4"/>
    <x v="197"/>
    <s v="Dec-18"/>
    <x v="256"/>
    <x v="2"/>
    <s v="Indore"/>
  </r>
  <r>
    <s v="B-25904"/>
    <n v="871"/>
    <n v="131"/>
    <n v="0.15040183696900114"/>
    <n v="2"/>
    <x v="0"/>
    <x v="0"/>
    <x v="197"/>
    <s v="Dec-18"/>
    <x v="193"/>
    <x v="18"/>
    <s v="Delhi"/>
  </r>
  <r>
    <s v="B-25904"/>
    <n v="83"/>
    <n v="12"/>
    <n v="0.14457831325301204"/>
    <n v="2"/>
    <x v="0"/>
    <x v="7"/>
    <x v="197"/>
    <s v="Dec-18"/>
    <x v="193"/>
    <x v="18"/>
    <s v="Delhi"/>
  </r>
  <r>
    <s v="B-25905"/>
    <n v="152"/>
    <n v="50"/>
    <n v="0.32894736842105265"/>
    <n v="6"/>
    <x v="1"/>
    <x v="1"/>
    <x v="198"/>
    <s v="Dec-18"/>
    <x v="257"/>
    <x v="2"/>
    <s v="Delhi"/>
  </r>
  <r>
    <s v="B-25906"/>
    <n v="78"/>
    <n v="27"/>
    <n v="0.34615384615384615"/>
    <n v="3"/>
    <x v="1"/>
    <x v="1"/>
    <x v="198"/>
    <s v="Dec-18"/>
    <x v="258"/>
    <x v="18"/>
    <s v="Delhi"/>
  </r>
  <r>
    <s v="B-25907"/>
    <n v="30"/>
    <n v="11"/>
    <n v="0.36666666666666664"/>
    <n v="5"/>
    <x v="1"/>
    <x v="2"/>
    <x v="198"/>
    <s v="Dec-18"/>
    <x v="259"/>
    <x v="2"/>
    <s v="Bhopal"/>
  </r>
  <r>
    <s v="B-25908"/>
    <n v="179"/>
    <n v="25"/>
    <n v="0.13966480446927373"/>
    <n v="5"/>
    <x v="1"/>
    <x v="8"/>
    <x v="199"/>
    <s v="Dec-18"/>
    <x v="260"/>
    <x v="18"/>
    <s v="Delhi"/>
  </r>
  <r>
    <s v="B-25909"/>
    <n v="168"/>
    <n v="56"/>
    <n v="0.33333333333333331"/>
    <n v="3"/>
    <x v="1"/>
    <x v="5"/>
    <x v="200"/>
    <s v="Dec-18"/>
    <x v="261"/>
    <x v="2"/>
    <s v="Delhi"/>
  </r>
  <r>
    <s v="B-25909"/>
    <n v="108"/>
    <n v="22"/>
    <n v="0.20370370370370369"/>
    <n v="3"/>
    <x v="2"/>
    <x v="14"/>
    <x v="200"/>
    <s v="Dec-18"/>
    <x v="261"/>
    <x v="2"/>
    <s v="Delhi"/>
  </r>
  <r>
    <s v="B-25909"/>
    <n v="1622"/>
    <n v="248"/>
    <n v="0.15289765721331688"/>
    <n v="3"/>
    <x v="2"/>
    <x v="4"/>
    <x v="200"/>
    <s v="Dec-18"/>
    <x v="261"/>
    <x v="2"/>
    <s v="Delhi"/>
  </r>
  <r>
    <s v="B-25909"/>
    <n v="323"/>
    <n v="122"/>
    <n v="0.37770897832817335"/>
    <n v="5"/>
    <x v="2"/>
    <x v="4"/>
    <x v="200"/>
    <s v="Dec-18"/>
    <x v="261"/>
    <x v="2"/>
    <s v="Delhi"/>
  </r>
  <r>
    <s v="B-25909"/>
    <n v="12"/>
    <n v="2"/>
    <n v="0.16666666666666666"/>
    <n v="2"/>
    <x v="1"/>
    <x v="16"/>
    <x v="200"/>
    <s v="Dec-18"/>
    <x v="261"/>
    <x v="2"/>
    <s v="Delhi"/>
  </r>
  <r>
    <s v="B-25910"/>
    <n v="125"/>
    <n v="15"/>
    <n v="0.12"/>
    <n v="5"/>
    <x v="1"/>
    <x v="10"/>
    <x v="201"/>
    <s v="Dec-18"/>
    <x v="262"/>
    <x v="18"/>
    <s v="Delhi"/>
  </r>
  <r>
    <s v="B-25910"/>
    <n v="685"/>
    <n v="7"/>
    <n v="1.0218978102189781E-2"/>
    <n v="7"/>
    <x v="1"/>
    <x v="6"/>
    <x v="201"/>
    <s v="Dec-18"/>
    <x v="262"/>
    <x v="18"/>
    <s v="Delhi"/>
  </r>
  <r>
    <s v="B-25910"/>
    <n v="850"/>
    <n v="289"/>
    <n v="0.34"/>
    <n v="5"/>
    <x v="2"/>
    <x v="3"/>
    <x v="201"/>
    <s v="Dec-18"/>
    <x v="262"/>
    <x v="18"/>
    <s v="Delhi"/>
  </r>
  <r>
    <s v="B-25910"/>
    <n v="1622"/>
    <n v="-624"/>
    <n v="-0.38471023427866829"/>
    <n v="5"/>
    <x v="0"/>
    <x v="12"/>
    <x v="201"/>
    <s v="Dec-18"/>
    <x v="262"/>
    <x v="18"/>
    <s v="Delhi"/>
  </r>
  <r>
    <s v="B-25910"/>
    <n v="259"/>
    <n v="47"/>
    <n v="0.18146718146718147"/>
    <n v="5"/>
    <x v="1"/>
    <x v="2"/>
    <x v="201"/>
    <s v="Dec-18"/>
    <x v="262"/>
    <x v="18"/>
    <s v="Delhi"/>
  </r>
  <r>
    <s v="B-25910"/>
    <n v="33"/>
    <n v="1"/>
    <n v="3.0303030303030304E-2"/>
    <n v="2"/>
    <x v="1"/>
    <x v="10"/>
    <x v="201"/>
    <s v="Dec-18"/>
    <x v="262"/>
    <x v="18"/>
    <s v="Delhi"/>
  </r>
  <r>
    <s v="B-25911"/>
    <n v="40"/>
    <n v="15"/>
    <n v="0.375"/>
    <n v="1"/>
    <x v="1"/>
    <x v="8"/>
    <x v="202"/>
    <s v="Dec-18"/>
    <x v="263"/>
    <x v="2"/>
    <s v="Bhopal"/>
  </r>
  <r>
    <s v="B-25912"/>
    <n v="102"/>
    <n v="11"/>
    <n v="0.10784313725490197"/>
    <n v="6"/>
    <x v="1"/>
    <x v="9"/>
    <x v="203"/>
    <s v="Dec-18"/>
    <x v="264"/>
    <x v="18"/>
    <s v="Delhi"/>
  </r>
  <r>
    <s v="B-25913"/>
    <n v="103"/>
    <n v="21"/>
    <n v="0.20388349514563106"/>
    <n v="7"/>
    <x v="1"/>
    <x v="1"/>
    <x v="204"/>
    <s v="Dec-18"/>
    <x v="265"/>
    <x v="2"/>
    <s v="Delhi"/>
  </r>
  <r>
    <s v="B-25914"/>
    <n v="460"/>
    <n v="143"/>
    <n v="0.31086956521739129"/>
    <n v="3"/>
    <x v="0"/>
    <x v="7"/>
    <x v="205"/>
    <s v="Dec-18"/>
    <x v="266"/>
    <x v="18"/>
    <s v="Delhi"/>
  </r>
  <r>
    <s v="B-25914"/>
    <n v="125"/>
    <n v="22"/>
    <n v="0.17599999999999999"/>
    <n v="3"/>
    <x v="1"/>
    <x v="1"/>
    <x v="205"/>
    <s v="Dec-18"/>
    <x v="266"/>
    <x v="18"/>
    <s v="Delhi"/>
  </r>
  <r>
    <s v="B-25915"/>
    <n v="277"/>
    <n v="3"/>
    <n v="1.0830324909747292E-2"/>
    <n v="1"/>
    <x v="2"/>
    <x v="3"/>
    <x v="206"/>
    <s v="Dec-18"/>
    <x v="267"/>
    <x v="11"/>
    <s v="Amritsar"/>
  </r>
  <r>
    <s v="B-25916"/>
    <n v="80"/>
    <n v="26"/>
    <n v="0.32500000000000001"/>
    <n v="9"/>
    <x v="1"/>
    <x v="16"/>
    <x v="207"/>
    <s v="Dec-18"/>
    <x v="268"/>
    <x v="0"/>
    <s v="Surat"/>
  </r>
  <r>
    <s v="B-25917"/>
    <n v="100"/>
    <n v="12"/>
    <n v="0.12"/>
    <n v="2"/>
    <x v="1"/>
    <x v="9"/>
    <x v="208"/>
    <s v="Dec-18"/>
    <x v="33"/>
    <x v="1"/>
    <s v="Mumbai"/>
  </r>
  <r>
    <s v="B-25918"/>
    <n v="244"/>
    <n v="122"/>
    <n v="0.5"/>
    <n v="5"/>
    <x v="0"/>
    <x v="15"/>
    <x v="209"/>
    <s v="Dec-18"/>
    <x v="269"/>
    <x v="2"/>
    <s v="Indore"/>
  </r>
  <r>
    <s v="B-25919"/>
    <n v="28"/>
    <n v="4"/>
    <n v="0.14285714285714285"/>
    <n v="1"/>
    <x v="1"/>
    <x v="9"/>
    <x v="210"/>
    <s v="Dec-18"/>
    <x v="270"/>
    <x v="3"/>
    <s v="Udaipur"/>
  </r>
  <r>
    <s v="B-25919"/>
    <n v="110"/>
    <n v="12"/>
    <n v="0.10909090909090909"/>
    <n v="7"/>
    <x v="1"/>
    <x v="1"/>
    <x v="210"/>
    <s v="Dec-18"/>
    <x v="270"/>
    <x v="3"/>
    <s v="Udaipur"/>
  </r>
  <r>
    <s v="B-25919"/>
    <n v="636"/>
    <n v="204"/>
    <n v="0.32075471698113206"/>
    <n v="2"/>
    <x v="2"/>
    <x v="13"/>
    <x v="210"/>
    <s v="Dec-18"/>
    <x v="270"/>
    <x v="3"/>
    <s v="Udaipur"/>
  </r>
  <r>
    <s v="B-25919"/>
    <n v="1599"/>
    <n v="37"/>
    <n v="2.3139462163852407E-2"/>
    <n v="6"/>
    <x v="2"/>
    <x v="3"/>
    <x v="210"/>
    <s v="Dec-18"/>
    <x v="270"/>
    <x v="3"/>
    <s v="Udaipur"/>
  </r>
  <r>
    <s v="B-25919"/>
    <n v="977"/>
    <n v="244"/>
    <n v="0.24974411463664278"/>
    <n v="7"/>
    <x v="2"/>
    <x v="4"/>
    <x v="210"/>
    <s v="Dec-18"/>
    <x v="270"/>
    <x v="3"/>
    <s v="Udaipur"/>
  </r>
  <r>
    <s v="B-25920"/>
    <n v="100"/>
    <n v="7"/>
    <n v="7.0000000000000007E-2"/>
    <n v="2"/>
    <x v="1"/>
    <x v="9"/>
    <x v="211"/>
    <s v="Dec-18"/>
    <x v="271"/>
    <x v="8"/>
    <s v="Allahabad"/>
  </r>
  <r>
    <s v="B-25921"/>
    <n v="170"/>
    <n v="19"/>
    <n v="0.11176470588235295"/>
    <n v="5"/>
    <x v="1"/>
    <x v="9"/>
    <x v="212"/>
    <s v="Dec-18"/>
    <x v="272"/>
    <x v="11"/>
    <s v="Amritsar"/>
  </r>
  <r>
    <s v="B-25921"/>
    <n v="84"/>
    <n v="-42"/>
    <n v="-0.5"/>
    <n v="2"/>
    <x v="2"/>
    <x v="14"/>
    <x v="212"/>
    <s v="Dec-18"/>
    <x v="272"/>
    <x v="11"/>
    <s v="Amritsar"/>
  </r>
  <r>
    <s v="B-25921"/>
    <n v="71"/>
    <n v="-44"/>
    <n v="-0.61971830985915488"/>
    <n v="5"/>
    <x v="2"/>
    <x v="14"/>
    <x v="212"/>
    <s v="Dec-18"/>
    <x v="272"/>
    <x v="11"/>
    <s v="Amritsar"/>
  </r>
  <r>
    <s v="B-25922"/>
    <n v="52"/>
    <n v="18"/>
    <n v="0.34615384615384615"/>
    <n v="2"/>
    <x v="1"/>
    <x v="1"/>
    <x v="213"/>
    <s v="Dec-18"/>
    <x v="273"/>
    <x v="0"/>
    <s v="Surat"/>
  </r>
  <r>
    <s v="B-25923"/>
    <n v="226"/>
    <n v="58"/>
    <n v="0.25663716814159293"/>
    <n v="3"/>
    <x v="2"/>
    <x v="14"/>
    <x v="214"/>
    <s v="Dec-18"/>
    <x v="274"/>
    <x v="1"/>
    <s v="Mumbai"/>
  </r>
  <r>
    <s v="B-25923"/>
    <n v="484"/>
    <n v="28"/>
    <n v="5.7851239669421489E-2"/>
    <n v="3"/>
    <x v="2"/>
    <x v="13"/>
    <x v="214"/>
    <s v="Dec-18"/>
    <x v="274"/>
    <x v="1"/>
    <s v="Mumbai"/>
  </r>
  <r>
    <s v="B-25923"/>
    <n v="253"/>
    <n v="-11"/>
    <n v="-4.3478260869565216E-2"/>
    <n v="1"/>
    <x v="1"/>
    <x v="6"/>
    <x v="214"/>
    <s v="Dec-18"/>
    <x v="274"/>
    <x v="1"/>
    <s v="Mumbai"/>
  </r>
  <r>
    <s v="B-25923"/>
    <n v="3873"/>
    <n v="891"/>
    <n v="0.23005422153369481"/>
    <n v="6"/>
    <x v="2"/>
    <x v="4"/>
    <x v="214"/>
    <s v="Dec-18"/>
    <x v="274"/>
    <x v="1"/>
    <s v="Mumbai"/>
  </r>
  <r>
    <s v="B-25924"/>
    <n v="148"/>
    <n v="54"/>
    <n v="0.36486486486486486"/>
    <n v="2"/>
    <x v="0"/>
    <x v="7"/>
    <x v="215"/>
    <s v="Dec-18"/>
    <x v="275"/>
    <x v="5"/>
    <s v="Bangalore"/>
  </r>
  <r>
    <s v="B-25925"/>
    <n v="27"/>
    <n v="12"/>
    <n v="0.44444444444444442"/>
    <n v="1"/>
    <x v="1"/>
    <x v="1"/>
    <x v="216"/>
    <s v="Dec-18"/>
    <x v="59"/>
    <x v="1"/>
    <s v="Mumbai"/>
  </r>
  <r>
    <s v="B-25925"/>
    <n v="314"/>
    <n v="-41"/>
    <n v="-0.13057324840764331"/>
    <n v="3"/>
    <x v="2"/>
    <x v="3"/>
    <x v="216"/>
    <s v="Dec-18"/>
    <x v="59"/>
    <x v="1"/>
    <s v="Mumbai"/>
  </r>
  <r>
    <s v="B-25925"/>
    <n v="1228"/>
    <n v="14"/>
    <n v="1.1400651465798045E-2"/>
    <n v="3"/>
    <x v="0"/>
    <x v="7"/>
    <x v="216"/>
    <s v="Dec-18"/>
    <x v="59"/>
    <x v="1"/>
    <s v="Mumbai"/>
  </r>
  <r>
    <s v="B-25926"/>
    <n v="57"/>
    <n v="6"/>
    <n v="0.10526315789473684"/>
    <n v="5"/>
    <x v="1"/>
    <x v="11"/>
    <x v="217"/>
    <s v="Dec-18"/>
    <x v="276"/>
    <x v="2"/>
    <s v="Indore"/>
  </r>
  <r>
    <s v="B-25927"/>
    <n v="200"/>
    <n v="7"/>
    <n v="3.5000000000000003E-2"/>
    <n v="4"/>
    <x v="2"/>
    <x v="3"/>
    <x v="218"/>
    <s v="Dec-18"/>
    <x v="74"/>
    <x v="8"/>
    <s v="Lucknow"/>
  </r>
  <r>
    <s v="B-25928"/>
    <n v="25"/>
    <n v="10"/>
    <n v="0.4"/>
    <n v="1"/>
    <x v="0"/>
    <x v="15"/>
    <x v="219"/>
    <s v="Jan-19"/>
    <x v="277"/>
    <x v="9"/>
    <s v="Patna"/>
  </r>
  <r>
    <s v="B-25928"/>
    <n v="122"/>
    <n v="15"/>
    <n v="0.12295081967213115"/>
    <n v="3"/>
    <x v="2"/>
    <x v="14"/>
    <x v="219"/>
    <s v="Jan-19"/>
    <x v="277"/>
    <x v="9"/>
    <s v="Patna"/>
  </r>
  <r>
    <s v="B-25929"/>
    <n v="1308"/>
    <n v="536"/>
    <n v="0.40978593272171254"/>
    <n v="3"/>
    <x v="0"/>
    <x v="0"/>
    <x v="220"/>
    <s v="Jan-19"/>
    <x v="278"/>
    <x v="10"/>
    <s v="Thiruvananthapuram"/>
  </r>
  <r>
    <s v="B-25929"/>
    <n v="216"/>
    <n v="-135"/>
    <n v="-0.625"/>
    <n v="3"/>
    <x v="0"/>
    <x v="7"/>
    <x v="220"/>
    <s v="Jan-19"/>
    <x v="278"/>
    <x v="10"/>
    <s v="Thiruvananthapuram"/>
  </r>
  <r>
    <s v="B-25929"/>
    <n v="154"/>
    <n v="-85"/>
    <n v="-0.55194805194805197"/>
    <n v="3"/>
    <x v="0"/>
    <x v="7"/>
    <x v="220"/>
    <s v="Jan-19"/>
    <x v="278"/>
    <x v="10"/>
    <s v="Thiruvananthapuram"/>
  </r>
  <r>
    <s v="B-25930"/>
    <n v="40"/>
    <n v="13"/>
    <n v="0.32500000000000001"/>
    <n v="3"/>
    <x v="1"/>
    <x v="9"/>
    <x v="221"/>
    <s v="Jan-19"/>
    <x v="279"/>
    <x v="11"/>
    <s v="Chandigarh"/>
  </r>
  <r>
    <s v="B-25930"/>
    <n v="351"/>
    <n v="-94"/>
    <n v="-0.26780626780626782"/>
    <n v="5"/>
    <x v="2"/>
    <x v="3"/>
    <x v="221"/>
    <s v="Jan-19"/>
    <x v="279"/>
    <x v="11"/>
    <s v="Chandigarh"/>
  </r>
  <r>
    <s v="B-25930"/>
    <n v="595"/>
    <n v="119"/>
    <n v="0.2"/>
    <n v="4"/>
    <x v="0"/>
    <x v="0"/>
    <x v="221"/>
    <s v="Jan-19"/>
    <x v="279"/>
    <x v="11"/>
    <s v="Chandigarh"/>
  </r>
  <r>
    <s v="B-25930"/>
    <n v="151"/>
    <n v="29"/>
    <n v="0.19205298013245034"/>
    <n v="5"/>
    <x v="1"/>
    <x v="2"/>
    <x v="221"/>
    <s v="Jan-19"/>
    <x v="279"/>
    <x v="11"/>
    <s v="Chandigarh"/>
  </r>
  <r>
    <s v="B-25930"/>
    <n v="58"/>
    <n v="17"/>
    <n v="0.29310344827586204"/>
    <n v="2"/>
    <x v="1"/>
    <x v="2"/>
    <x v="221"/>
    <s v="Jan-19"/>
    <x v="279"/>
    <x v="11"/>
    <s v="Chandigarh"/>
  </r>
  <r>
    <s v="B-25930"/>
    <n v="202"/>
    <n v="89"/>
    <n v="0.4405940594059406"/>
    <n v="9"/>
    <x v="1"/>
    <x v="9"/>
    <x v="221"/>
    <s v="Jan-19"/>
    <x v="279"/>
    <x v="11"/>
    <s v="Chandigarh"/>
  </r>
  <r>
    <s v="B-25931"/>
    <n v="73"/>
    <n v="-36"/>
    <n v="-0.49315068493150682"/>
    <n v="3"/>
    <x v="0"/>
    <x v="7"/>
    <x v="222"/>
    <s v="Jan-19"/>
    <x v="280"/>
    <x v="1"/>
    <s v="Mumbai"/>
  </r>
  <r>
    <s v="B-25932"/>
    <n v="71"/>
    <n v="-14"/>
    <n v="-0.19718309859154928"/>
    <n v="4"/>
    <x v="0"/>
    <x v="15"/>
    <x v="222"/>
    <s v="Jan-19"/>
    <x v="281"/>
    <x v="2"/>
    <s v="Indore"/>
  </r>
  <r>
    <s v="B-25933"/>
    <n v="81"/>
    <n v="-44"/>
    <n v="-0.54320987654320985"/>
    <n v="3"/>
    <x v="1"/>
    <x v="1"/>
    <x v="222"/>
    <s v="Jan-19"/>
    <x v="282"/>
    <x v="1"/>
    <s v="Mumbai"/>
  </r>
  <r>
    <s v="B-25933"/>
    <n v="412"/>
    <n v="-412"/>
    <n v="-1"/>
    <n v="6"/>
    <x v="1"/>
    <x v="5"/>
    <x v="222"/>
    <s v="Jan-19"/>
    <x v="282"/>
    <x v="1"/>
    <s v="Mumbai"/>
  </r>
  <r>
    <s v="B-25933"/>
    <n v="207"/>
    <n v="-100"/>
    <n v="-0.48309178743961351"/>
    <n v="2"/>
    <x v="1"/>
    <x v="5"/>
    <x v="222"/>
    <s v="Jan-19"/>
    <x v="282"/>
    <x v="1"/>
    <s v="Mumbai"/>
  </r>
  <r>
    <s v="B-25934"/>
    <n v="105"/>
    <n v="33"/>
    <n v="0.31428571428571428"/>
    <n v="6"/>
    <x v="1"/>
    <x v="5"/>
    <x v="222"/>
    <s v="Jan-19"/>
    <x v="283"/>
    <x v="2"/>
    <s v="Indore"/>
  </r>
  <r>
    <s v="B-25935"/>
    <n v="162"/>
    <n v="20"/>
    <n v="0.12345679012345678"/>
    <n v="3"/>
    <x v="0"/>
    <x v="7"/>
    <x v="222"/>
    <s v="Jan-19"/>
    <x v="284"/>
    <x v="16"/>
    <s v="Kohima"/>
  </r>
  <r>
    <s v="B-25935"/>
    <n v="150"/>
    <n v="32"/>
    <n v="0.21333333333333335"/>
    <n v="3"/>
    <x v="1"/>
    <x v="2"/>
    <x v="222"/>
    <s v="Jan-19"/>
    <x v="284"/>
    <x v="16"/>
    <s v="Kohima"/>
  </r>
  <r>
    <s v="B-25935"/>
    <n v="1657"/>
    <n v="460"/>
    <n v="0.27761013880506941"/>
    <n v="4"/>
    <x v="0"/>
    <x v="7"/>
    <x v="222"/>
    <s v="Jan-19"/>
    <x v="284"/>
    <x v="16"/>
    <s v="Kohima"/>
  </r>
  <r>
    <s v="B-25936"/>
    <n v="61"/>
    <n v="25"/>
    <n v="0.4098360655737705"/>
    <n v="4"/>
    <x v="1"/>
    <x v="5"/>
    <x v="223"/>
    <s v="Jan-19"/>
    <x v="285"/>
    <x v="11"/>
    <s v="Chandigarh"/>
  </r>
  <r>
    <s v="B-25937"/>
    <n v="1101"/>
    <n v="352"/>
    <n v="0.31970935513169846"/>
    <n v="3"/>
    <x v="0"/>
    <x v="0"/>
    <x v="223"/>
    <s v="Jan-19"/>
    <x v="184"/>
    <x v="12"/>
    <s v="Chandigarh"/>
  </r>
  <r>
    <s v="B-25938"/>
    <n v="61"/>
    <n v="1"/>
    <n v="1.6393442622950821E-2"/>
    <n v="2"/>
    <x v="0"/>
    <x v="15"/>
    <x v="223"/>
    <s v="Jan-19"/>
    <x v="282"/>
    <x v="13"/>
    <s v="Simla"/>
  </r>
  <r>
    <s v="B-25938"/>
    <n v="59"/>
    <n v="25"/>
    <n v="0.42372881355932202"/>
    <n v="3"/>
    <x v="1"/>
    <x v="1"/>
    <x v="223"/>
    <s v="Jan-19"/>
    <x v="282"/>
    <x v="13"/>
    <s v="Simla"/>
  </r>
  <r>
    <s v="B-25939"/>
    <n v="61"/>
    <n v="18"/>
    <n v="0.29508196721311475"/>
    <n v="2"/>
    <x v="2"/>
    <x v="14"/>
    <x v="223"/>
    <s v="Jan-19"/>
    <x v="286"/>
    <x v="14"/>
    <s v="Gangtok"/>
  </r>
  <r>
    <s v="B-25939"/>
    <n v="136"/>
    <n v="41"/>
    <n v="0.3014705882352941"/>
    <n v="3"/>
    <x v="2"/>
    <x v="14"/>
    <x v="223"/>
    <s v="Jan-19"/>
    <x v="286"/>
    <x v="14"/>
    <s v="Gangtok"/>
  </r>
  <r>
    <s v="B-25939"/>
    <n v="469"/>
    <n v="33"/>
    <n v="7.0362473347547971E-2"/>
    <n v="4"/>
    <x v="2"/>
    <x v="3"/>
    <x v="223"/>
    <s v="Jan-19"/>
    <x v="286"/>
    <x v="14"/>
    <s v="Gangtok"/>
  </r>
  <r>
    <s v="B-25940"/>
    <n v="55"/>
    <n v="4"/>
    <n v="7.2727272727272724E-2"/>
    <n v="2"/>
    <x v="1"/>
    <x v="1"/>
    <x v="224"/>
    <s v="Jan-19"/>
    <x v="287"/>
    <x v="15"/>
    <s v="Goa"/>
  </r>
  <r>
    <s v="B-25940"/>
    <n v="13"/>
    <n v="3"/>
    <n v="0.23076923076923078"/>
    <n v="2"/>
    <x v="1"/>
    <x v="2"/>
    <x v="224"/>
    <s v="Jan-19"/>
    <x v="287"/>
    <x v="15"/>
    <s v="Goa"/>
  </r>
  <r>
    <s v="B-25940"/>
    <n v="46"/>
    <n v="0"/>
    <n v="0"/>
    <n v="4"/>
    <x v="1"/>
    <x v="11"/>
    <x v="224"/>
    <s v="Jan-19"/>
    <x v="287"/>
    <x v="15"/>
    <s v="Goa"/>
  </r>
  <r>
    <s v="B-25941"/>
    <n v="177"/>
    <n v="41"/>
    <n v="0.23163841807909605"/>
    <n v="4"/>
    <x v="1"/>
    <x v="10"/>
    <x v="225"/>
    <s v="Jan-19"/>
    <x v="288"/>
    <x v="16"/>
    <s v="Kohima"/>
  </r>
  <r>
    <s v="B-25942"/>
    <n v="646"/>
    <n v="-23"/>
    <n v="-3.5603715170278639E-2"/>
    <n v="2"/>
    <x v="2"/>
    <x v="13"/>
    <x v="226"/>
    <s v="Jan-19"/>
    <x v="197"/>
    <x v="17"/>
    <s v="Hyderabad"/>
  </r>
  <r>
    <s v="B-25943"/>
    <n v="48"/>
    <n v="20"/>
    <n v="0.41666666666666669"/>
    <n v="4"/>
    <x v="1"/>
    <x v="1"/>
    <x v="227"/>
    <s v="Jan-19"/>
    <x v="289"/>
    <x v="0"/>
    <s v="Ahmedabad"/>
  </r>
  <r>
    <s v="B-25943"/>
    <n v="26"/>
    <n v="7"/>
    <n v="0.26923076923076922"/>
    <n v="4"/>
    <x v="1"/>
    <x v="2"/>
    <x v="227"/>
    <s v="Jan-19"/>
    <x v="289"/>
    <x v="0"/>
    <s v="Ahmedabad"/>
  </r>
  <r>
    <s v="B-25943"/>
    <n v="149"/>
    <n v="15"/>
    <n v="0.10067114093959731"/>
    <n v="3"/>
    <x v="1"/>
    <x v="5"/>
    <x v="227"/>
    <s v="Jan-19"/>
    <x v="289"/>
    <x v="0"/>
    <s v="Ahmedabad"/>
  </r>
  <r>
    <s v="B-25943"/>
    <n v="1547"/>
    <n v="340"/>
    <n v="0.21978021978021978"/>
    <n v="6"/>
    <x v="2"/>
    <x v="14"/>
    <x v="227"/>
    <s v="Jan-19"/>
    <x v="289"/>
    <x v="0"/>
    <s v="Ahmedabad"/>
  </r>
  <r>
    <s v="B-25943"/>
    <n v="137"/>
    <n v="38"/>
    <n v="0.27737226277372262"/>
    <n v="5"/>
    <x v="1"/>
    <x v="2"/>
    <x v="227"/>
    <s v="Jan-19"/>
    <x v="289"/>
    <x v="0"/>
    <s v="Ahmedabad"/>
  </r>
  <r>
    <s v="B-25944"/>
    <n v="169"/>
    <n v="38"/>
    <n v="0.22485207100591717"/>
    <n v="3"/>
    <x v="1"/>
    <x v="5"/>
    <x v="228"/>
    <s v="Jan-19"/>
    <x v="290"/>
    <x v="1"/>
    <s v="Pune"/>
  </r>
  <r>
    <s v="B-25945"/>
    <n v="245"/>
    <n v="10"/>
    <n v="4.0816326530612242E-2"/>
    <n v="2"/>
    <x v="0"/>
    <x v="0"/>
    <x v="229"/>
    <s v="Jan-19"/>
    <x v="291"/>
    <x v="2"/>
    <s v="Indore"/>
  </r>
  <r>
    <s v="B-25945"/>
    <n v="60"/>
    <n v="3"/>
    <n v="0.05"/>
    <n v="3"/>
    <x v="1"/>
    <x v="5"/>
    <x v="229"/>
    <s v="Jan-19"/>
    <x v="291"/>
    <x v="2"/>
    <s v="Indore"/>
  </r>
  <r>
    <s v="B-25945"/>
    <n v="63"/>
    <n v="14"/>
    <n v="0.22222222222222221"/>
    <n v="2"/>
    <x v="1"/>
    <x v="10"/>
    <x v="229"/>
    <s v="Jan-19"/>
    <x v="291"/>
    <x v="2"/>
    <s v="Indore"/>
  </r>
  <r>
    <s v="B-25945"/>
    <n v="765"/>
    <n v="-36"/>
    <n v="-4.7058823529411764E-2"/>
    <n v="3"/>
    <x v="2"/>
    <x v="3"/>
    <x v="229"/>
    <s v="Jan-19"/>
    <x v="291"/>
    <x v="2"/>
    <s v="Indore"/>
  </r>
  <r>
    <s v="B-25946"/>
    <n v="146"/>
    <n v="7"/>
    <n v="4.7945205479452052E-2"/>
    <n v="2"/>
    <x v="2"/>
    <x v="4"/>
    <x v="230"/>
    <s v="Jan-19"/>
    <x v="236"/>
    <x v="17"/>
    <s v="Hyderabad"/>
  </r>
  <r>
    <s v="B-25947"/>
    <n v="290"/>
    <n v="35"/>
    <n v="0.1206896551724138"/>
    <n v="6"/>
    <x v="1"/>
    <x v="2"/>
    <x v="231"/>
    <s v="Jan-19"/>
    <x v="292"/>
    <x v="0"/>
    <s v="Ahmedabad"/>
  </r>
  <r>
    <s v="B-25947"/>
    <n v="207"/>
    <n v="33"/>
    <n v="0.15942028985507245"/>
    <n v="2"/>
    <x v="2"/>
    <x v="14"/>
    <x v="231"/>
    <s v="Jan-19"/>
    <x v="292"/>
    <x v="0"/>
    <s v="Ahmedabad"/>
  </r>
  <r>
    <s v="B-25948"/>
    <n v="152"/>
    <n v="23"/>
    <n v="0.15131578947368421"/>
    <n v="3"/>
    <x v="0"/>
    <x v="15"/>
    <x v="231"/>
    <s v="Jan-19"/>
    <x v="293"/>
    <x v="1"/>
    <s v="Pune"/>
  </r>
  <r>
    <s v="B-25949"/>
    <n v="24"/>
    <n v="11"/>
    <n v="0.45833333333333331"/>
    <n v="3"/>
    <x v="1"/>
    <x v="2"/>
    <x v="231"/>
    <s v="Jan-19"/>
    <x v="294"/>
    <x v="1"/>
    <s v="Mumbai"/>
  </r>
  <r>
    <s v="B-25949"/>
    <n v="140"/>
    <n v="57"/>
    <n v="0.40714285714285714"/>
    <n v="2"/>
    <x v="1"/>
    <x v="6"/>
    <x v="231"/>
    <s v="Jan-19"/>
    <x v="294"/>
    <x v="1"/>
    <s v="Mumbai"/>
  </r>
  <r>
    <s v="B-25949"/>
    <n v="151"/>
    <n v="9"/>
    <n v="5.9602649006622516E-2"/>
    <n v="3"/>
    <x v="1"/>
    <x v="2"/>
    <x v="231"/>
    <s v="Jan-19"/>
    <x v="294"/>
    <x v="1"/>
    <s v="Mumbai"/>
  </r>
  <r>
    <s v="B-25950"/>
    <n v="13"/>
    <n v="4"/>
    <n v="0.30769230769230771"/>
    <n v="1"/>
    <x v="1"/>
    <x v="11"/>
    <x v="231"/>
    <s v="Jan-19"/>
    <x v="59"/>
    <x v="2"/>
    <s v="Indore"/>
  </r>
  <r>
    <s v="B-25950"/>
    <n v="54"/>
    <n v="27"/>
    <n v="0.5"/>
    <n v="2"/>
    <x v="1"/>
    <x v="1"/>
    <x v="231"/>
    <s v="Jan-19"/>
    <x v="59"/>
    <x v="2"/>
    <s v="Indore"/>
  </r>
  <r>
    <s v="B-25950"/>
    <n v="644"/>
    <n v="167"/>
    <n v="0.25931677018633542"/>
    <n v="2"/>
    <x v="2"/>
    <x v="13"/>
    <x v="231"/>
    <s v="Jan-19"/>
    <x v="59"/>
    <x v="2"/>
    <s v="Indore"/>
  </r>
  <r>
    <s v="B-25950"/>
    <n v="261"/>
    <n v="13"/>
    <n v="4.9808429118773943E-2"/>
    <n v="6"/>
    <x v="1"/>
    <x v="10"/>
    <x v="231"/>
    <s v="Jan-19"/>
    <x v="59"/>
    <x v="2"/>
    <s v="Indore"/>
  </r>
  <r>
    <s v="B-25950"/>
    <n v="1622"/>
    <n v="95"/>
    <n v="5.8569667077681874E-2"/>
    <n v="5"/>
    <x v="2"/>
    <x v="13"/>
    <x v="231"/>
    <s v="Jan-19"/>
    <x v="59"/>
    <x v="2"/>
    <s v="Indore"/>
  </r>
  <r>
    <s v="B-25950"/>
    <n v="190"/>
    <n v="19"/>
    <n v="0.1"/>
    <n v="9"/>
    <x v="0"/>
    <x v="15"/>
    <x v="231"/>
    <s v="Jan-19"/>
    <x v="59"/>
    <x v="2"/>
    <s v="Indore"/>
  </r>
  <r>
    <s v="B-25950"/>
    <n v="158"/>
    <n v="-29"/>
    <n v="-0.18354430379746836"/>
    <n v="10"/>
    <x v="1"/>
    <x v="2"/>
    <x v="231"/>
    <s v="Jan-19"/>
    <x v="59"/>
    <x v="2"/>
    <s v="Indore"/>
  </r>
  <r>
    <s v="B-25950"/>
    <n v="136"/>
    <n v="-33"/>
    <n v="-0.24264705882352941"/>
    <n v="5"/>
    <x v="1"/>
    <x v="5"/>
    <x v="231"/>
    <s v="Jan-19"/>
    <x v="59"/>
    <x v="2"/>
    <s v="Indore"/>
  </r>
  <r>
    <s v="B-25950"/>
    <n v="133"/>
    <n v="5"/>
    <n v="3.7593984962406013E-2"/>
    <n v="5"/>
    <x v="1"/>
    <x v="1"/>
    <x v="231"/>
    <s v="Jan-19"/>
    <x v="59"/>
    <x v="2"/>
    <s v="Indore"/>
  </r>
  <r>
    <s v="B-25951"/>
    <n v="102"/>
    <n v="13"/>
    <n v="0.12745098039215685"/>
    <n v="2"/>
    <x v="1"/>
    <x v="1"/>
    <x v="231"/>
    <s v="Jan-19"/>
    <x v="295"/>
    <x v="4"/>
    <s v="Kolkata"/>
  </r>
  <r>
    <s v="B-25951"/>
    <n v="50"/>
    <n v="14"/>
    <n v="0.28000000000000003"/>
    <n v="1"/>
    <x v="2"/>
    <x v="3"/>
    <x v="231"/>
    <s v="Jan-19"/>
    <x v="295"/>
    <x v="4"/>
    <s v="Kolkata"/>
  </r>
  <r>
    <s v="B-25951"/>
    <n v="111"/>
    <n v="11"/>
    <n v="9.90990990990991E-2"/>
    <n v="9"/>
    <x v="1"/>
    <x v="2"/>
    <x v="231"/>
    <s v="Jan-19"/>
    <x v="295"/>
    <x v="4"/>
    <s v="Kolkata"/>
  </r>
  <r>
    <s v="B-25951"/>
    <n v="120"/>
    <n v="23"/>
    <n v="0.19166666666666668"/>
    <n v="5"/>
    <x v="1"/>
    <x v="1"/>
    <x v="231"/>
    <s v="Jan-19"/>
    <x v="295"/>
    <x v="4"/>
    <s v="Kolkata"/>
  </r>
  <r>
    <s v="B-25951"/>
    <n v="40"/>
    <n v="18"/>
    <n v="0.45"/>
    <n v="1"/>
    <x v="2"/>
    <x v="14"/>
    <x v="231"/>
    <s v="Jan-19"/>
    <x v="295"/>
    <x v="4"/>
    <s v="Kolkata"/>
  </r>
  <r>
    <s v="B-25951"/>
    <n v="250"/>
    <n v="100"/>
    <n v="0.4"/>
    <n v="3"/>
    <x v="1"/>
    <x v="6"/>
    <x v="231"/>
    <s v="Jan-19"/>
    <x v="295"/>
    <x v="4"/>
    <s v="Kolkata"/>
  </r>
  <r>
    <s v="B-25951"/>
    <n v="89"/>
    <n v="29"/>
    <n v="0.3258426966292135"/>
    <n v="2"/>
    <x v="1"/>
    <x v="1"/>
    <x v="231"/>
    <s v="Jan-19"/>
    <x v="295"/>
    <x v="4"/>
    <s v="Kolkata"/>
  </r>
  <r>
    <s v="B-25951"/>
    <n v="30"/>
    <n v="5"/>
    <n v="0.16666666666666666"/>
    <n v="2"/>
    <x v="1"/>
    <x v="8"/>
    <x v="231"/>
    <s v="Jan-19"/>
    <x v="295"/>
    <x v="4"/>
    <s v="Kolkata"/>
  </r>
  <r>
    <s v="B-25951"/>
    <n v="248"/>
    <n v="105"/>
    <n v="0.42338709677419356"/>
    <n v="2"/>
    <x v="2"/>
    <x v="4"/>
    <x v="231"/>
    <s v="Jan-19"/>
    <x v="295"/>
    <x v="4"/>
    <s v="Kolkata"/>
  </r>
  <r>
    <s v="B-25951"/>
    <n v="742"/>
    <n v="198"/>
    <n v="0.26684636118598382"/>
    <n v="2"/>
    <x v="0"/>
    <x v="0"/>
    <x v="231"/>
    <s v="Jan-19"/>
    <x v="295"/>
    <x v="4"/>
    <s v="Kolkata"/>
  </r>
  <r>
    <s v="B-25952"/>
    <n v="14"/>
    <n v="0"/>
    <n v="0"/>
    <n v="4"/>
    <x v="1"/>
    <x v="2"/>
    <x v="231"/>
    <s v="Jan-19"/>
    <x v="55"/>
    <x v="2"/>
    <s v="Indore"/>
  </r>
  <r>
    <s v="B-25952"/>
    <n v="87"/>
    <n v="32"/>
    <n v="0.36781609195402298"/>
    <n v="9"/>
    <x v="1"/>
    <x v="16"/>
    <x v="231"/>
    <s v="Jan-19"/>
    <x v="55"/>
    <x v="2"/>
    <s v="Indore"/>
  </r>
  <r>
    <s v="B-25952"/>
    <n v="935"/>
    <n v="114"/>
    <n v="0.12192513368983957"/>
    <n v="4"/>
    <x v="2"/>
    <x v="3"/>
    <x v="231"/>
    <s v="Jan-19"/>
    <x v="55"/>
    <x v="2"/>
    <s v="Indore"/>
  </r>
  <r>
    <s v="B-25952"/>
    <n v="173"/>
    <n v="69"/>
    <n v="0.39884393063583817"/>
    <n v="3"/>
    <x v="0"/>
    <x v="7"/>
    <x v="231"/>
    <s v="Jan-19"/>
    <x v="55"/>
    <x v="2"/>
    <s v="Indore"/>
  </r>
  <r>
    <s v="B-25952"/>
    <n v="352"/>
    <n v="18"/>
    <n v="5.113636363636364E-2"/>
    <n v="5"/>
    <x v="1"/>
    <x v="6"/>
    <x v="231"/>
    <s v="Jan-19"/>
    <x v="55"/>
    <x v="2"/>
    <s v="Indore"/>
  </r>
  <r>
    <s v="B-25952"/>
    <n v="147"/>
    <n v="48"/>
    <n v="0.32653061224489793"/>
    <n v="3"/>
    <x v="1"/>
    <x v="5"/>
    <x v="231"/>
    <s v="Jan-19"/>
    <x v="55"/>
    <x v="2"/>
    <s v="Indore"/>
  </r>
  <r>
    <s v="B-25952"/>
    <n v="44"/>
    <n v="14"/>
    <n v="0.31818181818181818"/>
    <n v="3"/>
    <x v="1"/>
    <x v="2"/>
    <x v="231"/>
    <s v="Jan-19"/>
    <x v="55"/>
    <x v="2"/>
    <s v="Indore"/>
  </r>
  <r>
    <s v="B-25953"/>
    <n v="22"/>
    <n v="-8"/>
    <n v="-0.36363636363636365"/>
    <n v="4"/>
    <x v="1"/>
    <x v="2"/>
    <x v="232"/>
    <s v="Jan-19"/>
    <x v="81"/>
    <x v="17"/>
    <s v="Hyderabad"/>
  </r>
  <r>
    <s v="B-25953"/>
    <n v="188"/>
    <n v="-193"/>
    <n v="-1.0265957446808511"/>
    <n v="2"/>
    <x v="2"/>
    <x v="3"/>
    <x v="232"/>
    <s v="Jan-19"/>
    <x v="81"/>
    <x v="17"/>
    <s v="Hyderabad"/>
  </r>
  <r>
    <s v="B-25953"/>
    <n v="81"/>
    <n v="41"/>
    <n v="0.50617283950617287"/>
    <n v="3"/>
    <x v="1"/>
    <x v="1"/>
    <x v="232"/>
    <s v="Jan-19"/>
    <x v="81"/>
    <x v="17"/>
    <s v="Hyderabad"/>
  </r>
  <r>
    <s v="B-25953"/>
    <n v="44"/>
    <n v="2"/>
    <n v="4.5454545454545456E-2"/>
    <n v="3"/>
    <x v="1"/>
    <x v="2"/>
    <x v="232"/>
    <s v="Jan-19"/>
    <x v="81"/>
    <x v="17"/>
    <s v="Hyderabad"/>
  </r>
  <r>
    <s v="B-25953"/>
    <n v="116"/>
    <n v="22"/>
    <n v="0.18965517241379309"/>
    <n v="1"/>
    <x v="2"/>
    <x v="14"/>
    <x v="232"/>
    <s v="Jan-19"/>
    <x v="81"/>
    <x v="17"/>
    <s v="Hyderabad"/>
  </r>
  <r>
    <s v="B-25953"/>
    <n v="67"/>
    <n v="20"/>
    <n v="0.29850746268656714"/>
    <n v="4"/>
    <x v="1"/>
    <x v="9"/>
    <x v="232"/>
    <s v="Jan-19"/>
    <x v="81"/>
    <x v="17"/>
    <s v="Hyderabad"/>
  </r>
  <r>
    <s v="B-25953"/>
    <n v="744"/>
    <n v="119"/>
    <n v="0.15994623655913978"/>
    <n v="6"/>
    <x v="2"/>
    <x v="13"/>
    <x v="232"/>
    <s v="Jan-19"/>
    <x v="81"/>
    <x v="17"/>
    <s v="Hyderabad"/>
  </r>
  <r>
    <s v="B-25953"/>
    <n v="1218"/>
    <n v="352"/>
    <n v="0.28899835796387519"/>
    <n v="9"/>
    <x v="0"/>
    <x v="0"/>
    <x v="232"/>
    <s v="Jan-19"/>
    <x v="81"/>
    <x v="17"/>
    <s v="Hyderabad"/>
  </r>
  <r>
    <s v="B-25953"/>
    <n v="87"/>
    <n v="36"/>
    <n v="0.41379310344827586"/>
    <n v="5"/>
    <x v="1"/>
    <x v="1"/>
    <x v="232"/>
    <s v="Jan-19"/>
    <x v="81"/>
    <x v="17"/>
    <s v="Hyderabad"/>
  </r>
  <r>
    <s v="B-25954"/>
    <n v="891"/>
    <n v="0"/>
    <n v="0"/>
    <n v="5"/>
    <x v="1"/>
    <x v="5"/>
    <x v="232"/>
    <s v="Jan-19"/>
    <x v="296"/>
    <x v="0"/>
    <s v="Ahmedabad"/>
  </r>
  <r>
    <s v="B-25954"/>
    <n v="146"/>
    <n v="66"/>
    <n v="0.45205479452054792"/>
    <n v="1"/>
    <x v="2"/>
    <x v="4"/>
    <x v="232"/>
    <s v="Jan-19"/>
    <x v="296"/>
    <x v="0"/>
    <s v="Ahmedabad"/>
  </r>
  <r>
    <s v="B-25954"/>
    <n v="44"/>
    <n v="10"/>
    <n v="0.22727272727272727"/>
    <n v="3"/>
    <x v="1"/>
    <x v="1"/>
    <x v="232"/>
    <s v="Jan-19"/>
    <x v="296"/>
    <x v="0"/>
    <s v="Ahmedabad"/>
  </r>
  <r>
    <s v="B-25954"/>
    <n v="27"/>
    <n v="0"/>
    <n v="0"/>
    <n v="2"/>
    <x v="1"/>
    <x v="11"/>
    <x v="232"/>
    <s v="Jan-19"/>
    <x v="296"/>
    <x v="0"/>
    <s v="Ahmedabad"/>
  </r>
  <r>
    <s v="B-25954"/>
    <n v="48"/>
    <n v="11"/>
    <n v="0.22916666666666666"/>
    <n v="2"/>
    <x v="1"/>
    <x v="10"/>
    <x v="232"/>
    <s v="Jan-19"/>
    <x v="296"/>
    <x v="0"/>
    <s v="Ahmedabad"/>
  </r>
  <r>
    <s v="B-25954"/>
    <n v="189"/>
    <n v="60"/>
    <n v="0.31746031746031744"/>
    <n v="4"/>
    <x v="0"/>
    <x v="15"/>
    <x v="232"/>
    <s v="Jan-19"/>
    <x v="296"/>
    <x v="0"/>
    <s v="Ahmedabad"/>
  </r>
  <r>
    <s v="B-25954"/>
    <n v="524"/>
    <n v="-25"/>
    <n v="-4.7709923664122141E-2"/>
    <n v="2"/>
    <x v="2"/>
    <x v="3"/>
    <x v="232"/>
    <s v="Jan-19"/>
    <x v="296"/>
    <x v="0"/>
    <s v="Ahmedabad"/>
  </r>
  <r>
    <s v="B-25954"/>
    <n v="148"/>
    <n v="9"/>
    <n v="6.0810810810810814E-2"/>
    <n v="1"/>
    <x v="2"/>
    <x v="3"/>
    <x v="232"/>
    <s v="Jan-19"/>
    <x v="296"/>
    <x v="0"/>
    <s v="Ahmedabad"/>
  </r>
  <r>
    <s v="B-25955"/>
    <n v="1716"/>
    <n v="309"/>
    <n v="0.18006993006993008"/>
    <n v="7"/>
    <x v="2"/>
    <x v="14"/>
    <x v="233"/>
    <s v="Jan-19"/>
    <x v="149"/>
    <x v="1"/>
    <s v="Pune"/>
  </r>
  <r>
    <s v="B-25955"/>
    <n v="45"/>
    <n v="8"/>
    <n v="0.17777777777777778"/>
    <n v="4"/>
    <x v="1"/>
    <x v="16"/>
    <x v="233"/>
    <s v="Jan-19"/>
    <x v="149"/>
    <x v="1"/>
    <s v="Pune"/>
  </r>
  <r>
    <s v="B-25955"/>
    <n v="39"/>
    <n v="2"/>
    <n v="5.128205128205128E-2"/>
    <n v="2"/>
    <x v="1"/>
    <x v="5"/>
    <x v="233"/>
    <s v="Jan-19"/>
    <x v="149"/>
    <x v="1"/>
    <s v="Pune"/>
  </r>
  <r>
    <s v="B-25955"/>
    <n v="110"/>
    <n v="20"/>
    <n v="0.18181818181818182"/>
    <n v="5"/>
    <x v="1"/>
    <x v="1"/>
    <x v="233"/>
    <s v="Jan-19"/>
    <x v="149"/>
    <x v="1"/>
    <s v="Pune"/>
  </r>
  <r>
    <s v="B-25955"/>
    <n v="54"/>
    <n v="14"/>
    <n v="0.25925925925925924"/>
    <n v="3"/>
    <x v="1"/>
    <x v="9"/>
    <x v="233"/>
    <s v="Jan-19"/>
    <x v="149"/>
    <x v="1"/>
    <s v="Pune"/>
  </r>
  <r>
    <s v="B-25955"/>
    <n v="954"/>
    <n v="95"/>
    <n v="9.9580712788259959E-2"/>
    <n v="3"/>
    <x v="2"/>
    <x v="13"/>
    <x v="233"/>
    <s v="Jan-19"/>
    <x v="149"/>
    <x v="1"/>
    <s v="Pune"/>
  </r>
  <r>
    <s v="B-25955"/>
    <n v="2927"/>
    <n v="146"/>
    <n v="4.9880423641954219E-2"/>
    <n v="8"/>
    <x v="0"/>
    <x v="0"/>
    <x v="233"/>
    <s v="Jan-19"/>
    <x v="149"/>
    <x v="1"/>
    <s v="Pune"/>
  </r>
  <r>
    <s v="B-25955"/>
    <n v="294"/>
    <n v="62"/>
    <n v="0.21088435374149661"/>
    <n v="9"/>
    <x v="1"/>
    <x v="9"/>
    <x v="233"/>
    <s v="Jan-19"/>
    <x v="149"/>
    <x v="1"/>
    <s v="Pune"/>
  </r>
  <r>
    <s v="B-25955"/>
    <n v="200"/>
    <n v="13"/>
    <n v="6.5000000000000002E-2"/>
    <n v="5"/>
    <x v="2"/>
    <x v="4"/>
    <x v="233"/>
    <s v="Jan-19"/>
    <x v="149"/>
    <x v="1"/>
    <s v="Pune"/>
  </r>
  <r>
    <s v="B-25956"/>
    <n v="89"/>
    <n v="-37"/>
    <n v="-0.4157303370786517"/>
    <n v="4"/>
    <x v="1"/>
    <x v="10"/>
    <x v="234"/>
    <s v="Jan-19"/>
    <x v="74"/>
    <x v="1"/>
    <s v="Mumbai"/>
  </r>
  <r>
    <s v="B-25956"/>
    <n v="59"/>
    <n v="10"/>
    <n v="0.16949152542372881"/>
    <n v="2"/>
    <x v="1"/>
    <x v="2"/>
    <x v="234"/>
    <s v="Jan-19"/>
    <x v="74"/>
    <x v="1"/>
    <s v="Mumbai"/>
  </r>
  <r>
    <s v="B-25956"/>
    <n v="33"/>
    <n v="10"/>
    <n v="0.30303030303030304"/>
    <n v="3"/>
    <x v="1"/>
    <x v="2"/>
    <x v="234"/>
    <s v="Jan-19"/>
    <x v="74"/>
    <x v="1"/>
    <s v="Mumbai"/>
  </r>
  <r>
    <s v="B-25956"/>
    <n v="474"/>
    <n v="56"/>
    <n v="0.11814345991561181"/>
    <n v="4"/>
    <x v="2"/>
    <x v="4"/>
    <x v="234"/>
    <s v="Jan-19"/>
    <x v="74"/>
    <x v="1"/>
    <s v="Mumbai"/>
  </r>
  <r>
    <s v="B-25956"/>
    <n v="140"/>
    <n v="28"/>
    <n v="0.2"/>
    <n v="2"/>
    <x v="2"/>
    <x v="4"/>
    <x v="234"/>
    <s v="Jan-19"/>
    <x v="74"/>
    <x v="1"/>
    <s v="Mumbai"/>
  </r>
  <r>
    <s v="B-25957"/>
    <n v="147"/>
    <n v="73"/>
    <n v="0.49659863945578231"/>
    <n v="3"/>
    <x v="1"/>
    <x v="1"/>
    <x v="235"/>
    <s v="Jan-19"/>
    <x v="73"/>
    <x v="2"/>
    <s v="Indore"/>
  </r>
  <r>
    <s v="B-25957"/>
    <n v="16"/>
    <n v="2"/>
    <n v="0.125"/>
    <n v="1"/>
    <x v="1"/>
    <x v="5"/>
    <x v="235"/>
    <s v="Jan-19"/>
    <x v="73"/>
    <x v="2"/>
    <s v="Indore"/>
  </r>
  <r>
    <s v="B-25957"/>
    <n v="1157"/>
    <n v="-13"/>
    <n v="-1.1235955056179775E-2"/>
    <n v="9"/>
    <x v="0"/>
    <x v="0"/>
    <x v="235"/>
    <s v="Jan-19"/>
    <x v="73"/>
    <x v="2"/>
    <s v="Indore"/>
  </r>
  <r>
    <s v="B-25958"/>
    <n v="105"/>
    <n v="25"/>
    <n v="0.23809523809523808"/>
    <n v="2"/>
    <x v="1"/>
    <x v="2"/>
    <x v="235"/>
    <s v="Jan-19"/>
    <x v="297"/>
    <x v="4"/>
    <s v="Kolkata"/>
  </r>
  <r>
    <s v="B-25958"/>
    <n v="360"/>
    <n v="32"/>
    <n v="8.8888888888888892E-2"/>
    <n v="3"/>
    <x v="1"/>
    <x v="5"/>
    <x v="235"/>
    <s v="Jan-19"/>
    <x v="297"/>
    <x v="4"/>
    <s v="Kolkata"/>
  </r>
  <r>
    <s v="B-25959"/>
    <n v="252"/>
    <n v="56"/>
    <n v="0.22222222222222221"/>
    <n v="2"/>
    <x v="2"/>
    <x v="4"/>
    <x v="235"/>
    <s v="Jan-19"/>
    <x v="298"/>
    <x v="2"/>
    <s v="Indore"/>
  </r>
  <r>
    <s v="B-25959"/>
    <n v="681"/>
    <n v="259"/>
    <n v="0.38032305433186492"/>
    <n v="4"/>
    <x v="0"/>
    <x v="7"/>
    <x v="235"/>
    <s v="Jan-19"/>
    <x v="298"/>
    <x v="2"/>
    <s v="Indore"/>
  </r>
  <r>
    <s v="B-25959"/>
    <n v="32"/>
    <n v="2"/>
    <n v="6.25E-2"/>
    <n v="2"/>
    <x v="1"/>
    <x v="8"/>
    <x v="235"/>
    <s v="Jan-19"/>
    <x v="298"/>
    <x v="2"/>
    <s v="Indore"/>
  </r>
  <r>
    <s v="B-25959"/>
    <n v="132"/>
    <n v="49"/>
    <n v="0.37121212121212122"/>
    <n v="3"/>
    <x v="1"/>
    <x v="10"/>
    <x v="235"/>
    <s v="Jan-19"/>
    <x v="298"/>
    <x v="2"/>
    <s v="Indore"/>
  </r>
  <r>
    <s v="B-25959"/>
    <n v="637"/>
    <n v="212"/>
    <n v="0.3328100470957614"/>
    <n v="8"/>
    <x v="2"/>
    <x v="4"/>
    <x v="235"/>
    <s v="Jan-19"/>
    <x v="298"/>
    <x v="2"/>
    <s v="Indore"/>
  </r>
  <r>
    <s v="B-25959"/>
    <n v="429"/>
    <n v="17"/>
    <n v="3.9627039627039624E-2"/>
    <n v="3"/>
    <x v="0"/>
    <x v="7"/>
    <x v="235"/>
    <s v="Jan-19"/>
    <x v="298"/>
    <x v="2"/>
    <s v="Indore"/>
  </r>
  <r>
    <s v="B-25959"/>
    <n v="82"/>
    <n v="24"/>
    <n v="0.29268292682926828"/>
    <n v="6"/>
    <x v="1"/>
    <x v="2"/>
    <x v="235"/>
    <s v="Jan-19"/>
    <x v="298"/>
    <x v="2"/>
    <s v="Indore"/>
  </r>
  <r>
    <s v="B-25959"/>
    <n v="23"/>
    <n v="8"/>
    <n v="0.34782608695652173"/>
    <n v="2"/>
    <x v="1"/>
    <x v="2"/>
    <x v="235"/>
    <s v="Jan-19"/>
    <x v="298"/>
    <x v="2"/>
    <s v="Indore"/>
  </r>
  <r>
    <s v="B-25960"/>
    <n v="171"/>
    <n v="-140"/>
    <n v="-0.81871345029239762"/>
    <n v="2"/>
    <x v="0"/>
    <x v="0"/>
    <x v="235"/>
    <s v="Jan-19"/>
    <x v="74"/>
    <x v="17"/>
    <s v="Hyderabad"/>
  </r>
  <r>
    <s v="B-25961"/>
    <n v="34"/>
    <n v="-12"/>
    <n v="-0.35294117647058826"/>
    <n v="5"/>
    <x v="1"/>
    <x v="11"/>
    <x v="235"/>
    <s v="Jan-19"/>
    <x v="156"/>
    <x v="0"/>
    <s v="Ahmedabad"/>
  </r>
  <r>
    <s v="B-25961"/>
    <n v="366"/>
    <n v="84"/>
    <n v="0.22950819672131148"/>
    <n v="3"/>
    <x v="0"/>
    <x v="0"/>
    <x v="235"/>
    <s v="Jan-19"/>
    <x v="156"/>
    <x v="0"/>
    <s v="Ahmedabad"/>
  </r>
  <r>
    <s v="B-25961"/>
    <n v="26"/>
    <n v="3"/>
    <n v="0.11538461538461539"/>
    <n v="3"/>
    <x v="1"/>
    <x v="16"/>
    <x v="235"/>
    <s v="Jan-19"/>
    <x v="156"/>
    <x v="0"/>
    <s v="Ahmedabad"/>
  </r>
  <r>
    <s v="B-25961"/>
    <n v="446"/>
    <n v="53"/>
    <n v="0.11883408071748879"/>
    <n v="3"/>
    <x v="2"/>
    <x v="13"/>
    <x v="235"/>
    <s v="Jan-19"/>
    <x v="156"/>
    <x v="0"/>
    <s v="Ahmedabad"/>
  </r>
  <r>
    <s v="B-25961"/>
    <n v="48"/>
    <n v="16"/>
    <n v="0.33333333333333331"/>
    <n v="3"/>
    <x v="1"/>
    <x v="10"/>
    <x v="235"/>
    <s v="Jan-19"/>
    <x v="156"/>
    <x v="0"/>
    <s v="Ahmedabad"/>
  </r>
  <r>
    <s v="B-25961"/>
    <n v="34"/>
    <n v="10"/>
    <n v="0.29411764705882354"/>
    <n v="3"/>
    <x v="1"/>
    <x v="16"/>
    <x v="235"/>
    <s v="Jan-19"/>
    <x v="156"/>
    <x v="0"/>
    <s v="Ahmedabad"/>
  </r>
  <r>
    <s v="B-25962"/>
    <n v="260"/>
    <n v="68"/>
    <n v="0.26153846153846155"/>
    <n v="2"/>
    <x v="2"/>
    <x v="13"/>
    <x v="236"/>
    <s v="Jan-19"/>
    <x v="299"/>
    <x v="1"/>
    <s v="Pune"/>
  </r>
  <r>
    <s v="B-25962"/>
    <n v="312"/>
    <n v="62"/>
    <n v="0.19871794871794871"/>
    <n v="1"/>
    <x v="2"/>
    <x v="3"/>
    <x v="236"/>
    <s v="Jan-19"/>
    <x v="299"/>
    <x v="1"/>
    <s v="Pune"/>
  </r>
  <r>
    <s v="B-25962"/>
    <n v="544"/>
    <n v="-152"/>
    <n v="-0.27941176470588236"/>
    <n v="3"/>
    <x v="0"/>
    <x v="0"/>
    <x v="236"/>
    <s v="Jan-19"/>
    <x v="299"/>
    <x v="1"/>
    <s v="Pune"/>
  </r>
  <r>
    <s v="B-25963"/>
    <n v="53"/>
    <n v="8"/>
    <n v="0.15094339622641509"/>
    <n v="3"/>
    <x v="0"/>
    <x v="15"/>
    <x v="236"/>
    <s v="Jan-19"/>
    <x v="300"/>
    <x v="1"/>
    <s v="Mumbai"/>
  </r>
  <r>
    <s v="B-25964"/>
    <n v="199"/>
    <n v="0"/>
    <n v="0"/>
    <n v="4"/>
    <x v="1"/>
    <x v="1"/>
    <x v="237"/>
    <s v="Jan-19"/>
    <x v="301"/>
    <x v="2"/>
    <s v="Indore"/>
  </r>
  <r>
    <s v="B-25964"/>
    <n v="89"/>
    <n v="6"/>
    <n v="6.741573033707865E-2"/>
    <n v="5"/>
    <x v="1"/>
    <x v="5"/>
    <x v="237"/>
    <s v="Jan-19"/>
    <x v="301"/>
    <x v="2"/>
    <s v="Indore"/>
  </r>
  <r>
    <s v="B-25964"/>
    <n v="1270"/>
    <n v="546"/>
    <n v="0.42992125984251967"/>
    <n v="11"/>
    <x v="2"/>
    <x v="3"/>
    <x v="237"/>
    <s v="Jan-19"/>
    <x v="301"/>
    <x v="2"/>
    <s v="Indore"/>
  </r>
  <r>
    <s v="B-25964"/>
    <n v="346"/>
    <n v="108"/>
    <n v="0.31213872832369943"/>
    <n v="3"/>
    <x v="0"/>
    <x v="7"/>
    <x v="237"/>
    <s v="Jan-19"/>
    <x v="301"/>
    <x v="2"/>
    <s v="Indore"/>
  </r>
  <r>
    <s v="B-25965"/>
    <n v="17"/>
    <n v="7"/>
    <n v="0.41176470588235292"/>
    <n v="3"/>
    <x v="1"/>
    <x v="2"/>
    <x v="238"/>
    <s v="Jan-19"/>
    <x v="302"/>
    <x v="4"/>
    <s v="Kolkata"/>
  </r>
  <r>
    <s v="B-25966"/>
    <n v="510"/>
    <n v="234"/>
    <n v="0.45882352941176469"/>
    <n v="6"/>
    <x v="2"/>
    <x v="3"/>
    <x v="238"/>
    <s v="Jan-19"/>
    <x v="149"/>
    <x v="3"/>
    <s v="Udaipur"/>
  </r>
  <r>
    <s v="B-25967"/>
    <n v="17"/>
    <n v="2"/>
    <n v="0.11764705882352941"/>
    <n v="2"/>
    <x v="1"/>
    <x v="16"/>
    <x v="238"/>
    <s v="Jan-19"/>
    <x v="232"/>
    <x v="8"/>
    <s v="Allahabad"/>
  </r>
  <r>
    <s v="B-25967"/>
    <n v="119"/>
    <n v="-24"/>
    <n v="-0.20168067226890757"/>
    <n v="4"/>
    <x v="0"/>
    <x v="15"/>
    <x v="238"/>
    <s v="Jan-19"/>
    <x v="232"/>
    <x v="8"/>
    <s v="Allahabad"/>
  </r>
  <r>
    <s v="B-25967"/>
    <n v="229"/>
    <n v="59"/>
    <n v="0.2576419213973799"/>
    <n v="9"/>
    <x v="1"/>
    <x v="5"/>
    <x v="238"/>
    <s v="Jan-19"/>
    <x v="232"/>
    <x v="8"/>
    <s v="Allahabad"/>
  </r>
  <r>
    <s v="B-25968"/>
    <n v="811"/>
    <n v="154"/>
    <n v="0.18988902589395806"/>
    <n v="7"/>
    <x v="2"/>
    <x v="14"/>
    <x v="238"/>
    <s v="Jan-19"/>
    <x v="303"/>
    <x v="11"/>
    <s v="Amritsar"/>
  </r>
  <r>
    <s v="B-25969"/>
    <n v="720"/>
    <n v="43"/>
    <n v="5.9722222222222225E-2"/>
    <n v="2"/>
    <x v="2"/>
    <x v="13"/>
    <x v="238"/>
    <s v="Jan-19"/>
    <x v="304"/>
    <x v="0"/>
    <s v="Surat"/>
  </r>
  <r>
    <s v="B-25969"/>
    <n v="2452"/>
    <n v="191"/>
    <n v="7.7895595432300166E-2"/>
    <n v="7"/>
    <x v="0"/>
    <x v="0"/>
    <x v="238"/>
    <s v="Jan-19"/>
    <x v="304"/>
    <x v="0"/>
    <s v="Surat"/>
  </r>
  <r>
    <s v="B-25969"/>
    <n v="171"/>
    <n v="17"/>
    <n v="9.9415204678362568E-2"/>
    <n v="6"/>
    <x v="1"/>
    <x v="9"/>
    <x v="238"/>
    <s v="Jan-19"/>
    <x v="304"/>
    <x v="0"/>
    <s v="Surat"/>
  </r>
  <r>
    <s v="B-25970"/>
    <n v="203"/>
    <n v="84"/>
    <n v="0.41379310344827586"/>
    <n v="2"/>
    <x v="2"/>
    <x v="13"/>
    <x v="239"/>
    <s v="Jan-19"/>
    <x v="67"/>
    <x v="1"/>
    <s v="Mumbai"/>
  </r>
  <r>
    <s v="B-25970"/>
    <n v="742"/>
    <n v="198"/>
    <n v="0.26684636118598382"/>
    <n v="2"/>
    <x v="0"/>
    <x v="0"/>
    <x v="239"/>
    <s v="Jan-19"/>
    <x v="67"/>
    <x v="1"/>
    <s v="Mumbai"/>
  </r>
  <r>
    <s v="B-25970"/>
    <n v="111"/>
    <n v="9"/>
    <n v="8.1081081081081086E-2"/>
    <n v="4"/>
    <x v="1"/>
    <x v="1"/>
    <x v="239"/>
    <s v="Jan-19"/>
    <x v="67"/>
    <x v="1"/>
    <s v="Mumbai"/>
  </r>
  <r>
    <s v="B-25970"/>
    <n v="365"/>
    <n v="107"/>
    <n v="0.29315068493150687"/>
    <n v="3"/>
    <x v="2"/>
    <x v="4"/>
    <x v="239"/>
    <s v="Jan-19"/>
    <x v="67"/>
    <x v="1"/>
    <s v="Mumbai"/>
  </r>
  <r>
    <s v="B-25971"/>
    <n v="244"/>
    <n v="83"/>
    <n v="0.3401639344262295"/>
    <n v="2"/>
    <x v="0"/>
    <x v="0"/>
    <x v="239"/>
    <s v="Jan-19"/>
    <x v="70"/>
    <x v="2"/>
    <s v="Indore"/>
  </r>
  <r>
    <s v="B-25972"/>
    <n v="115"/>
    <n v="47"/>
    <n v="0.40869565217391307"/>
    <n v="2"/>
    <x v="2"/>
    <x v="14"/>
    <x v="240"/>
    <s v="Jan-19"/>
    <x v="305"/>
    <x v="3"/>
    <s v="Udaipur"/>
  </r>
  <r>
    <s v="B-25973"/>
    <n v="571"/>
    <n v="108"/>
    <n v="0.18914185639229422"/>
    <n v="12"/>
    <x v="1"/>
    <x v="1"/>
    <x v="241"/>
    <s v="Jan-19"/>
    <x v="306"/>
    <x v="8"/>
    <s v="Allahabad"/>
  </r>
  <r>
    <s v="B-25973"/>
    <n v="398"/>
    <n v="111"/>
    <n v="0.27889447236180903"/>
    <n v="8"/>
    <x v="1"/>
    <x v="2"/>
    <x v="241"/>
    <s v="Jan-19"/>
    <x v="306"/>
    <x v="8"/>
    <s v="Allahabad"/>
  </r>
  <r>
    <s v="B-25973"/>
    <n v="79"/>
    <n v="39"/>
    <n v="0.49367088607594939"/>
    <n v="2"/>
    <x v="1"/>
    <x v="10"/>
    <x v="241"/>
    <s v="Jan-19"/>
    <x v="306"/>
    <x v="8"/>
    <s v="Allahabad"/>
  </r>
  <r>
    <s v="B-25973"/>
    <n v="39"/>
    <n v="14"/>
    <n v="0.35897435897435898"/>
    <n v="5"/>
    <x v="1"/>
    <x v="11"/>
    <x v="241"/>
    <s v="Jan-19"/>
    <x v="306"/>
    <x v="8"/>
    <s v="Allahabad"/>
  </r>
  <r>
    <s v="B-25973"/>
    <n v="4141"/>
    <n v="1698"/>
    <n v="0.41004588263704417"/>
    <n v="13"/>
    <x v="2"/>
    <x v="13"/>
    <x v="241"/>
    <s v="Jan-19"/>
    <x v="306"/>
    <x v="8"/>
    <s v="Allahabad"/>
  </r>
  <r>
    <s v="B-25974"/>
    <n v="662"/>
    <n v="240"/>
    <n v="0.36253776435045315"/>
    <n v="2"/>
    <x v="0"/>
    <x v="0"/>
    <x v="242"/>
    <s v="Jan-19"/>
    <x v="307"/>
    <x v="3"/>
    <s v="Udaipur"/>
  </r>
  <r>
    <s v="B-25975"/>
    <n v="29"/>
    <n v="2"/>
    <n v="6.8965517241379309E-2"/>
    <n v="3"/>
    <x v="1"/>
    <x v="16"/>
    <x v="242"/>
    <s v="Jan-19"/>
    <x v="55"/>
    <x v="8"/>
    <s v="Allahabad"/>
  </r>
  <r>
    <s v="B-25976"/>
    <n v="193"/>
    <n v="8"/>
    <n v="4.145077720207254E-2"/>
    <n v="4"/>
    <x v="1"/>
    <x v="9"/>
    <x v="242"/>
    <s v="Jan-19"/>
    <x v="308"/>
    <x v="11"/>
    <s v="Amritsar"/>
  </r>
  <r>
    <s v="B-25977"/>
    <n v="27"/>
    <n v="1"/>
    <n v="3.7037037037037035E-2"/>
    <n v="1"/>
    <x v="1"/>
    <x v="1"/>
    <x v="243"/>
    <s v="Jan-19"/>
    <x v="79"/>
    <x v="0"/>
    <s v="Surat"/>
  </r>
  <r>
    <s v="B-25977"/>
    <n v="74"/>
    <n v="29"/>
    <n v="0.39189189189189189"/>
    <n v="3"/>
    <x v="1"/>
    <x v="1"/>
    <x v="243"/>
    <s v="Jan-19"/>
    <x v="79"/>
    <x v="0"/>
    <s v="Surat"/>
  </r>
  <r>
    <s v="B-25977"/>
    <n v="180"/>
    <n v="54"/>
    <n v="0.3"/>
    <n v="4"/>
    <x v="1"/>
    <x v="9"/>
    <x v="243"/>
    <s v="Jan-19"/>
    <x v="79"/>
    <x v="0"/>
    <s v="Surat"/>
  </r>
  <r>
    <s v="B-25978"/>
    <n v="1063"/>
    <n v="-175"/>
    <n v="-0.16462841015992474"/>
    <n v="4"/>
    <x v="2"/>
    <x v="3"/>
    <x v="243"/>
    <s v="Jan-19"/>
    <x v="309"/>
    <x v="1"/>
    <s v="Mumbai"/>
  </r>
  <r>
    <s v="B-25978"/>
    <n v="341"/>
    <n v="160"/>
    <n v="0.46920821114369504"/>
    <n v="7"/>
    <x v="1"/>
    <x v="1"/>
    <x v="243"/>
    <s v="Jan-19"/>
    <x v="309"/>
    <x v="1"/>
    <s v="Mumbai"/>
  </r>
  <r>
    <s v="B-25979"/>
    <n v="560"/>
    <n v="44"/>
    <n v="7.857142857142857E-2"/>
    <n v="3"/>
    <x v="1"/>
    <x v="5"/>
    <x v="243"/>
    <s v="Jan-19"/>
    <x v="166"/>
    <x v="2"/>
    <s v="Indore"/>
  </r>
  <r>
    <s v="B-25979"/>
    <n v="57"/>
    <n v="27"/>
    <n v="0.47368421052631576"/>
    <n v="2"/>
    <x v="1"/>
    <x v="10"/>
    <x v="243"/>
    <s v="Jan-19"/>
    <x v="166"/>
    <x v="2"/>
    <s v="Indore"/>
  </r>
  <r>
    <s v="B-25979"/>
    <n v="284"/>
    <n v="45"/>
    <n v="0.15845070422535212"/>
    <n v="2"/>
    <x v="0"/>
    <x v="0"/>
    <x v="243"/>
    <s v="Jan-19"/>
    <x v="166"/>
    <x v="2"/>
    <s v="Indore"/>
  </r>
  <r>
    <s v="B-25979"/>
    <n v="12"/>
    <n v="1"/>
    <n v="8.3333333333333329E-2"/>
    <n v="2"/>
    <x v="1"/>
    <x v="2"/>
    <x v="243"/>
    <s v="Jan-19"/>
    <x v="166"/>
    <x v="2"/>
    <s v="Indore"/>
  </r>
  <r>
    <s v="B-25979"/>
    <n v="82"/>
    <n v="27"/>
    <n v="0.32926829268292684"/>
    <n v="3"/>
    <x v="1"/>
    <x v="8"/>
    <x v="243"/>
    <s v="Jan-19"/>
    <x v="166"/>
    <x v="2"/>
    <s v="Indore"/>
  </r>
  <r>
    <s v="B-25980"/>
    <n v="22"/>
    <n v="11"/>
    <n v="0.5"/>
    <n v="3"/>
    <x v="1"/>
    <x v="8"/>
    <x v="243"/>
    <s v="Jan-19"/>
    <x v="101"/>
    <x v="3"/>
    <s v="Udaipur"/>
  </r>
  <r>
    <s v="B-25981"/>
    <n v="42"/>
    <n v="13"/>
    <n v="0.30952380952380953"/>
    <n v="3"/>
    <x v="1"/>
    <x v="11"/>
    <x v="244"/>
    <s v="Jan-19"/>
    <x v="310"/>
    <x v="18"/>
    <s v="Delhi"/>
  </r>
  <r>
    <s v="B-25981"/>
    <n v="54"/>
    <n v="12"/>
    <n v="0.22222222222222221"/>
    <n v="3"/>
    <x v="1"/>
    <x v="5"/>
    <x v="244"/>
    <s v="Jan-19"/>
    <x v="310"/>
    <x v="18"/>
    <s v="Delhi"/>
  </r>
  <r>
    <s v="B-25981"/>
    <n v="62"/>
    <n v="8"/>
    <n v="0.12903225806451613"/>
    <n v="2"/>
    <x v="1"/>
    <x v="9"/>
    <x v="244"/>
    <s v="Jan-19"/>
    <x v="310"/>
    <x v="18"/>
    <s v="Delhi"/>
  </r>
  <r>
    <s v="B-25981"/>
    <n v="245"/>
    <n v="91"/>
    <n v="0.37142857142857144"/>
    <n v="2"/>
    <x v="0"/>
    <x v="0"/>
    <x v="244"/>
    <s v="Jan-19"/>
    <x v="310"/>
    <x v="18"/>
    <s v="Delhi"/>
  </r>
  <r>
    <s v="B-25981"/>
    <n v="867"/>
    <n v="251"/>
    <n v="0.28950403690888121"/>
    <n v="5"/>
    <x v="2"/>
    <x v="4"/>
    <x v="244"/>
    <s v="Jan-19"/>
    <x v="310"/>
    <x v="18"/>
    <s v="Delhi"/>
  </r>
  <r>
    <s v="B-25981"/>
    <n v="48"/>
    <n v="2"/>
    <n v="4.1666666666666664E-2"/>
    <n v="3"/>
    <x v="1"/>
    <x v="1"/>
    <x v="244"/>
    <s v="Jan-19"/>
    <x v="310"/>
    <x v="18"/>
    <s v="Delhi"/>
  </r>
  <r>
    <s v="B-25982"/>
    <n v="13"/>
    <n v="3"/>
    <n v="0.23076923076923078"/>
    <n v="1"/>
    <x v="1"/>
    <x v="11"/>
    <x v="245"/>
    <s v="Jan-19"/>
    <x v="311"/>
    <x v="18"/>
    <s v="Delhi"/>
  </r>
  <r>
    <s v="B-25983"/>
    <n v="230"/>
    <n v="5"/>
    <n v="2.1739130434782608E-2"/>
    <n v="2"/>
    <x v="1"/>
    <x v="5"/>
    <x v="246"/>
    <s v="Jan-19"/>
    <x v="312"/>
    <x v="18"/>
    <s v="Delhi"/>
  </r>
  <r>
    <s v="B-25983"/>
    <n v="32"/>
    <n v="-12"/>
    <n v="-0.375"/>
    <n v="1"/>
    <x v="0"/>
    <x v="7"/>
    <x v="246"/>
    <s v="Jan-19"/>
    <x v="312"/>
    <x v="18"/>
    <s v="Delhi"/>
  </r>
  <r>
    <s v="B-25983"/>
    <n v="161"/>
    <n v="-229"/>
    <n v="-1.4223602484472049"/>
    <n v="8"/>
    <x v="0"/>
    <x v="15"/>
    <x v="246"/>
    <s v="Jan-19"/>
    <x v="312"/>
    <x v="18"/>
    <s v="Delhi"/>
  </r>
  <r>
    <s v="B-25983"/>
    <n v="50"/>
    <n v="-4"/>
    <n v="-0.08"/>
    <n v="6"/>
    <x v="1"/>
    <x v="9"/>
    <x v="246"/>
    <s v="Jan-19"/>
    <x v="312"/>
    <x v="18"/>
    <s v="Delhi"/>
  </r>
  <r>
    <s v="B-25983"/>
    <n v="561"/>
    <n v="118"/>
    <n v="0.21033868092691621"/>
    <n v="5"/>
    <x v="0"/>
    <x v="0"/>
    <x v="246"/>
    <s v="Jan-19"/>
    <x v="312"/>
    <x v="18"/>
    <s v="Delhi"/>
  </r>
  <r>
    <s v="B-25984"/>
    <n v="304"/>
    <n v="97"/>
    <n v="0.31907894736842107"/>
    <n v="6"/>
    <x v="1"/>
    <x v="1"/>
    <x v="246"/>
    <s v="Jan-19"/>
    <x v="266"/>
    <x v="18"/>
    <s v="Delhi"/>
  </r>
  <r>
    <s v="B-25985"/>
    <n v="197"/>
    <n v="20"/>
    <n v="0.10152284263959391"/>
    <n v="4"/>
    <x v="1"/>
    <x v="8"/>
    <x v="247"/>
    <s v="Jan-19"/>
    <x v="313"/>
    <x v="2"/>
    <s v="Indore"/>
  </r>
  <r>
    <s v="B-25985"/>
    <n v="108"/>
    <n v="26"/>
    <n v="0.24074074074074073"/>
    <n v="4"/>
    <x v="1"/>
    <x v="10"/>
    <x v="247"/>
    <s v="Jan-19"/>
    <x v="313"/>
    <x v="2"/>
    <s v="Indore"/>
  </r>
  <r>
    <s v="B-25985"/>
    <n v="32"/>
    <n v="8"/>
    <n v="0.25"/>
    <n v="5"/>
    <x v="1"/>
    <x v="2"/>
    <x v="247"/>
    <s v="Jan-19"/>
    <x v="313"/>
    <x v="2"/>
    <s v="Indore"/>
  </r>
  <r>
    <s v="B-25985"/>
    <n v="44"/>
    <n v="11"/>
    <n v="0.25"/>
    <n v="4"/>
    <x v="1"/>
    <x v="1"/>
    <x v="247"/>
    <s v="Jan-19"/>
    <x v="313"/>
    <x v="2"/>
    <s v="Indore"/>
  </r>
  <r>
    <s v="B-25986"/>
    <n v="749"/>
    <n v="307"/>
    <n v="0.40987983978638182"/>
    <n v="7"/>
    <x v="0"/>
    <x v="15"/>
    <x v="247"/>
    <s v="Jan-19"/>
    <x v="101"/>
    <x v="3"/>
    <s v="Udaipur"/>
  </r>
  <r>
    <s v="B-25986"/>
    <n v="71"/>
    <n v="4"/>
    <n v="5.6338028169014086E-2"/>
    <n v="5"/>
    <x v="1"/>
    <x v="11"/>
    <x v="247"/>
    <s v="Jan-19"/>
    <x v="101"/>
    <x v="3"/>
    <s v="Udaipur"/>
  </r>
  <r>
    <s v="B-25986"/>
    <n v="487"/>
    <n v="-23"/>
    <n v="-4.7227926078028747E-2"/>
    <n v="3"/>
    <x v="2"/>
    <x v="13"/>
    <x v="247"/>
    <s v="Jan-19"/>
    <x v="101"/>
    <x v="3"/>
    <s v="Udaipur"/>
  </r>
  <r>
    <s v="B-25986"/>
    <n v="918"/>
    <n v="22"/>
    <n v="2.3965141612200435E-2"/>
    <n v="9"/>
    <x v="2"/>
    <x v="3"/>
    <x v="247"/>
    <s v="Jan-19"/>
    <x v="101"/>
    <x v="3"/>
    <s v="Udaipur"/>
  </r>
  <r>
    <s v="B-25987"/>
    <n v="299"/>
    <n v="0"/>
    <n v="0"/>
    <n v="6"/>
    <x v="1"/>
    <x v="1"/>
    <x v="247"/>
    <s v="Jan-19"/>
    <x v="314"/>
    <x v="18"/>
    <s v="Delhi"/>
  </r>
  <r>
    <s v="B-25987"/>
    <n v="88"/>
    <n v="11"/>
    <n v="0.125"/>
    <n v="7"/>
    <x v="1"/>
    <x v="2"/>
    <x v="247"/>
    <s v="Jan-19"/>
    <x v="314"/>
    <x v="18"/>
    <s v="Delhi"/>
  </r>
  <r>
    <s v="B-25988"/>
    <n v="79"/>
    <n v="24"/>
    <n v="0.30379746835443039"/>
    <n v="9"/>
    <x v="1"/>
    <x v="16"/>
    <x v="247"/>
    <s v="Jan-19"/>
    <x v="315"/>
    <x v="18"/>
    <s v="Delhi"/>
  </r>
  <r>
    <s v="B-25989"/>
    <n v="44"/>
    <n v="14"/>
    <n v="0.31818181818181818"/>
    <n v="3"/>
    <x v="1"/>
    <x v="2"/>
    <x v="248"/>
    <s v="Feb-19"/>
    <x v="66"/>
    <x v="18"/>
    <s v="Delhi"/>
  </r>
  <r>
    <s v="B-25989"/>
    <n v="10"/>
    <n v="5"/>
    <n v="0.5"/>
    <n v="1"/>
    <x v="1"/>
    <x v="1"/>
    <x v="248"/>
    <s v="Feb-19"/>
    <x v="66"/>
    <x v="18"/>
    <s v="Delhi"/>
  </r>
  <r>
    <s v="B-25989"/>
    <n v="42"/>
    <n v="15"/>
    <n v="0.35714285714285715"/>
    <n v="1"/>
    <x v="2"/>
    <x v="14"/>
    <x v="248"/>
    <s v="Feb-19"/>
    <x v="66"/>
    <x v="18"/>
    <s v="Delhi"/>
  </r>
  <r>
    <s v="B-25989"/>
    <n v="330"/>
    <n v="81"/>
    <n v="0.24545454545454545"/>
    <n v="1"/>
    <x v="0"/>
    <x v="0"/>
    <x v="248"/>
    <s v="Feb-19"/>
    <x v="66"/>
    <x v="18"/>
    <s v="Delhi"/>
  </r>
  <r>
    <s v="B-25989"/>
    <n v="338"/>
    <n v="41"/>
    <n v="0.12130177514792899"/>
    <n v="7"/>
    <x v="1"/>
    <x v="2"/>
    <x v="248"/>
    <s v="Feb-19"/>
    <x v="66"/>
    <x v="18"/>
    <s v="Delhi"/>
  </r>
  <r>
    <s v="B-25990"/>
    <n v="71"/>
    <n v="32"/>
    <n v="0.45070422535211269"/>
    <n v="3"/>
    <x v="1"/>
    <x v="5"/>
    <x v="249"/>
    <s v="Feb-19"/>
    <x v="316"/>
    <x v="18"/>
    <s v="Delhi"/>
  </r>
  <r>
    <s v="B-25991"/>
    <n v="188"/>
    <n v="13"/>
    <n v="6.9148936170212769E-2"/>
    <n v="7"/>
    <x v="1"/>
    <x v="10"/>
    <x v="250"/>
    <s v="Feb-19"/>
    <x v="317"/>
    <x v="2"/>
    <s v="Indore"/>
  </r>
  <r>
    <s v="B-25991"/>
    <n v="90"/>
    <n v="30"/>
    <n v="0.33333333333333331"/>
    <n v="2"/>
    <x v="0"/>
    <x v="7"/>
    <x v="250"/>
    <s v="Feb-19"/>
    <x v="317"/>
    <x v="2"/>
    <s v="Indore"/>
  </r>
  <r>
    <s v="B-25991"/>
    <n v="13"/>
    <n v="5"/>
    <n v="0.38461538461538464"/>
    <n v="2"/>
    <x v="1"/>
    <x v="2"/>
    <x v="250"/>
    <s v="Feb-19"/>
    <x v="317"/>
    <x v="2"/>
    <s v="Indore"/>
  </r>
  <r>
    <s v="B-25992"/>
    <n v="141"/>
    <n v="41"/>
    <n v="0.29078014184397161"/>
    <n v="3"/>
    <x v="1"/>
    <x v="10"/>
    <x v="250"/>
    <s v="Feb-19"/>
    <x v="223"/>
    <x v="3"/>
    <s v="Udaipur"/>
  </r>
  <r>
    <s v="B-25993"/>
    <n v="44"/>
    <n v="8"/>
    <n v="0.18181818181818182"/>
    <n v="2"/>
    <x v="1"/>
    <x v="1"/>
    <x v="250"/>
    <s v="Feb-19"/>
    <x v="318"/>
    <x v="18"/>
    <s v="Delhi"/>
  </r>
  <r>
    <s v="B-25993"/>
    <n v="610"/>
    <n v="208"/>
    <n v="0.34098360655737703"/>
    <n v="3"/>
    <x v="2"/>
    <x v="13"/>
    <x v="250"/>
    <s v="Feb-19"/>
    <x v="318"/>
    <x v="18"/>
    <s v="Delhi"/>
  </r>
  <r>
    <s v="B-25993"/>
    <n v="4363"/>
    <n v="305"/>
    <n v="6.9906027962411188E-2"/>
    <n v="5"/>
    <x v="0"/>
    <x v="12"/>
    <x v="250"/>
    <s v="Feb-19"/>
    <x v="318"/>
    <x v="18"/>
    <s v="Delhi"/>
  </r>
  <r>
    <s v="B-25993"/>
    <n v="414"/>
    <n v="199"/>
    <n v="0.48067632850241548"/>
    <n v="3"/>
    <x v="2"/>
    <x v="4"/>
    <x v="250"/>
    <s v="Feb-19"/>
    <x v="318"/>
    <x v="18"/>
    <s v="Delhi"/>
  </r>
  <r>
    <s v="B-25993"/>
    <n v="221"/>
    <n v="26"/>
    <n v="0.11764705882352941"/>
    <n v="7"/>
    <x v="0"/>
    <x v="15"/>
    <x v="250"/>
    <s v="Feb-19"/>
    <x v="318"/>
    <x v="18"/>
    <s v="Delhi"/>
  </r>
  <r>
    <s v="B-25993"/>
    <n v="201"/>
    <n v="32"/>
    <n v="0.15920398009950248"/>
    <n v="4"/>
    <x v="0"/>
    <x v="15"/>
    <x v="250"/>
    <s v="Feb-19"/>
    <x v="318"/>
    <x v="18"/>
    <s v="Delhi"/>
  </r>
  <r>
    <s v="B-25993"/>
    <n v="173"/>
    <n v="86"/>
    <n v="0.49710982658959535"/>
    <n v="1"/>
    <x v="2"/>
    <x v="13"/>
    <x v="250"/>
    <s v="Feb-19"/>
    <x v="318"/>
    <x v="18"/>
    <s v="Delhi"/>
  </r>
  <r>
    <s v="B-25994"/>
    <n v="196"/>
    <n v="-7"/>
    <n v="-3.5714285714285712E-2"/>
    <n v="5"/>
    <x v="2"/>
    <x v="4"/>
    <x v="250"/>
    <s v="Feb-19"/>
    <x v="319"/>
    <x v="18"/>
    <s v="Delhi"/>
  </r>
  <r>
    <s v="B-25995"/>
    <n v="1314"/>
    <n v="342"/>
    <n v="0.26027397260273971"/>
    <n v="3"/>
    <x v="0"/>
    <x v="0"/>
    <x v="251"/>
    <s v="Feb-19"/>
    <x v="320"/>
    <x v="18"/>
    <s v="Delhi"/>
  </r>
  <r>
    <s v="B-25996"/>
    <n v="62"/>
    <n v="6"/>
    <n v="9.6774193548387094E-2"/>
    <n v="6"/>
    <x v="1"/>
    <x v="16"/>
    <x v="251"/>
    <s v="Feb-19"/>
    <x v="321"/>
    <x v="18"/>
    <s v="Delhi"/>
  </r>
  <r>
    <s v="B-25996"/>
    <n v="31"/>
    <n v="2"/>
    <n v="6.4516129032258063E-2"/>
    <n v="2"/>
    <x v="1"/>
    <x v="2"/>
    <x v="251"/>
    <s v="Feb-19"/>
    <x v="321"/>
    <x v="18"/>
    <s v="Delhi"/>
  </r>
  <r>
    <s v="B-25996"/>
    <n v="217"/>
    <n v="72"/>
    <n v="0.33179723502304148"/>
    <n v="2"/>
    <x v="0"/>
    <x v="15"/>
    <x v="251"/>
    <s v="Feb-19"/>
    <x v="321"/>
    <x v="18"/>
    <s v="Delhi"/>
  </r>
  <r>
    <s v="B-25996"/>
    <n v="286"/>
    <n v="140"/>
    <n v="0.48951048951048953"/>
    <n v="6"/>
    <x v="1"/>
    <x v="10"/>
    <x v="251"/>
    <s v="Feb-19"/>
    <x v="321"/>
    <x v="18"/>
    <s v="Delhi"/>
  </r>
  <r>
    <s v="B-25996"/>
    <n v="333"/>
    <n v="50"/>
    <n v="0.15015015015015015"/>
    <n v="2"/>
    <x v="2"/>
    <x v="4"/>
    <x v="251"/>
    <s v="Feb-19"/>
    <x v="321"/>
    <x v="18"/>
    <s v="Delhi"/>
  </r>
  <r>
    <s v="B-25996"/>
    <n v="47"/>
    <n v="1"/>
    <n v="2.1276595744680851E-2"/>
    <n v="2"/>
    <x v="1"/>
    <x v="1"/>
    <x v="251"/>
    <s v="Feb-19"/>
    <x v="321"/>
    <x v="18"/>
    <s v="Delhi"/>
  </r>
  <r>
    <s v="B-25996"/>
    <n v="18"/>
    <n v="4"/>
    <n v="0.22222222222222221"/>
    <n v="1"/>
    <x v="1"/>
    <x v="5"/>
    <x v="251"/>
    <s v="Feb-19"/>
    <x v="321"/>
    <x v="18"/>
    <s v="Delhi"/>
  </r>
  <r>
    <s v="B-25997"/>
    <n v="16"/>
    <n v="6"/>
    <n v="0.375"/>
    <n v="3"/>
    <x v="1"/>
    <x v="2"/>
    <x v="251"/>
    <s v="Feb-19"/>
    <x v="9"/>
    <x v="2"/>
    <s v="Indore"/>
  </r>
  <r>
    <s v="B-25997"/>
    <n v="231"/>
    <n v="99"/>
    <n v="0.42857142857142855"/>
    <n v="2"/>
    <x v="2"/>
    <x v="3"/>
    <x v="251"/>
    <s v="Feb-19"/>
    <x v="9"/>
    <x v="2"/>
    <s v="Indore"/>
  </r>
  <r>
    <s v="B-25997"/>
    <n v="2292"/>
    <n v="127"/>
    <n v="5.5410122164048864E-2"/>
    <n v="7"/>
    <x v="0"/>
    <x v="0"/>
    <x v="251"/>
    <s v="Feb-19"/>
    <x v="9"/>
    <x v="2"/>
    <s v="Indore"/>
  </r>
  <r>
    <s v="B-25997"/>
    <n v="48"/>
    <n v="15"/>
    <n v="0.3125"/>
    <n v="1"/>
    <x v="1"/>
    <x v="2"/>
    <x v="251"/>
    <s v="Feb-19"/>
    <x v="9"/>
    <x v="2"/>
    <s v="Indore"/>
  </r>
  <r>
    <s v="B-25998"/>
    <n v="50"/>
    <n v="-28"/>
    <n v="-0.56000000000000005"/>
    <n v="5"/>
    <x v="0"/>
    <x v="15"/>
    <x v="251"/>
    <s v="Feb-19"/>
    <x v="322"/>
    <x v="3"/>
    <s v="Udaipur"/>
  </r>
  <r>
    <s v="B-25999"/>
    <n v="26"/>
    <n v="-17"/>
    <n v="-0.65384615384615385"/>
    <n v="1"/>
    <x v="1"/>
    <x v="1"/>
    <x v="252"/>
    <s v="Feb-19"/>
    <x v="323"/>
    <x v="18"/>
    <s v="Delhi"/>
  </r>
  <r>
    <s v="B-25999"/>
    <n v="93"/>
    <n v="-65"/>
    <n v="-0.69892473118279574"/>
    <n v="4"/>
    <x v="1"/>
    <x v="1"/>
    <x v="252"/>
    <s v="Feb-19"/>
    <x v="323"/>
    <x v="18"/>
    <s v="Delhi"/>
  </r>
  <r>
    <s v="B-25999"/>
    <n v="152"/>
    <n v="-3"/>
    <n v="-1.9736842105263157E-2"/>
    <n v="5"/>
    <x v="1"/>
    <x v="5"/>
    <x v="252"/>
    <s v="Feb-19"/>
    <x v="323"/>
    <x v="18"/>
    <s v="Delhi"/>
  </r>
  <r>
    <s v="B-25999"/>
    <n v="51"/>
    <n v="-49"/>
    <n v="-0.96078431372549022"/>
    <n v="2"/>
    <x v="2"/>
    <x v="3"/>
    <x v="252"/>
    <s v="Feb-19"/>
    <x v="323"/>
    <x v="18"/>
    <s v="Delhi"/>
  </r>
  <r>
    <s v="B-25999"/>
    <n v="352"/>
    <n v="74"/>
    <n v="0.21022727272727273"/>
    <n v="8"/>
    <x v="1"/>
    <x v="1"/>
    <x v="252"/>
    <s v="Feb-19"/>
    <x v="323"/>
    <x v="18"/>
    <s v="Delhi"/>
  </r>
  <r>
    <s v="B-25999"/>
    <n v="129"/>
    <n v="11"/>
    <n v="8.5271317829457363E-2"/>
    <n v="2"/>
    <x v="2"/>
    <x v="4"/>
    <x v="252"/>
    <s v="Feb-19"/>
    <x v="323"/>
    <x v="18"/>
    <s v="Delhi"/>
  </r>
  <r>
    <s v="B-25999"/>
    <n v="223"/>
    <n v="62"/>
    <n v="0.27802690582959644"/>
    <n v="7"/>
    <x v="1"/>
    <x v="10"/>
    <x v="252"/>
    <s v="Feb-19"/>
    <x v="323"/>
    <x v="18"/>
    <s v="Delhi"/>
  </r>
  <r>
    <s v="B-25999"/>
    <n v="770"/>
    <n v="323"/>
    <n v="0.41948051948051945"/>
    <n v="3"/>
    <x v="2"/>
    <x v="14"/>
    <x v="252"/>
    <s v="Feb-19"/>
    <x v="323"/>
    <x v="18"/>
    <s v="Delhi"/>
  </r>
  <r>
    <s v="B-25999"/>
    <n v="222"/>
    <n v="74"/>
    <n v="0.33333333333333331"/>
    <n v="5"/>
    <x v="1"/>
    <x v="2"/>
    <x v="252"/>
    <s v="Feb-19"/>
    <x v="323"/>
    <x v="18"/>
    <s v="Delhi"/>
  </r>
  <r>
    <s v="B-25999"/>
    <n v="215"/>
    <n v="-30"/>
    <n v="-0.13953488372093023"/>
    <n v="2"/>
    <x v="1"/>
    <x v="5"/>
    <x v="252"/>
    <s v="Feb-19"/>
    <x v="323"/>
    <x v="18"/>
    <s v="Delhi"/>
  </r>
  <r>
    <s v="B-25999"/>
    <n v="109"/>
    <n v="40"/>
    <n v="0.3669724770642202"/>
    <n v="1"/>
    <x v="0"/>
    <x v="15"/>
    <x v="252"/>
    <s v="Feb-19"/>
    <x v="323"/>
    <x v="18"/>
    <s v="Delhi"/>
  </r>
  <r>
    <s v="B-26000"/>
    <n v="43"/>
    <n v="9"/>
    <n v="0.20930232558139536"/>
    <n v="4"/>
    <x v="1"/>
    <x v="16"/>
    <x v="253"/>
    <s v="Feb-19"/>
    <x v="130"/>
    <x v="18"/>
    <s v="Delhi"/>
  </r>
  <r>
    <s v="B-26000"/>
    <n v="676"/>
    <n v="151"/>
    <n v="0.22337278106508876"/>
    <n v="3"/>
    <x v="2"/>
    <x v="13"/>
    <x v="253"/>
    <s v="Feb-19"/>
    <x v="130"/>
    <x v="18"/>
    <s v="Delhi"/>
  </r>
  <r>
    <s v="B-26000"/>
    <n v="597"/>
    <n v="93"/>
    <n v="0.15577889447236182"/>
    <n v="4"/>
    <x v="0"/>
    <x v="7"/>
    <x v="253"/>
    <s v="Feb-19"/>
    <x v="130"/>
    <x v="18"/>
    <s v="Delhi"/>
  </r>
  <r>
    <s v="B-26001"/>
    <n v="13"/>
    <n v="0"/>
    <n v="0"/>
    <n v="2"/>
    <x v="1"/>
    <x v="2"/>
    <x v="254"/>
    <s v="Feb-19"/>
    <x v="324"/>
    <x v="18"/>
    <s v="Delhi"/>
  </r>
  <r>
    <s v="B-26001"/>
    <n v="149"/>
    <n v="17"/>
    <n v="0.11409395973154363"/>
    <n v="4"/>
    <x v="0"/>
    <x v="15"/>
    <x v="254"/>
    <s v="Feb-19"/>
    <x v="324"/>
    <x v="18"/>
    <s v="Delhi"/>
  </r>
  <r>
    <s v="B-26001"/>
    <n v="8"/>
    <n v="2"/>
    <n v="0.25"/>
    <n v="2"/>
    <x v="1"/>
    <x v="16"/>
    <x v="254"/>
    <s v="Feb-19"/>
    <x v="324"/>
    <x v="18"/>
    <s v="Delhi"/>
  </r>
  <r>
    <s v="B-26001"/>
    <n v="50"/>
    <n v="9"/>
    <n v="0.18"/>
    <n v="6"/>
    <x v="1"/>
    <x v="16"/>
    <x v="254"/>
    <s v="Feb-19"/>
    <x v="324"/>
    <x v="18"/>
    <s v="Delhi"/>
  </r>
  <r>
    <s v="B-26002"/>
    <n v="80"/>
    <n v="22"/>
    <n v="0.27500000000000002"/>
    <n v="3"/>
    <x v="1"/>
    <x v="1"/>
    <x v="255"/>
    <s v="Feb-19"/>
    <x v="140"/>
    <x v="18"/>
    <s v="Delhi"/>
  </r>
  <r>
    <s v="B-26002"/>
    <n v="276"/>
    <n v="52"/>
    <n v="0.18840579710144928"/>
    <n v="5"/>
    <x v="1"/>
    <x v="5"/>
    <x v="255"/>
    <s v="Feb-19"/>
    <x v="140"/>
    <x v="18"/>
    <s v="Delhi"/>
  </r>
  <r>
    <s v="B-26002"/>
    <n v="71"/>
    <n v="19"/>
    <n v="0.26760563380281688"/>
    <n v="3"/>
    <x v="1"/>
    <x v="9"/>
    <x v="255"/>
    <s v="Feb-19"/>
    <x v="140"/>
    <x v="18"/>
    <s v="Delhi"/>
  </r>
  <r>
    <s v="B-26002"/>
    <n v="141"/>
    <n v="7"/>
    <n v="4.9645390070921988E-2"/>
    <n v="7"/>
    <x v="1"/>
    <x v="5"/>
    <x v="255"/>
    <s v="Feb-19"/>
    <x v="140"/>
    <x v="18"/>
    <s v="Delhi"/>
  </r>
  <r>
    <s v="B-26002"/>
    <n v="113"/>
    <n v="28"/>
    <n v="0.24778761061946902"/>
    <n v="2"/>
    <x v="1"/>
    <x v="5"/>
    <x v="255"/>
    <s v="Feb-19"/>
    <x v="140"/>
    <x v="18"/>
    <s v="Delhi"/>
  </r>
  <r>
    <s v="B-26003"/>
    <n v="315"/>
    <n v="-8"/>
    <n v="-2.5396825396825397E-2"/>
    <n v="3"/>
    <x v="0"/>
    <x v="7"/>
    <x v="255"/>
    <s v="Feb-19"/>
    <x v="325"/>
    <x v="2"/>
    <s v="Bhopal"/>
  </r>
  <r>
    <s v="B-26003"/>
    <n v="128"/>
    <n v="47"/>
    <n v="0.3671875"/>
    <n v="4"/>
    <x v="1"/>
    <x v="2"/>
    <x v="255"/>
    <s v="Feb-19"/>
    <x v="325"/>
    <x v="2"/>
    <s v="Bhopal"/>
  </r>
  <r>
    <s v="B-26003"/>
    <n v="652"/>
    <n v="13"/>
    <n v="1.9938650306748466E-2"/>
    <n v="6"/>
    <x v="0"/>
    <x v="15"/>
    <x v="255"/>
    <s v="Feb-19"/>
    <x v="325"/>
    <x v="2"/>
    <s v="Bhopal"/>
  </r>
  <r>
    <s v="B-26003"/>
    <n v="114"/>
    <n v="41"/>
    <n v="0.35964912280701755"/>
    <n v="6"/>
    <x v="0"/>
    <x v="15"/>
    <x v="255"/>
    <s v="Feb-19"/>
    <x v="325"/>
    <x v="2"/>
    <s v="Bhopal"/>
  </r>
  <r>
    <s v="B-26003"/>
    <n v="79"/>
    <n v="16"/>
    <n v="0.20253164556962025"/>
    <n v="3"/>
    <x v="1"/>
    <x v="9"/>
    <x v="255"/>
    <s v="Feb-19"/>
    <x v="325"/>
    <x v="2"/>
    <s v="Bhopal"/>
  </r>
  <r>
    <s v="B-26003"/>
    <n v="498"/>
    <n v="-116"/>
    <n v="-0.23293172690763053"/>
    <n v="4"/>
    <x v="1"/>
    <x v="5"/>
    <x v="255"/>
    <s v="Feb-19"/>
    <x v="325"/>
    <x v="2"/>
    <s v="Bhopal"/>
  </r>
  <r>
    <s v="B-26003"/>
    <n v="1745"/>
    <n v="122"/>
    <n v="6.9914040114613177E-2"/>
    <n v="2"/>
    <x v="0"/>
    <x v="12"/>
    <x v="255"/>
    <s v="Feb-19"/>
    <x v="325"/>
    <x v="2"/>
    <s v="Bhopal"/>
  </r>
  <r>
    <s v="B-26003"/>
    <n v="17"/>
    <n v="2"/>
    <n v="0.11764705882352941"/>
    <n v="2"/>
    <x v="1"/>
    <x v="16"/>
    <x v="255"/>
    <s v="Feb-19"/>
    <x v="325"/>
    <x v="2"/>
    <s v="Bhopal"/>
  </r>
  <r>
    <s v="B-26004"/>
    <n v="147"/>
    <n v="44"/>
    <n v="0.29931972789115646"/>
    <n v="3"/>
    <x v="1"/>
    <x v="5"/>
    <x v="255"/>
    <s v="Feb-19"/>
    <x v="326"/>
    <x v="3"/>
    <s v="Jaipur"/>
  </r>
  <r>
    <s v="B-26004"/>
    <n v="162"/>
    <n v="73"/>
    <n v="0.45061728395061729"/>
    <n v="2"/>
    <x v="2"/>
    <x v="3"/>
    <x v="255"/>
    <s v="Feb-19"/>
    <x v="326"/>
    <x v="3"/>
    <s v="Jaipur"/>
  </r>
  <r>
    <s v="B-26005"/>
    <n v="87"/>
    <n v="10"/>
    <n v="0.11494252873563218"/>
    <n v="3"/>
    <x v="1"/>
    <x v="1"/>
    <x v="255"/>
    <s v="Feb-19"/>
    <x v="327"/>
    <x v="4"/>
    <s v="Kolkata"/>
  </r>
  <r>
    <s v="B-26006"/>
    <n v="1301"/>
    <n v="573"/>
    <n v="0.4404304381245196"/>
    <n v="5"/>
    <x v="2"/>
    <x v="14"/>
    <x v="256"/>
    <s v="Feb-19"/>
    <x v="328"/>
    <x v="5"/>
    <s v="Bangalore"/>
  </r>
  <r>
    <s v="B-26007"/>
    <n v="311"/>
    <n v="72"/>
    <n v="0.23151125401929259"/>
    <n v="2"/>
    <x v="0"/>
    <x v="0"/>
    <x v="256"/>
    <s v="Feb-19"/>
    <x v="130"/>
    <x v="6"/>
    <s v="Kashmir"/>
  </r>
  <r>
    <s v="B-26008"/>
    <n v="22"/>
    <n v="4"/>
    <n v="0.18181818181818182"/>
    <n v="1"/>
    <x v="1"/>
    <x v="1"/>
    <x v="256"/>
    <s v="Feb-19"/>
    <x v="329"/>
    <x v="7"/>
    <s v="Chennai"/>
  </r>
  <r>
    <s v="B-26008"/>
    <n v="206"/>
    <n v="51"/>
    <n v="0.24757281553398058"/>
    <n v="4"/>
    <x v="1"/>
    <x v="2"/>
    <x v="256"/>
    <s v="Feb-19"/>
    <x v="329"/>
    <x v="7"/>
    <s v="Chennai"/>
  </r>
  <r>
    <s v="B-26008"/>
    <n v="57"/>
    <n v="24"/>
    <n v="0.42105263157894735"/>
    <n v="5"/>
    <x v="1"/>
    <x v="11"/>
    <x v="256"/>
    <s v="Feb-19"/>
    <x v="329"/>
    <x v="7"/>
    <s v="Chennai"/>
  </r>
  <r>
    <s v="B-26008"/>
    <n v="10"/>
    <n v="-1"/>
    <n v="-0.1"/>
    <n v="1"/>
    <x v="1"/>
    <x v="5"/>
    <x v="256"/>
    <s v="Feb-19"/>
    <x v="329"/>
    <x v="7"/>
    <s v="Chennai"/>
  </r>
  <r>
    <s v="B-26009"/>
    <n v="285"/>
    <n v="128"/>
    <n v="0.44912280701754387"/>
    <n v="2"/>
    <x v="2"/>
    <x v="13"/>
    <x v="257"/>
    <s v="Feb-19"/>
    <x v="232"/>
    <x v="8"/>
    <s v="Lucknow"/>
  </r>
  <r>
    <s v="B-26009"/>
    <n v="195"/>
    <n v="12"/>
    <n v="6.1538461538461542E-2"/>
    <n v="9"/>
    <x v="1"/>
    <x v="10"/>
    <x v="257"/>
    <s v="Feb-19"/>
    <x v="232"/>
    <x v="8"/>
    <s v="Lucknow"/>
  </r>
  <r>
    <s v="B-26010"/>
    <n v="527"/>
    <n v="26"/>
    <n v="4.9335863377609111E-2"/>
    <n v="3"/>
    <x v="2"/>
    <x v="3"/>
    <x v="258"/>
    <s v="Feb-19"/>
    <x v="330"/>
    <x v="9"/>
    <s v="Patna"/>
  </r>
  <r>
    <s v="B-26010"/>
    <n v="29"/>
    <n v="3"/>
    <n v="0.10344827586206896"/>
    <n v="2"/>
    <x v="1"/>
    <x v="1"/>
    <x v="258"/>
    <s v="Feb-19"/>
    <x v="330"/>
    <x v="9"/>
    <s v="Patna"/>
  </r>
  <r>
    <s v="B-26010"/>
    <n v="85"/>
    <n v="13"/>
    <n v="0.15294117647058825"/>
    <n v="2"/>
    <x v="1"/>
    <x v="10"/>
    <x v="258"/>
    <s v="Feb-19"/>
    <x v="330"/>
    <x v="9"/>
    <s v="Patna"/>
  </r>
  <r>
    <s v="B-26010"/>
    <n v="18"/>
    <n v="2"/>
    <n v="0.1111111111111111"/>
    <n v="3"/>
    <x v="1"/>
    <x v="2"/>
    <x v="258"/>
    <s v="Feb-19"/>
    <x v="330"/>
    <x v="9"/>
    <s v="Patna"/>
  </r>
  <r>
    <s v="B-26010"/>
    <n v="176"/>
    <n v="-13"/>
    <n v="-7.3863636363636367E-2"/>
    <n v="5"/>
    <x v="0"/>
    <x v="15"/>
    <x v="258"/>
    <s v="Feb-19"/>
    <x v="330"/>
    <x v="9"/>
    <s v="Patna"/>
  </r>
  <r>
    <s v="B-26010"/>
    <n v="55"/>
    <n v="3"/>
    <n v="5.4545454545454543E-2"/>
    <n v="3"/>
    <x v="1"/>
    <x v="9"/>
    <x v="258"/>
    <s v="Feb-19"/>
    <x v="330"/>
    <x v="9"/>
    <s v="Patna"/>
  </r>
  <r>
    <s v="B-26011"/>
    <n v="93"/>
    <n v="44"/>
    <n v="0.4731182795698925"/>
    <n v="2"/>
    <x v="1"/>
    <x v="1"/>
    <x v="259"/>
    <s v="Feb-19"/>
    <x v="0"/>
    <x v="0"/>
    <s v="Ahmedabad"/>
  </r>
  <r>
    <s v="B-26012"/>
    <n v="21"/>
    <n v="8"/>
    <n v="0.38095238095238093"/>
    <n v="2"/>
    <x v="1"/>
    <x v="5"/>
    <x v="260"/>
    <s v="Feb-19"/>
    <x v="1"/>
    <x v="1"/>
    <s v="Pune"/>
  </r>
  <r>
    <s v="B-26013"/>
    <n v="29"/>
    <n v="10"/>
    <n v="0.34482758620689657"/>
    <n v="3"/>
    <x v="1"/>
    <x v="16"/>
    <x v="260"/>
    <s v="Feb-19"/>
    <x v="2"/>
    <x v="2"/>
    <s v="Bhopal"/>
  </r>
  <r>
    <s v="B-26014"/>
    <n v="406"/>
    <n v="97"/>
    <n v="0.23891625615763548"/>
    <n v="7"/>
    <x v="0"/>
    <x v="7"/>
    <x v="260"/>
    <s v="Feb-19"/>
    <x v="3"/>
    <x v="3"/>
    <s v="Jaipur"/>
  </r>
  <r>
    <s v="B-26014"/>
    <n v="278"/>
    <n v="39"/>
    <n v="0.14028776978417265"/>
    <n v="5"/>
    <x v="0"/>
    <x v="7"/>
    <x v="260"/>
    <s v="Feb-19"/>
    <x v="3"/>
    <x v="3"/>
    <s v="Jaipur"/>
  </r>
  <r>
    <s v="B-26015"/>
    <n v="128"/>
    <n v="55"/>
    <n v="0.4296875"/>
    <n v="1"/>
    <x v="1"/>
    <x v="5"/>
    <x v="261"/>
    <s v="Feb-19"/>
    <x v="4"/>
    <x v="4"/>
    <s v="Kolkata"/>
  </r>
  <r>
    <s v="B-26016"/>
    <n v="74"/>
    <n v="9"/>
    <n v="0.12162162162162163"/>
    <n v="3"/>
    <x v="1"/>
    <x v="10"/>
    <x v="261"/>
    <s v="Feb-19"/>
    <x v="5"/>
    <x v="5"/>
    <s v="Bangalore"/>
  </r>
  <r>
    <s v="B-26016"/>
    <n v="202"/>
    <n v="4"/>
    <n v="1.9801980198019802E-2"/>
    <n v="4"/>
    <x v="1"/>
    <x v="2"/>
    <x v="261"/>
    <s v="Feb-19"/>
    <x v="5"/>
    <x v="5"/>
    <s v="Bangalore"/>
  </r>
  <r>
    <s v="B-26016"/>
    <n v="429"/>
    <n v="61"/>
    <n v="0.14219114219114218"/>
    <n v="3"/>
    <x v="2"/>
    <x v="3"/>
    <x v="261"/>
    <s v="Feb-19"/>
    <x v="5"/>
    <x v="5"/>
    <s v="Bangalore"/>
  </r>
  <r>
    <s v="B-26016"/>
    <n v="134"/>
    <n v="-13"/>
    <n v="-9.7014925373134331E-2"/>
    <n v="3"/>
    <x v="2"/>
    <x v="3"/>
    <x v="261"/>
    <s v="Feb-19"/>
    <x v="5"/>
    <x v="5"/>
    <s v="Bangalore"/>
  </r>
  <r>
    <s v="B-26017"/>
    <n v="78"/>
    <n v="7"/>
    <n v="8.9743589743589744E-2"/>
    <n v="1"/>
    <x v="0"/>
    <x v="7"/>
    <x v="261"/>
    <s v="Feb-19"/>
    <x v="6"/>
    <x v="6"/>
    <s v="Kashmir"/>
  </r>
  <r>
    <s v="B-26018"/>
    <n v="326"/>
    <n v="107"/>
    <n v="0.32822085889570551"/>
    <n v="3"/>
    <x v="0"/>
    <x v="15"/>
    <x v="261"/>
    <s v="Feb-19"/>
    <x v="7"/>
    <x v="7"/>
    <s v="Chennai"/>
  </r>
  <r>
    <s v="B-26018"/>
    <n v="61"/>
    <n v="8"/>
    <n v="0.13114754098360656"/>
    <n v="4"/>
    <x v="1"/>
    <x v="2"/>
    <x v="261"/>
    <s v="Feb-19"/>
    <x v="7"/>
    <x v="7"/>
    <s v="Chennai"/>
  </r>
  <r>
    <s v="B-26019"/>
    <n v="585"/>
    <n v="175"/>
    <n v="0.29914529914529914"/>
    <n v="13"/>
    <x v="1"/>
    <x v="9"/>
    <x v="262"/>
    <s v="Feb-19"/>
    <x v="8"/>
    <x v="8"/>
    <s v="Lucknow"/>
  </r>
  <r>
    <s v="B-26020"/>
    <n v="319"/>
    <n v="102"/>
    <n v="0.31974921630094044"/>
    <n v="6"/>
    <x v="2"/>
    <x v="14"/>
    <x v="263"/>
    <s v="Feb-19"/>
    <x v="9"/>
    <x v="9"/>
    <s v="Patna"/>
  </r>
  <r>
    <s v="B-26021"/>
    <n v="122"/>
    <n v="59"/>
    <n v="0.48360655737704916"/>
    <n v="7"/>
    <x v="0"/>
    <x v="15"/>
    <x v="264"/>
    <s v="Feb-19"/>
    <x v="10"/>
    <x v="10"/>
    <s v="Thiruvananthapuram"/>
  </r>
  <r>
    <s v="B-26021"/>
    <n v="49"/>
    <n v="21"/>
    <n v="0.42857142857142855"/>
    <n v="1"/>
    <x v="1"/>
    <x v="1"/>
    <x v="264"/>
    <s v="Feb-19"/>
    <x v="10"/>
    <x v="10"/>
    <s v="Thiruvananthapuram"/>
  </r>
  <r>
    <s v="B-26021"/>
    <n v="21"/>
    <n v="-12"/>
    <n v="-0.5714285714285714"/>
    <n v="3"/>
    <x v="1"/>
    <x v="2"/>
    <x v="264"/>
    <s v="Feb-19"/>
    <x v="10"/>
    <x v="10"/>
    <s v="Thiruvananthapuram"/>
  </r>
  <r>
    <s v="B-26022"/>
    <n v="1824"/>
    <n v="-1303"/>
    <n v="-0.71436403508771928"/>
    <n v="8"/>
    <x v="2"/>
    <x v="4"/>
    <x v="265"/>
    <s v="Feb-19"/>
    <x v="11"/>
    <x v="11"/>
    <s v="Chandigarh"/>
  </r>
  <r>
    <s v="B-26023"/>
    <n v="1117"/>
    <n v="447"/>
    <n v="0.40017905102954343"/>
    <n v="10"/>
    <x v="0"/>
    <x v="0"/>
    <x v="266"/>
    <s v="Feb-19"/>
    <x v="12"/>
    <x v="12"/>
    <s v="Chandigarh"/>
  </r>
  <r>
    <s v="B-26023"/>
    <n v="29"/>
    <n v="0"/>
    <n v="0"/>
    <n v="3"/>
    <x v="0"/>
    <x v="15"/>
    <x v="266"/>
    <s v="Feb-19"/>
    <x v="12"/>
    <x v="12"/>
    <s v="Chandigarh"/>
  </r>
  <r>
    <s v="B-26023"/>
    <n v="66"/>
    <n v="22"/>
    <n v="0.33333333333333331"/>
    <n v="3"/>
    <x v="1"/>
    <x v="1"/>
    <x v="266"/>
    <s v="Feb-19"/>
    <x v="12"/>
    <x v="12"/>
    <s v="Chandigarh"/>
  </r>
  <r>
    <s v="B-26023"/>
    <n v="59"/>
    <n v="21"/>
    <n v="0.3559322033898305"/>
    <n v="2"/>
    <x v="1"/>
    <x v="1"/>
    <x v="266"/>
    <s v="Feb-19"/>
    <x v="12"/>
    <x v="12"/>
    <s v="Chandigarh"/>
  </r>
  <r>
    <s v="B-26024"/>
    <n v="168"/>
    <n v="18"/>
    <n v="0.10714285714285714"/>
    <n v="6"/>
    <x v="1"/>
    <x v="1"/>
    <x v="266"/>
    <s v="Feb-19"/>
    <x v="13"/>
    <x v="13"/>
    <s v="Simla"/>
  </r>
  <r>
    <s v="B-26025"/>
    <n v="155"/>
    <n v="5"/>
    <n v="3.2258064516129031E-2"/>
    <n v="3"/>
    <x v="1"/>
    <x v="1"/>
    <x v="266"/>
    <s v="Feb-19"/>
    <x v="14"/>
    <x v="14"/>
    <s v="Gangtok"/>
  </r>
  <r>
    <s v="B-26025"/>
    <n v="32"/>
    <n v="1"/>
    <n v="3.125E-2"/>
    <n v="2"/>
    <x v="1"/>
    <x v="1"/>
    <x v="266"/>
    <s v="Feb-19"/>
    <x v="14"/>
    <x v="14"/>
    <s v="Gangtok"/>
  </r>
  <r>
    <s v="B-26025"/>
    <n v="41"/>
    <n v="19"/>
    <n v="0.46341463414634149"/>
    <n v="5"/>
    <x v="1"/>
    <x v="2"/>
    <x v="266"/>
    <s v="Feb-19"/>
    <x v="14"/>
    <x v="14"/>
    <s v="Gangtok"/>
  </r>
  <r>
    <s v="B-26026"/>
    <n v="255"/>
    <n v="76"/>
    <n v="0.29803921568627451"/>
    <n v="9"/>
    <x v="1"/>
    <x v="2"/>
    <x v="266"/>
    <s v="Feb-19"/>
    <x v="15"/>
    <x v="15"/>
    <s v="Goa"/>
  </r>
  <r>
    <s v="B-26026"/>
    <n v="25"/>
    <n v="2"/>
    <n v="0.08"/>
    <n v="3"/>
    <x v="1"/>
    <x v="8"/>
    <x v="266"/>
    <s v="Feb-19"/>
    <x v="15"/>
    <x v="15"/>
    <s v="Goa"/>
  </r>
  <r>
    <s v="B-26027"/>
    <n v="54"/>
    <n v="8"/>
    <n v="0.14814814814814814"/>
    <n v="4"/>
    <x v="1"/>
    <x v="9"/>
    <x v="267"/>
    <s v="Feb-19"/>
    <x v="16"/>
    <x v="16"/>
    <s v="Kohima"/>
  </r>
  <r>
    <s v="B-26028"/>
    <n v="77"/>
    <n v="36"/>
    <n v="0.46753246753246752"/>
    <n v="2"/>
    <x v="1"/>
    <x v="10"/>
    <x v="267"/>
    <s v="Feb-19"/>
    <x v="17"/>
    <x v="17"/>
    <s v="Hyderabad"/>
  </r>
  <r>
    <s v="B-26028"/>
    <n v="115"/>
    <n v="0"/>
    <n v="0"/>
    <n v="1"/>
    <x v="2"/>
    <x v="14"/>
    <x v="267"/>
    <s v="Feb-19"/>
    <x v="17"/>
    <x v="17"/>
    <s v="Hyderabad"/>
  </r>
  <r>
    <s v="B-26028"/>
    <n v="1272"/>
    <n v="547"/>
    <n v="0.43003144654088049"/>
    <n v="2"/>
    <x v="2"/>
    <x v="4"/>
    <x v="267"/>
    <s v="Feb-19"/>
    <x v="17"/>
    <x v="17"/>
    <s v="Hyderabad"/>
  </r>
  <r>
    <s v="B-26029"/>
    <n v="21"/>
    <n v="10"/>
    <n v="0.47619047619047616"/>
    <n v="1"/>
    <x v="1"/>
    <x v="9"/>
    <x v="267"/>
    <s v="Feb-19"/>
    <x v="18"/>
    <x v="0"/>
    <s v="Ahmedabad"/>
  </r>
  <r>
    <s v="B-26030"/>
    <n v="92"/>
    <n v="5"/>
    <n v="5.434782608695652E-2"/>
    <n v="6"/>
    <x v="1"/>
    <x v="2"/>
    <x v="268"/>
    <s v="Feb-19"/>
    <x v="19"/>
    <x v="1"/>
    <s v="Pune"/>
  </r>
  <r>
    <s v="B-26030"/>
    <n v="11"/>
    <n v="5"/>
    <n v="0.45454545454545453"/>
    <n v="1"/>
    <x v="1"/>
    <x v="16"/>
    <x v="268"/>
    <s v="Feb-19"/>
    <x v="19"/>
    <x v="1"/>
    <s v="Pune"/>
  </r>
  <r>
    <s v="B-26030"/>
    <n v="221"/>
    <n v="35"/>
    <n v="0.15837104072398189"/>
    <n v="4"/>
    <x v="2"/>
    <x v="14"/>
    <x v="268"/>
    <s v="Feb-19"/>
    <x v="19"/>
    <x v="1"/>
    <s v="Pune"/>
  </r>
  <r>
    <s v="B-26030"/>
    <n v="50"/>
    <n v="25"/>
    <n v="0.5"/>
    <n v="5"/>
    <x v="1"/>
    <x v="1"/>
    <x v="268"/>
    <s v="Feb-19"/>
    <x v="19"/>
    <x v="1"/>
    <s v="Pune"/>
  </r>
  <r>
    <s v="B-26030"/>
    <n v="89"/>
    <n v="36"/>
    <n v="0.4044943820224719"/>
    <n v="3"/>
    <x v="1"/>
    <x v="10"/>
    <x v="268"/>
    <s v="Feb-19"/>
    <x v="19"/>
    <x v="1"/>
    <s v="Pune"/>
  </r>
  <r>
    <s v="B-26030"/>
    <n v="291"/>
    <n v="93"/>
    <n v="0.31958762886597936"/>
    <n v="2"/>
    <x v="2"/>
    <x v="13"/>
    <x v="268"/>
    <s v="Feb-19"/>
    <x v="19"/>
    <x v="1"/>
    <s v="Pune"/>
  </r>
  <r>
    <s v="B-26031"/>
    <n v="67"/>
    <n v="9"/>
    <n v="0.13432835820895522"/>
    <n v="4"/>
    <x v="1"/>
    <x v="11"/>
    <x v="269"/>
    <s v="Feb-19"/>
    <x v="20"/>
    <x v="2"/>
    <s v="Bhopal"/>
  </r>
  <r>
    <s v="B-26032"/>
    <n v="47"/>
    <n v="15"/>
    <n v="0.31914893617021278"/>
    <n v="5"/>
    <x v="1"/>
    <x v="5"/>
    <x v="269"/>
    <s v="Feb-19"/>
    <x v="21"/>
    <x v="3"/>
    <s v="Jaipur"/>
  </r>
  <r>
    <s v="B-26033"/>
    <n v="774"/>
    <n v="170"/>
    <n v="0.21963824289405684"/>
    <n v="3"/>
    <x v="2"/>
    <x v="14"/>
    <x v="269"/>
    <s v="Feb-19"/>
    <x v="22"/>
    <x v="4"/>
    <s v="Kolkata"/>
  </r>
  <r>
    <s v="B-26033"/>
    <n v="143"/>
    <n v="32"/>
    <n v="0.22377622377622378"/>
    <n v="1"/>
    <x v="0"/>
    <x v="0"/>
    <x v="269"/>
    <s v="Feb-19"/>
    <x v="22"/>
    <x v="4"/>
    <s v="Kolkata"/>
  </r>
  <r>
    <s v="B-26033"/>
    <n v="111"/>
    <n v="35"/>
    <n v="0.31531531531531531"/>
    <n v="5"/>
    <x v="1"/>
    <x v="10"/>
    <x v="269"/>
    <s v="Feb-19"/>
    <x v="22"/>
    <x v="4"/>
    <s v="Kolkata"/>
  </r>
  <r>
    <s v="B-26034"/>
    <n v="425"/>
    <n v="183"/>
    <n v="0.43058823529411766"/>
    <n v="5"/>
    <x v="2"/>
    <x v="14"/>
    <x v="270"/>
    <s v="Feb-19"/>
    <x v="23"/>
    <x v="5"/>
    <s v="Bangalore"/>
  </r>
  <r>
    <s v="B-26035"/>
    <n v="291"/>
    <n v="119"/>
    <n v="0.40893470790378006"/>
    <n v="11"/>
    <x v="1"/>
    <x v="5"/>
    <x v="270"/>
    <s v="Feb-19"/>
    <x v="24"/>
    <x v="6"/>
    <s v="Kashmir"/>
  </r>
  <r>
    <s v="B-26035"/>
    <n v="520"/>
    <n v="151"/>
    <n v="0.29038461538461541"/>
    <n v="3"/>
    <x v="2"/>
    <x v="4"/>
    <x v="270"/>
    <s v="Feb-19"/>
    <x v="24"/>
    <x v="6"/>
    <s v="Kashmir"/>
  </r>
  <r>
    <s v="B-26035"/>
    <n v="369"/>
    <n v="15"/>
    <n v="4.065040650406504E-2"/>
    <n v="3"/>
    <x v="2"/>
    <x v="3"/>
    <x v="270"/>
    <s v="Feb-19"/>
    <x v="24"/>
    <x v="6"/>
    <s v="Kashmir"/>
  </r>
  <r>
    <s v="B-26036"/>
    <n v="341"/>
    <n v="44"/>
    <n v="0.12903225806451613"/>
    <n v="7"/>
    <x v="0"/>
    <x v="15"/>
    <x v="270"/>
    <s v="Feb-19"/>
    <x v="25"/>
    <x v="1"/>
    <s v="Mumbai"/>
  </r>
  <r>
    <s v="B-26037"/>
    <n v="171"/>
    <n v="68"/>
    <n v="0.39766081871345027"/>
    <n v="7"/>
    <x v="1"/>
    <x v="1"/>
    <x v="270"/>
    <s v="Feb-19"/>
    <x v="26"/>
    <x v="2"/>
    <s v="Indore"/>
  </r>
  <r>
    <s v="B-26038"/>
    <n v="41"/>
    <n v="19"/>
    <n v="0.46341463414634149"/>
    <n v="2"/>
    <x v="1"/>
    <x v="9"/>
    <x v="271"/>
    <s v="Feb-19"/>
    <x v="27"/>
    <x v="9"/>
    <s v="Patna"/>
  </r>
  <r>
    <s v="B-26038"/>
    <n v="130"/>
    <n v="61"/>
    <n v="0.46923076923076923"/>
    <n v="3"/>
    <x v="1"/>
    <x v="10"/>
    <x v="271"/>
    <s v="Feb-19"/>
    <x v="27"/>
    <x v="9"/>
    <s v="Patna"/>
  </r>
  <r>
    <s v="B-26038"/>
    <n v="52"/>
    <n v="14"/>
    <n v="0.26923076923076922"/>
    <n v="2"/>
    <x v="1"/>
    <x v="1"/>
    <x v="271"/>
    <s v="Feb-19"/>
    <x v="27"/>
    <x v="9"/>
    <s v="Patna"/>
  </r>
  <r>
    <s v="B-26038"/>
    <n v="30"/>
    <n v="6"/>
    <n v="0.2"/>
    <n v="1"/>
    <x v="1"/>
    <x v="9"/>
    <x v="271"/>
    <s v="Feb-19"/>
    <x v="27"/>
    <x v="9"/>
    <s v="Patna"/>
  </r>
  <r>
    <s v="B-26039"/>
    <n v="83"/>
    <n v="34"/>
    <n v="0.40963855421686746"/>
    <n v="5"/>
    <x v="1"/>
    <x v="10"/>
    <x v="272"/>
    <s v="Feb-19"/>
    <x v="28"/>
    <x v="10"/>
    <s v="Thiruvananthapuram"/>
  </r>
  <r>
    <s v="B-26040"/>
    <n v="38"/>
    <n v="9"/>
    <n v="0.23684210526315788"/>
    <n v="2"/>
    <x v="1"/>
    <x v="1"/>
    <x v="273"/>
    <s v="Feb-19"/>
    <x v="29"/>
    <x v="11"/>
    <s v="Chandigarh"/>
  </r>
  <r>
    <s v="B-26040"/>
    <n v="113"/>
    <n v="24"/>
    <n v="0.21238938053097345"/>
    <n v="4"/>
    <x v="1"/>
    <x v="2"/>
    <x v="273"/>
    <s v="Feb-19"/>
    <x v="29"/>
    <x v="11"/>
    <s v="Chandigarh"/>
  </r>
  <r>
    <s v="B-26040"/>
    <n v="833"/>
    <n v="93"/>
    <n v="0.11164465786314526"/>
    <n v="3"/>
    <x v="1"/>
    <x v="6"/>
    <x v="273"/>
    <s v="Feb-19"/>
    <x v="29"/>
    <x v="11"/>
    <s v="Chandigarh"/>
  </r>
  <r>
    <s v="B-26041"/>
    <n v="176"/>
    <n v="-28"/>
    <n v="-0.15909090909090909"/>
    <n v="5"/>
    <x v="0"/>
    <x v="15"/>
    <x v="274"/>
    <s v="Feb-19"/>
    <x v="30"/>
    <x v="12"/>
    <s v="Chandigarh"/>
  </r>
  <r>
    <s v="B-26042"/>
    <n v="36"/>
    <n v="15"/>
    <n v="0.41666666666666669"/>
    <n v="3"/>
    <x v="1"/>
    <x v="1"/>
    <x v="275"/>
    <s v="Feb-19"/>
    <x v="31"/>
    <x v="13"/>
    <s v="Simla"/>
  </r>
  <r>
    <s v="B-26043"/>
    <n v="185"/>
    <n v="48"/>
    <n v="0.25945945945945947"/>
    <n v="4"/>
    <x v="1"/>
    <x v="1"/>
    <x v="276"/>
    <s v="Mar-19"/>
    <x v="32"/>
    <x v="14"/>
    <s v="Gangtok"/>
  </r>
  <r>
    <s v="B-26043"/>
    <n v="62"/>
    <n v="28"/>
    <n v="0.45161290322580644"/>
    <n v="5"/>
    <x v="1"/>
    <x v="2"/>
    <x v="276"/>
    <s v="Mar-19"/>
    <x v="32"/>
    <x v="14"/>
    <s v="Gangtok"/>
  </r>
  <r>
    <s v="B-26043"/>
    <n v="79"/>
    <n v="5"/>
    <n v="6.3291139240506333E-2"/>
    <n v="6"/>
    <x v="1"/>
    <x v="2"/>
    <x v="276"/>
    <s v="Mar-19"/>
    <x v="32"/>
    <x v="14"/>
    <s v="Gangtok"/>
  </r>
  <r>
    <s v="B-26043"/>
    <n v="30"/>
    <n v="12"/>
    <n v="0.4"/>
    <n v="3"/>
    <x v="1"/>
    <x v="16"/>
    <x v="276"/>
    <s v="Mar-19"/>
    <x v="32"/>
    <x v="14"/>
    <s v="Gangtok"/>
  </r>
  <r>
    <s v="B-26043"/>
    <n v="122"/>
    <n v="50"/>
    <n v="0.4098360655737705"/>
    <n v="7"/>
    <x v="1"/>
    <x v="1"/>
    <x v="276"/>
    <s v="Mar-19"/>
    <x v="32"/>
    <x v="14"/>
    <s v="Gangtok"/>
  </r>
  <r>
    <s v="B-26044"/>
    <n v="28"/>
    <n v="10"/>
    <n v="0.35714285714285715"/>
    <n v="3"/>
    <x v="1"/>
    <x v="16"/>
    <x v="277"/>
    <s v="Mar-19"/>
    <x v="33"/>
    <x v="15"/>
    <s v="Goa"/>
  </r>
  <r>
    <s v="B-26045"/>
    <n v="302"/>
    <n v="75"/>
    <n v="0.24834437086092714"/>
    <n v="6"/>
    <x v="0"/>
    <x v="15"/>
    <x v="278"/>
    <s v="Mar-19"/>
    <x v="34"/>
    <x v="16"/>
    <s v="Kohima"/>
  </r>
  <r>
    <s v="B-26045"/>
    <n v="376"/>
    <n v="0"/>
    <n v="0"/>
    <n v="7"/>
    <x v="1"/>
    <x v="1"/>
    <x v="278"/>
    <s v="Mar-19"/>
    <x v="34"/>
    <x v="16"/>
    <s v="Kohima"/>
  </r>
  <r>
    <s v="B-26045"/>
    <n v="179"/>
    <n v="77"/>
    <n v="0.43016759776536312"/>
    <n v="1"/>
    <x v="1"/>
    <x v="5"/>
    <x v="278"/>
    <s v="Mar-19"/>
    <x v="34"/>
    <x v="16"/>
    <s v="Kohima"/>
  </r>
  <r>
    <s v="B-26045"/>
    <n v="27"/>
    <n v="5"/>
    <n v="0.18518518518518517"/>
    <n v="1"/>
    <x v="1"/>
    <x v="1"/>
    <x v="278"/>
    <s v="Mar-19"/>
    <x v="34"/>
    <x v="16"/>
    <s v="Kohima"/>
  </r>
  <r>
    <s v="B-26046"/>
    <n v="32"/>
    <n v="3"/>
    <n v="9.375E-2"/>
    <n v="8"/>
    <x v="1"/>
    <x v="2"/>
    <x v="279"/>
    <s v="Mar-19"/>
    <x v="35"/>
    <x v="1"/>
    <s v="Mumbai"/>
  </r>
  <r>
    <s v="B-26047"/>
    <n v="55"/>
    <n v="12"/>
    <n v="0.21818181818181817"/>
    <n v="5"/>
    <x v="1"/>
    <x v="16"/>
    <x v="279"/>
    <s v="Mar-19"/>
    <x v="36"/>
    <x v="2"/>
    <s v="Indore"/>
  </r>
  <r>
    <s v="B-26048"/>
    <n v="163"/>
    <n v="81"/>
    <n v="0.49693251533742333"/>
    <n v="2"/>
    <x v="2"/>
    <x v="14"/>
    <x v="279"/>
    <s v="Mar-19"/>
    <x v="37"/>
    <x v="1"/>
    <s v="Pune"/>
  </r>
  <r>
    <s v="B-26048"/>
    <n v="401"/>
    <n v="13"/>
    <n v="3.2418952618453865E-2"/>
    <n v="6"/>
    <x v="0"/>
    <x v="7"/>
    <x v="279"/>
    <s v="Mar-19"/>
    <x v="37"/>
    <x v="1"/>
    <s v="Pune"/>
  </r>
  <r>
    <s v="B-26048"/>
    <n v="1461"/>
    <n v="202"/>
    <n v="0.13826146475017112"/>
    <n v="5"/>
    <x v="0"/>
    <x v="12"/>
    <x v="279"/>
    <s v="Mar-19"/>
    <x v="37"/>
    <x v="1"/>
    <s v="Pune"/>
  </r>
  <r>
    <s v="B-26048"/>
    <n v="1104"/>
    <n v="209"/>
    <n v="0.18931159420289856"/>
    <n v="4"/>
    <x v="1"/>
    <x v="6"/>
    <x v="279"/>
    <s v="Mar-19"/>
    <x v="37"/>
    <x v="1"/>
    <s v="Pune"/>
  </r>
  <r>
    <s v="B-26049"/>
    <n v="100"/>
    <n v="28"/>
    <n v="0.28000000000000003"/>
    <n v="2"/>
    <x v="1"/>
    <x v="2"/>
    <x v="280"/>
    <s v="Mar-19"/>
    <x v="38"/>
    <x v="2"/>
    <s v="Bhopal"/>
  </r>
  <r>
    <s v="B-26050"/>
    <n v="325"/>
    <n v="32"/>
    <n v="9.8461538461538461E-2"/>
    <n v="7"/>
    <x v="1"/>
    <x v="9"/>
    <x v="281"/>
    <s v="Mar-19"/>
    <x v="39"/>
    <x v="3"/>
    <s v="Jaipur"/>
  </r>
  <r>
    <s v="B-26050"/>
    <n v="169"/>
    <n v="55"/>
    <n v="0.32544378698224852"/>
    <n v="4"/>
    <x v="1"/>
    <x v="5"/>
    <x v="281"/>
    <s v="Mar-19"/>
    <x v="39"/>
    <x v="3"/>
    <s v="Jaipur"/>
  </r>
  <r>
    <s v="B-26050"/>
    <n v="487"/>
    <n v="143"/>
    <n v="0.29363449691991789"/>
    <n v="4"/>
    <x v="2"/>
    <x v="4"/>
    <x v="281"/>
    <s v="Mar-19"/>
    <x v="39"/>
    <x v="3"/>
    <s v="Jaipur"/>
  </r>
  <r>
    <s v="B-26050"/>
    <n v="166"/>
    <n v="27"/>
    <n v="0.16265060240963855"/>
    <n v="2"/>
    <x v="2"/>
    <x v="14"/>
    <x v="281"/>
    <s v="Mar-19"/>
    <x v="39"/>
    <x v="3"/>
    <s v="Jaipur"/>
  </r>
  <r>
    <s v="B-26050"/>
    <n v="79"/>
    <n v="32"/>
    <n v="0.4050632911392405"/>
    <n v="3"/>
    <x v="1"/>
    <x v="5"/>
    <x v="281"/>
    <s v="Mar-19"/>
    <x v="39"/>
    <x v="3"/>
    <s v="Jaipur"/>
  </r>
  <r>
    <s v="B-26050"/>
    <n v="32"/>
    <n v="6"/>
    <n v="0.1875"/>
    <n v="3"/>
    <x v="1"/>
    <x v="10"/>
    <x v="281"/>
    <s v="Mar-19"/>
    <x v="39"/>
    <x v="3"/>
    <s v="Jaipur"/>
  </r>
  <r>
    <s v="B-26050"/>
    <n v="38"/>
    <n v="9"/>
    <n v="0.23684210526315788"/>
    <n v="2"/>
    <x v="1"/>
    <x v="1"/>
    <x v="281"/>
    <s v="Mar-19"/>
    <x v="39"/>
    <x v="3"/>
    <s v="Jaipur"/>
  </r>
  <r>
    <s v="B-26050"/>
    <n v="284"/>
    <n v="44"/>
    <n v="0.15492957746478872"/>
    <n v="6"/>
    <x v="1"/>
    <x v="2"/>
    <x v="281"/>
    <s v="Mar-19"/>
    <x v="39"/>
    <x v="3"/>
    <s v="Jaipur"/>
  </r>
  <r>
    <s v="B-26050"/>
    <n v="382"/>
    <n v="92"/>
    <n v="0.24083769633507854"/>
    <n v="2"/>
    <x v="2"/>
    <x v="13"/>
    <x v="281"/>
    <s v="Mar-19"/>
    <x v="39"/>
    <x v="3"/>
    <s v="Jaipur"/>
  </r>
  <r>
    <s v="B-26051"/>
    <n v="184"/>
    <n v="85"/>
    <n v="0.46195652173913043"/>
    <n v="6"/>
    <x v="1"/>
    <x v="9"/>
    <x v="282"/>
    <s v="Mar-19"/>
    <x v="40"/>
    <x v="4"/>
    <s v="Kolkata"/>
  </r>
  <r>
    <s v="B-26051"/>
    <n v="676"/>
    <n v="195"/>
    <n v="0.28846153846153844"/>
    <n v="5"/>
    <x v="0"/>
    <x v="0"/>
    <x v="282"/>
    <s v="Mar-19"/>
    <x v="40"/>
    <x v="4"/>
    <s v="Kolkata"/>
  </r>
  <r>
    <s v="B-26051"/>
    <n v="669"/>
    <n v="74"/>
    <n v="0.11061285500747384"/>
    <n v="5"/>
    <x v="0"/>
    <x v="0"/>
    <x v="282"/>
    <s v="Mar-19"/>
    <x v="40"/>
    <x v="4"/>
    <s v="Kolkata"/>
  </r>
  <r>
    <s v="B-26051"/>
    <n v="80"/>
    <n v="22"/>
    <n v="0.27500000000000002"/>
    <n v="3"/>
    <x v="1"/>
    <x v="1"/>
    <x v="282"/>
    <s v="Mar-19"/>
    <x v="40"/>
    <x v="4"/>
    <s v="Kolkata"/>
  </r>
  <r>
    <s v="B-26051"/>
    <n v="216"/>
    <n v="50"/>
    <n v="0.23148148148148148"/>
    <n v="4"/>
    <x v="1"/>
    <x v="1"/>
    <x v="282"/>
    <s v="Mar-19"/>
    <x v="40"/>
    <x v="4"/>
    <s v="Kolkata"/>
  </r>
  <r>
    <s v="B-26051"/>
    <n v="85"/>
    <n v="24"/>
    <n v="0.28235294117647058"/>
    <n v="10"/>
    <x v="1"/>
    <x v="2"/>
    <x v="282"/>
    <s v="Mar-19"/>
    <x v="40"/>
    <x v="4"/>
    <s v="Kolkata"/>
  </r>
  <r>
    <s v="B-26051"/>
    <n v="382"/>
    <n v="119"/>
    <n v="0.31151832460732987"/>
    <n v="2"/>
    <x v="1"/>
    <x v="5"/>
    <x v="282"/>
    <s v="Mar-19"/>
    <x v="40"/>
    <x v="4"/>
    <s v="Kolkata"/>
  </r>
  <r>
    <s v="B-26051"/>
    <n v="490"/>
    <n v="88"/>
    <n v="0.17959183673469387"/>
    <n v="2"/>
    <x v="2"/>
    <x v="14"/>
    <x v="282"/>
    <s v="Mar-19"/>
    <x v="40"/>
    <x v="4"/>
    <s v="Kolkata"/>
  </r>
  <r>
    <s v="B-26051"/>
    <n v="1337"/>
    <n v="147"/>
    <n v="0.1099476439790576"/>
    <n v="7"/>
    <x v="2"/>
    <x v="13"/>
    <x v="282"/>
    <s v="Mar-19"/>
    <x v="40"/>
    <x v="4"/>
    <s v="Kolkata"/>
  </r>
  <r>
    <s v="B-26051"/>
    <n v="600"/>
    <n v="102"/>
    <n v="0.17"/>
    <n v="5"/>
    <x v="2"/>
    <x v="3"/>
    <x v="282"/>
    <s v="Mar-19"/>
    <x v="40"/>
    <x v="4"/>
    <s v="Kolkata"/>
  </r>
  <r>
    <s v="B-26052"/>
    <n v="78"/>
    <n v="28"/>
    <n v="0.35897435897435898"/>
    <n v="6"/>
    <x v="1"/>
    <x v="8"/>
    <x v="283"/>
    <s v="Mar-19"/>
    <x v="41"/>
    <x v="5"/>
    <s v="Bangalore"/>
  </r>
  <r>
    <s v="B-26052"/>
    <n v="101"/>
    <n v="16"/>
    <n v="0.15841584158415842"/>
    <n v="4"/>
    <x v="1"/>
    <x v="9"/>
    <x v="283"/>
    <s v="Mar-19"/>
    <x v="41"/>
    <x v="5"/>
    <s v="Bangalore"/>
  </r>
  <r>
    <s v="B-26052"/>
    <n v="145"/>
    <n v="0"/>
    <n v="0"/>
    <n v="3"/>
    <x v="1"/>
    <x v="5"/>
    <x v="283"/>
    <s v="Mar-19"/>
    <x v="41"/>
    <x v="5"/>
    <s v="Bangalore"/>
  </r>
  <r>
    <s v="B-26052"/>
    <n v="148"/>
    <n v="23"/>
    <n v="0.1554054054054054"/>
    <n v="4"/>
    <x v="1"/>
    <x v="8"/>
    <x v="283"/>
    <s v="Mar-19"/>
    <x v="41"/>
    <x v="5"/>
    <s v="Bangalore"/>
  </r>
  <r>
    <s v="B-26052"/>
    <n v="15"/>
    <n v="1"/>
    <n v="6.6666666666666666E-2"/>
    <n v="1"/>
    <x v="1"/>
    <x v="10"/>
    <x v="283"/>
    <s v="Mar-19"/>
    <x v="41"/>
    <x v="5"/>
    <s v="Bangalore"/>
  </r>
  <r>
    <s v="B-26052"/>
    <n v="25"/>
    <n v="7"/>
    <n v="0.28000000000000003"/>
    <n v="2"/>
    <x v="1"/>
    <x v="1"/>
    <x v="283"/>
    <s v="Mar-19"/>
    <x v="41"/>
    <x v="5"/>
    <s v="Bangalore"/>
  </r>
  <r>
    <s v="B-26052"/>
    <n v="774"/>
    <n v="170"/>
    <n v="0.21963824289405684"/>
    <n v="3"/>
    <x v="2"/>
    <x v="14"/>
    <x v="283"/>
    <s v="Mar-19"/>
    <x v="41"/>
    <x v="5"/>
    <s v="Bangalore"/>
  </r>
  <r>
    <s v="B-26053"/>
    <n v="17"/>
    <n v="1"/>
    <n v="5.8823529411764705E-2"/>
    <n v="2"/>
    <x v="1"/>
    <x v="16"/>
    <x v="284"/>
    <s v="Mar-19"/>
    <x v="42"/>
    <x v="6"/>
    <s v="Kashmir"/>
  </r>
  <r>
    <s v="B-26053"/>
    <n v="246"/>
    <n v="61"/>
    <n v="0.24796747967479674"/>
    <n v="2"/>
    <x v="0"/>
    <x v="0"/>
    <x v="284"/>
    <s v="Mar-19"/>
    <x v="42"/>
    <x v="6"/>
    <s v="Kashmir"/>
  </r>
  <r>
    <s v="B-26053"/>
    <n v="425"/>
    <n v="208"/>
    <n v="0.48941176470588238"/>
    <n v="7"/>
    <x v="1"/>
    <x v="5"/>
    <x v="284"/>
    <s v="Mar-19"/>
    <x v="42"/>
    <x v="6"/>
    <s v="Kashmir"/>
  </r>
  <r>
    <s v="B-26053"/>
    <n v="93"/>
    <n v="31"/>
    <n v="0.33333333333333331"/>
    <n v="3"/>
    <x v="2"/>
    <x v="14"/>
    <x v="284"/>
    <s v="Mar-19"/>
    <x v="42"/>
    <x v="6"/>
    <s v="Kashmir"/>
  </r>
  <r>
    <s v="B-26053"/>
    <n v="594"/>
    <n v="89"/>
    <n v="0.14983164983164984"/>
    <n v="3"/>
    <x v="0"/>
    <x v="0"/>
    <x v="284"/>
    <s v="Mar-19"/>
    <x v="42"/>
    <x v="6"/>
    <s v="Kashmir"/>
  </r>
  <r>
    <s v="B-26053"/>
    <n v="85"/>
    <n v="2"/>
    <n v="2.3529411764705882E-2"/>
    <n v="6"/>
    <x v="1"/>
    <x v="1"/>
    <x v="284"/>
    <s v="Mar-19"/>
    <x v="42"/>
    <x v="6"/>
    <s v="Kashmir"/>
  </r>
  <r>
    <s v="B-26053"/>
    <n v="27"/>
    <n v="6"/>
    <n v="0.22222222222222221"/>
    <n v="3"/>
    <x v="1"/>
    <x v="16"/>
    <x v="284"/>
    <s v="Mar-19"/>
    <x v="42"/>
    <x v="6"/>
    <s v="Kashmir"/>
  </r>
  <r>
    <s v="B-26053"/>
    <n v="120"/>
    <n v="1"/>
    <n v="8.3333333333333332E-3"/>
    <n v="1"/>
    <x v="0"/>
    <x v="7"/>
    <x v="284"/>
    <s v="Mar-19"/>
    <x v="42"/>
    <x v="6"/>
    <s v="Kashmir"/>
  </r>
  <r>
    <s v="B-26053"/>
    <n v="162"/>
    <n v="55"/>
    <n v="0.33950617283950618"/>
    <n v="3"/>
    <x v="1"/>
    <x v="1"/>
    <x v="284"/>
    <s v="Mar-19"/>
    <x v="42"/>
    <x v="6"/>
    <s v="Kashmir"/>
  </r>
  <r>
    <s v="B-26054"/>
    <n v="246"/>
    <n v="98"/>
    <n v="0.3983739837398374"/>
    <n v="5"/>
    <x v="1"/>
    <x v="2"/>
    <x v="285"/>
    <s v="Mar-19"/>
    <x v="43"/>
    <x v="1"/>
    <s v="Mumbai"/>
  </r>
  <r>
    <s v="B-26054"/>
    <n v="88"/>
    <n v="20"/>
    <n v="0.22727272727272727"/>
    <n v="2"/>
    <x v="1"/>
    <x v="5"/>
    <x v="285"/>
    <s v="Mar-19"/>
    <x v="43"/>
    <x v="1"/>
    <s v="Mumbai"/>
  </r>
  <r>
    <s v="B-26054"/>
    <n v="88"/>
    <n v="19"/>
    <n v="0.21590909090909091"/>
    <n v="2"/>
    <x v="1"/>
    <x v="10"/>
    <x v="285"/>
    <s v="Mar-19"/>
    <x v="43"/>
    <x v="1"/>
    <s v="Mumbai"/>
  </r>
  <r>
    <s v="B-26054"/>
    <n v="139"/>
    <n v="21"/>
    <n v="0.15107913669064749"/>
    <n v="3"/>
    <x v="2"/>
    <x v="14"/>
    <x v="285"/>
    <s v="Mar-19"/>
    <x v="43"/>
    <x v="1"/>
    <s v="Mumbai"/>
  </r>
  <r>
    <s v="B-26054"/>
    <n v="139"/>
    <n v="36"/>
    <n v="0.25899280575539568"/>
    <n v="3"/>
    <x v="1"/>
    <x v="1"/>
    <x v="285"/>
    <s v="Mar-19"/>
    <x v="43"/>
    <x v="1"/>
    <s v="Mumbai"/>
  </r>
  <r>
    <s v="B-26054"/>
    <n v="138"/>
    <n v="11"/>
    <n v="7.9710144927536225E-2"/>
    <n v="5"/>
    <x v="1"/>
    <x v="1"/>
    <x v="285"/>
    <s v="Mar-19"/>
    <x v="43"/>
    <x v="1"/>
    <s v="Mumbai"/>
  </r>
  <r>
    <s v="B-26054"/>
    <n v="156"/>
    <n v="23"/>
    <n v="0.14743589743589744"/>
    <n v="3"/>
    <x v="1"/>
    <x v="1"/>
    <x v="285"/>
    <s v="Mar-19"/>
    <x v="43"/>
    <x v="1"/>
    <s v="Mumbai"/>
  </r>
  <r>
    <s v="B-26054"/>
    <n v="559"/>
    <n v="174"/>
    <n v="0.31127012522361358"/>
    <n v="2"/>
    <x v="2"/>
    <x v="3"/>
    <x v="285"/>
    <s v="Mar-19"/>
    <x v="43"/>
    <x v="1"/>
    <s v="Mumbai"/>
  </r>
  <r>
    <s v="B-26055"/>
    <n v="227"/>
    <n v="48"/>
    <n v="0.21145374449339208"/>
    <n v="5"/>
    <x v="1"/>
    <x v="1"/>
    <x v="285"/>
    <s v="Mar-19"/>
    <x v="44"/>
    <x v="2"/>
    <s v="Indore"/>
  </r>
  <r>
    <s v="B-26055"/>
    <n v="5729"/>
    <n v="64"/>
    <n v="1.1171234072263921E-2"/>
    <n v="14"/>
    <x v="0"/>
    <x v="7"/>
    <x v="285"/>
    <s v="Mar-19"/>
    <x v="44"/>
    <x v="2"/>
    <s v="Indore"/>
  </r>
  <r>
    <s v="B-26055"/>
    <n v="94"/>
    <n v="27"/>
    <n v="0.28723404255319152"/>
    <n v="2"/>
    <x v="1"/>
    <x v="9"/>
    <x v="285"/>
    <s v="Mar-19"/>
    <x v="44"/>
    <x v="2"/>
    <s v="Indore"/>
  </r>
  <r>
    <s v="B-26055"/>
    <n v="213"/>
    <n v="4"/>
    <n v="1.8779342723004695E-2"/>
    <n v="14"/>
    <x v="1"/>
    <x v="10"/>
    <x v="285"/>
    <s v="Mar-19"/>
    <x v="44"/>
    <x v="2"/>
    <s v="Indore"/>
  </r>
  <r>
    <s v="B-26055"/>
    <n v="250"/>
    <n v="-12"/>
    <n v="-4.8000000000000001E-2"/>
    <n v="2"/>
    <x v="2"/>
    <x v="13"/>
    <x v="285"/>
    <s v="Mar-19"/>
    <x v="44"/>
    <x v="2"/>
    <s v="Indore"/>
  </r>
  <r>
    <s v="B-26055"/>
    <n v="43"/>
    <n v="11"/>
    <n v="0.2558139534883721"/>
    <n v="1"/>
    <x v="1"/>
    <x v="5"/>
    <x v="285"/>
    <s v="Mar-19"/>
    <x v="44"/>
    <x v="2"/>
    <s v="Indore"/>
  </r>
  <r>
    <s v="B-26055"/>
    <n v="1218"/>
    <n v="420"/>
    <n v="0.34482758620689657"/>
    <n v="8"/>
    <x v="0"/>
    <x v="0"/>
    <x v="285"/>
    <s v="Mar-19"/>
    <x v="44"/>
    <x v="2"/>
    <s v="Indore"/>
  </r>
  <r>
    <s v="B-26055"/>
    <n v="671"/>
    <n v="114"/>
    <n v="0.16989567809239942"/>
    <n v="9"/>
    <x v="2"/>
    <x v="4"/>
    <x v="285"/>
    <s v="Mar-19"/>
    <x v="44"/>
    <x v="2"/>
    <s v="Indore"/>
  </r>
  <r>
    <s v="B-26055"/>
    <n v="57"/>
    <n v="7"/>
    <n v="0.12280701754385964"/>
    <n v="2"/>
    <x v="1"/>
    <x v="10"/>
    <x v="285"/>
    <s v="Mar-19"/>
    <x v="44"/>
    <x v="2"/>
    <s v="Indore"/>
  </r>
  <r>
    <s v="B-26056"/>
    <n v="70"/>
    <n v="24"/>
    <n v="0.34285714285714286"/>
    <n v="3"/>
    <x v="1"/>
    <x v="1"/>
    <x v="285"/>
    <s v="Mar-19"/>
    <x v="45"/>
    <x v="9"/>
    <s v="Patna"/>
  </r>
  <r>
    <s v="B-26056"/>
    <n v="47"/>
    <n v="20"/>
    <n v="0.42553191489361702"/>
    <n v="7"/>
    <x v="1"/>
    <x v="2"/>
    <x v="285"/>
    <s v="Mar-19"/>
    <x v="45"/>
    <x v="9"/>
    <s v="Patna"/>
  </r>
  <r>
    <s v="B-26056"/>
    <n v="33"/>
    <n v="9"/>
    <n v="0.27272727272727271"/>
    <n v="2"/>
    <x v="1"/>
    <x v="2"/>
    <x v="285"/>
    <s v="Mar-19"/>
    <x v="45"/>
    <x v="9"/>
    <s v="Patna"/>
  </r>
  <r>
    <s v="B-26056"/>
    <n v="424"/>
    <n v="161"/>
    <n v="0.37971698113207547"/>
    <n v="2"/>
    <x v="1"/>
    <x v="5"/>
    <x v="285"/>
    <s v="Mar-19"/>
    <x v="45"/>
    <x v="9"/>
    <s v="Patna"/>
  </r>
  <r>
    <s v="B-26056"/>
    <n v="391"/>
    <n v="90"/>
    <n v="0.23017902813299232"/>
    <n v="6"/>
    <x v="2"/>
    <x v="4"/>
    <x v="285"/>
    <s v="Mar-19"/>
    <x v="45"/>
    <x v="9"/>
    <s v="Patna"/>
  </r>
  <r>
    <s v="B-26056"/>
    <n v="15"/>
    <n v="6"/>
    <n v="0.4"/>
    <n v="2"/>
    <x v="1"/>
    <x v="2"/>
    <x v="285"/>
    <s v="Mar-19"/>
    <x v="45"/>
    <x v="9"/>
    <s v="Patna"/>
  </r>
  <r>
    <s v="B-26056"/>
    <n v="101"/>
    <n v="11"/>
    <n v="0.10891089108910891"/>
    <n v="2"/>
    <x v="1"/>
    <x v="2"/>
    <x v="285"/>
    <s v="Mar-19"/>
    <x v="45"/>
    <x v="9"/>
    <s v="Patna"/>
  </r>
  <r>
    <s v="B-26056"/>
    <n v="31"/>
    <n v="9"/>
    <n v="0.29032258064516131"/>
    <n v="2"/>
    <x v="1"/>
    <x v="2"/>
    <x v="285"/>
    <s v="Mar-19"/>
    <x v="45"/>
    <x v="9"/>
    <s v="Patna"/>
  </r>
  <r>
    <s v="B-26056"/>
    <n v="220"/>
    <n v="40"/>
    <n v="0.18181818181818182"/>
    <n v="2"/>
    <x v="2"/>
    <x v="14"/>
    <x v="285"/>
    <s v="Mar-19"/>
    <x v="45"/>
    <x v="9"/>
    <s v="Patna"/>
  </r>
  <r>
    <s v="B-26056"/>
    <n v="213"/>
    <n v="-145"/>
    <n v="-0.68075117370892024"/>
    <n v="3"/>
    <x v="0"/>
    <x v="0"/>
    <x v="285"/>
    <s v="Mar-19"/>
    <x v="45"/>
    <x v="9"/>
    <s v="Patna"/>
  </r>
  <r>
    <s v="B-26056"/>
    <n v="19"/>
    <n v="-18"/>
    <n v="-0.94736842105263153"/>
    <n v="4"/>
    <x v="1"/>
    <x v="8"/>
    <x v="285"/>
    <s v="Mar-19"/>
    <x v="45"/>
    <x v="9"/>
    <s v="Patna"/>
  </r>
  <r>
    <s v="B-26056"/>
    <n v="206"/>
    <n v="18"/>
    <n v="8.7378640776699032E-2"/>
    <n v="4"/>
    <x v="1"/>
    <x v="2"/>
    <x v="285"/>
    <s v="Mar-19"/>
    <x v="45"/>
    <x v="9"/>
    <s v="Patna"/>
  </r>
  <r>
    <s v="B-26057"/>
    <n v="736"/>
    <n v="346"/>
    <n v="0.47010869565217389"/>
    <n v="5"/>
    <x v="2"/>
    <x v="13"/>
    <x v="285"/>
    <s v="Mar-19"/>
    <x v="46"/>
    <x v="10"/>
    <s v="Thiruvananthapuram"/>
  </r>
  <r>
    <s v="B-26057"/>
    <n v="54"/>
    <n v="8"/>
    <n v="0.14814814814814814"/>
    <n v="4"/>
    <x v="1"/>
    <x v="9"/>
    <x v="285"/>
    <s v="Mar-19"/>
    <x v="46"/>
    <x v="10"/>
    <s v="Thiruvananthapuram"/>
  </r>
  <r>
    <s v="B-26057"/>
    <n v="659"/>
    <n v="-37"/>
    <n v="-5.614567526555387E-2"/>
    <n v="2"/>
    <x v="0"/>
    <x v="0"/>
    <x v="285"/>
    <s v="Mar-19"/>
    <x v="46"/>
    <x v="10"/>
    <s v="Thiruvananthapuram"/>
  </r>
  <r>
    <s v="B-26057"/>
    <n v="224"/>
    <n v="87"/>
    <n v="0.38839285714285715"/>
    <n v="3"/>
    <x v="1"/>
    <x v="6"/>
    <x v="285"/>
    <s v="Mar-19"/>
    <x v="46"/>
    <x v="10"/>
    <s v="Thiruvananthapuram"/>
  </r>
  <r>
    <s v="B-26058"/>
    <n v="212"/>
    <n v="97"/>
    <n v="0.45754716981132076"/>
    <n v="7"/>
    <x v="1"/>
    <x v="2"/>
    <x v="286"/>
    <s v="Mar-19"/>
    <x v="47"/>
    <x v="11"/>
    <s v="Chandigarh"/>
  </r>
  <r>
    <s v="B-26059"/>
    <n v="20"/>
    <n v="6"/>
    <n v="0.3"/>
    <n v="1"/>
    <x v="1"/>
    <x v="9"/>
    <x v="287"/>
    <s v="Mar-19"/>
    <x v="48"/>
    <x v="12"/>
    <s v="Chandigarh"/>
  </r>
  <r>
    <s v="B-26060"/>
    <n v="382"/>
    <n v="68"/>
    <n v="0.17801047120418848"/>
    <n v="3"/>
    <x v="1"/>
    <x v="5"/>
    <x v="288"/>
    <s v="Mar-19"/>
    <x v="49"/>
    <x v="1"/>
    <s v="Mumbai"/>
  </r>
  <r>
    <s v="B-26061"/>
    <n v="508"/>
    <n v="203"/>
    <n v="0.39960629921259844"/>
    <n v="2"/>
    <x v="2"/>
    <x v="14"/>
    <x v="289"/>
    <s v="Mar-19"/>
    <x v="50"/>
    <x v="2"/>
    <s v="Indore"/>
  </r>
  <r>
    <s v="B-26061"/>
    <n v="965"/>
    <n v="-68"/>
    <n v="-7.0466321243523311E-2"/>
    <n v="3"/>
    <x v="2"/>
    <x v="13"/>
    <x v="289"/>
    <s v="Mar-19"/>
    <x v="50"/>
    <x v="2"/>
    <s v="Indore"/>
  </r>
  <r>
    <s v="B-26061"/>
    <n v="206"/>
    <n v="12"/>
    <n v="5.8252427184466021E-2"/>
    <n v="1"/>
    <x v="2"/>
    <x v="13"/>
    <x v="289"/>
    <s v="Mar-19"/>
    <x v="50"/>
    <x v="2"/>
    <s v="Indore"/>
  </r>
  <r>
    <s v="B-26061"/>
    <n v="642"/>
    <n v="180"/>
    <n v="0.28037383177570091"/>
    <n v="5"/>
    <x v="1"/>
    <x v="5"/>
    <x v="289"/>
    <s v="Mar-19"/>
    <x v="50"/>
    <x v="2"/>
    <s v="Indore"/>
  </r>
  <r>
    <s v="B-26061"/>
    <n v="109"/>
    <n v="52"/>
    <n v="0.47706422018348627"/>
    <n v="2"/>
    <x v="1"/>
    <x v="1"/>
    <x v="289"/>
    <s v="Mar-19"/>
    <x v="50"/>
    <x v="2"/>
    <s v="Indore"/>
  </r>
  <r>
    <s v="B-26061"/>
    <n v="27"/>
    <n v="8"/>
    <n v="0.29629629629629628"/>
    <n v="2"/>
    <x v="1"/>
    <x v="9"/>
    <x v="289"/>
    <s v="Mar-19"/>
    <x v="50"/>
    <x v="2"/>
    <s v="Indore"/>
  </r>
  <r>
    <s v="B-26062"/>
    <n v="44"/>
    <n v="-40"/>
    <n v="-0.90909090909090906"/>
    <n v="3"/>
    <x v="1"/>
    <x v="1"/>
    <x v="290"/>
    <s v="Mar-19"/>
    <x v="51"/>
    <x v="15"/>
    <s v="Goa"/>
  </r>
  <r>
    <s v="B-26062"/>
    <n v="50"/>
    <n v="-17"/>
    <n v="-0.34"/>
    <n v="2"/>
    <x v="1"/>
    <x v="1"/>
    <x v="290"/>
    <s v="Mar-19"/>
    <x v="51"/>
    <x v="15"/>
    <s v="Goa"/>
  </r>
  <r>
    <s v="B-26062"/>
    <n v="13"/>
    <n v="-2"/>
    <n v="-0.15384615384615385"/>
    <n v="1"/>
    <x v="1"/>
    <x v="1"/>
    <x v="290"/>
    <s v="Mar-19"/>
    <x v="51"/>
    <x v="15"/>
    <s v="Goa"/>
  </r>
  <r>
    <s v="B-26063"/>
    <n v="241"/>
    <n v="-77"/>
    <n v="-0.31950207468879666"/>
    <n v="4"/>
    <x v="2"/>
    <x v="3"/>
    <x v="290"/>
    <s v="Mar-19"/>
    <x v="52"/>
    <x v="16"/>
    <s v="Kohima"/>
  </r>
  <r>
    <s v="B-26064"/>
    <n v="75"/>
    <n v="2"/>
    <n v="2.6666666666666668E-2"/>
    <n v="5"/>
    <x v="1"/>
    <x v="11"/>
    <x v="291"/>
    <s v="Mar-19"/>
    <x v="331"/>
    <x v="1"/>
    <s v="Mumbai"/>
  </r>
  <r>
    <s v="B-26064"/>
    <n v="61"/>
    <n v="3"/>
    <n v="4.9180327868852458E-2"/>
    <n v="4"/>
    <x v="1"/>
    <x v="2"/>
    <x v="291"/>
    <s v="Mar-19"/>
    <x v="331"/>
    <x v="1"/>
    <s v="Mumbai"/>
  </r>
  <r>
    <s v="B-26064"/>
    <n v="122"/>
    <n v="38"/>
    <n v="0.31147540983606559"/>
    <n v="6"/>
    <x v="1"/>
    <x v="9"/>
    <x v="291"/>
    <s v="Mar-19"/>
    <x v="331"/>
    <x v="1"/>
    <s v="Mumbai"/>
  </r>
  <r>
    <s v="B-26064"/>
    <n v="22"/>
    <n v="0"/>
    <n v="0"/>
    <n v="2"/>
    <x v="1"/>
    <x v="5"/>
    <x v="291"/>
    <s v="Mar-19"/>
    <x v="331"/>
    <x v="1"/>
    <s v="Mumbai"/>
  </r>
  <r>
    <s v="B-26065"/>
    <n v="146"/>
    <n v="19"/>
    <n v="0.13013698630136986"/>
    <n v="5"/>
    <x v="1"/>
    <x v="1"/>
    <x v="291"/>
    <s v="Mar-19"/>
    <x v="54"/>
    <x v="2"/>
    <s v="Indore"/>
  </r>
  <r>
    <s v="B-26066"/>
    <n v="86"/>
    <n v="22"/>
    <n v="0.2558139534883721"/>
    <n v="2"/>
    <x v="1"/>
    <x v="5"/>
    <x v="291"/>
    <s v="Mar-19"/>
    <x v="55"/>
    <x v="1"/>
    <s v="Pune"/>
  </r>
  <r>
    <s v="B-26067"/>
    <n v="618"/>
    <n v="27"/>
    <n v="4.3689320388349516E-2"/>
    <n v="4"/>
    <x v="0"/>
    <x v="0"/>
    <x v="291"/>
    <s v="Mar-19"/>
    <x v="56"/>
    <x v="2"/>
    <s v="Bhopal"/>
  </r>
  <r>
    <s v="B-26067"/>
    <n v="53"/>
    <n v="2"/>
    <n v="3.7735849056603772E-2"/>
    <n v="4"/>
    <x v="1"/>
    <x v="2"/>
    <x v="291"/>
    <s v="Mar-19"/>
    <x v="56"/>
    <x v="2"/>
    <s v="Bhopal"/>
  </r>
  <r>
    <s v="B-26067"/>
    <n v="1120"/>
    <n v="199"/>
    <n v="0.17767857142857144"/>
    <n v="6"/>
    <x v="1"/>
    <x v="5"/>
    <x v="291"/>
    <s v="Mar-19"/>
    <x v="56"/>
    <x v="2"/>
    <s v="Bhopal"/>
  </r>
  <r>
    <s v="B-26067"/>
    <n v="1137"/>
    <n v="-14"/>
    <n v="-1.2313104661389622E-2"/>
    <n v="7"/>
    <x v="2"/>
    <x v="13"/>
    <x v="291"/>
    <s v="Mar-19"/>
    <x v="56"/>
    <x v="2"/>
    <s v="Bhopal"/>
  </r>
  <r>
    <s v="B-26067"/>
    <n v="67"/>
    <n v="2"/>
    <n v="2.9850746268656716E-2"/>
    <n v="4"/>
    <x v="1"/>
    <x v="9"/>
    <x v="291"/>
    <s v="Mar-19"/>
    <x v="56"/>
    <x v="2"/>
    <s v="Bhopal"/>
  </r>
  <r>
    <s v="B-26068"/>
    <n v="193"/>
    <n v="33"/>
    <n v="0.17098445595854922"/>
    <n v="5"/>
    <x v="2"/>
    <x v="14"/>
    <x v="291"/>
    <s v="Mar-19"/>
    <x v="57"/>
    <x v="3"/>
    <s v="Jaipur"/>
  </r>
  <r>
    <s v="B-26069"/>
    <n v="55"/>
    <n v="18"/>
    <n v="0.32727272727272727"/>
    <n v="2"/>
    <x v="1"/>
    <x v="8"/>
    <x v="292"/>
    <s v="Mar-19"/>
    <x v="58"/>
    <x v="4"/>
    <s v="Kolkata"/>
  </r>
  <r>
    <s v="B-26070"/>
    <n v="54"/>
    <n v="12"/>
    <n v="0.22222222222222221"/>
    <n v="4"/>
    <x v="1"/>
    <x v="10"/>
    <x v="293"/>
    <s v="Mar-19"/>
    <x v="59"/>
    <x v="5"/>
    <s v="Bangalore"/>
  </r>
  <r>
    <s v="B-26070"/>
    <n v="582"/>
    <n v="262"/>
    <n v="0.45017182130584193"/>
    <n v="5"/>
    <x v="0"/>
    <x v="15"/>
    <x v="293"/>
    <s v="Mar-19"/>
    <x v="59"/>
    <x v="5"/>
    <s v="Bangalore"/>
  </r>
  <r>
    <s v="B-26070"/>
    <n v="75"/>
    <n v="29"/>
    <n v="0.38666666666666666"/>
    <n v="1"/>
    <x v="1"/>
    <x v="6"/>
    <x v="293"/>
    <s v="Mar-19"/>
    <x v="59"/>
    <x v="5"/>
    <s v="Bangalore"/>
  </r>
  <r>
    <s v="B-26070"/>
    <n v="14"/>
    <n v="7"/>
    <n v="0.5"/>
    <n v="2"/>
    <x v="1"/>
    <x v="2"/>
    <x v="293"/>
    <s v="Mar-19"/>
    <x v="59"/>
    <x v="5"/>
    <s v="Bangalore"/>
  </r>
  <r>
    <s v="B-26071"/>
    <n v="21"/>
    <n v="4"/>
    <n v="0.19047619047619047"/>
    <n v="3"/>
    <x v="1"/>
    <x v="2"/>
    <x v="294"/>
    <s v="Mar-19"/>
    <x v="60"/>
    <x v="6"/>
    <s v="Kashmir"/>
  </r>
  <r>
    <s v="B-26072"/>
    <n v="313"/>
    <n v="44"/>
    <n v="0.14057507987220447"/>
    <n v="3"/>
    <x v="2"/>
    <x v="3"/>
    <x v="295"/>
    <s v="Mar-19"/>
    <x v="61"/>
    <x v="1"/>
    <s v="Mumbai"/>
  </r>
  <r>
    <s v="B-26073"/>
    <n v="37"/>
    <n v="17"/>
    <n v="0.45945945945945948"/>
    <n v="3"/>
    <x v="1"/>
    <x v="2"/>
    <x v="296"/>
    <s v="Mar-19"/>
    <x v="62"/>
    <x v="2"/>
    <s v="Indore"/>
  </r>
  <r>
    <s v="B-26073"/>
    <n v="290"/>
    <n v="110"/>
    <n v="0.37931034482758619"/>
    <n v="9"/>
    <x v="1"/>
    <x v="1"/>
    <x v="296"/>
    <s v="Mar-19"/>
    <x v="62"/>
    <x v="2"/>
    <s v="Indore"/>
  </r>
  <r>
    <s v="B-26073"/>
    <n v="122"/>
    <n v="11"/>
    <n v="9.0163934426229511E-2"/>
    <n v="4"/>
    <x v="1"/>
    <x v="2"/>
    <x v="296"/>
    <s v="Mar-19"/>
    <x v="62"/>
    <x v="2"/>
    <s v="Indore"/>
  </r>
  <r>
    <s v="B-26073"/>
    <n v="29"/>
    <n v="9"/>
    <n v="0.31034482758620691"/>
    <n v="3"/>
    <x v="1"/>
    <x v="5"/>
    <x v="296"/>
    <s v="Mar-19"/>
    <x v="62"/>
    <x v="2"/>
    <s v="Indore"/>
  </r>
  <r>
    <s v="B-26073"/>
    <n v="1514"/>
    <n v="742"/>
    <n v="0.49009247027741082"/>
    <n v="4"/>
    <x v="2"/>
    <x v="13"/>
    <x v="296"/>
    <s v="Mar-19"/>
    <x v="62"/>
    <x v="2"/>
    <s v="Indore"/>
  </r>
  <r>
    <s v="B-26074"/>
    <n v="57"/>
    <n v="21"/>
    <n v="0.36842105263157893"/>
    <n v="4"/>
    <x v="1"/>
    <x v="11"/>
    <x v="296"/>
    <s v="Mar-19"/>
    <x v="0"/>
    <x v="0"/>
    <s v="Ahmedabad"/>
  </r>
  <r>
    <s v="B-26075"/>
    <n v="34"/>
    <n v="12"/>
    <n v="0.35294117647058826"/>
    <n v="2"/>
    <x v="1"/>
    <x v="1"/>
    <x v="296"/>
    <s v="Mar-19"/>
    <x v="1"/>
    <x v="1"/>
    <s v="Pune"/>
  </r>
  <r>
    <s v="B-26076"/>
    <n v="91"/>
    <n v="22"/>
    <n v="0.24175824175824176"/>
    <n v="2"/>
    <x v="1"/>
    <x v="1"/>
    <x v="296"/>
    <s v="Mar-19"/>
    <x v="2"/>
    <x v="2"/>
    <s v="Bhopal"/>
  </r>
  <r>
    <s v="B-26076"/>
    <n v="133"/>
    <n v="46"/>
    <n v="0.34586466165413532"/>
    <n v="5"/>
    <x v="1"/>
    <x v="10"/>
    <x v="296"/>
    <s v="Mar-19"/>
    <x v="2"/>
    <x v="2"/>
    <s v="Bhopal"/>
  </r>
  <r>
    <s v="B-26076"/>
    <n v="60"/>
    <n v="13"/>
    <n v="0.21666666666666667"/>
    <n v="2"/>
    <x v="1"/>
    <x v="9"/>
    <x v="296"/>
    <s v="Mar-19"/>
    <x v="2"/>
    <x v="2"/>
    <s v="Bhopal"/>
  </r>
  <r>
    <s v="B-26076"/>
    <n v="19"/>
    <n v="4"/>
    <n v="0.21052631578947367"/>
    <n v="2"/>
    <x v="1"/>
    <x v="5"/>
    <x v="296"/>
    <s v="Mar-19"/>
    <x v="2"/>
    <x v="2"/>
    <s v="Bhopal"/>
  </r>
  <r>
    <s v="B-26076"/>
    <n v="450"/>
    <n v="190"/>
    <n v="0.42222222222222222"/>
    <n v="4"/>
    <x v="0"/>
    <x v="0"/>
    <x v="296"/>
    <s v="Mar-19"/>
    <x v="2"/>
    <x v="2"/>
    <s v="Bhopal"/>
  </r>
  <r>
    <s v="B-26077"/>
    <n v="62"/>
    <n v="11"/>
    <n v="0.17741935483870969"/>
    <n v="7"/>
    <x v="1"/>
    <x v="2"/>
    <x v="297"/>
    <s v="Mar-19"/>
    <x v="3"/>
    <x v="3"/>
    <s v="Jaipur"/>
  </r>
  <r>
    <s v="B-26078"/>
    <n v="17"/>
    <n v="8"/>
    <n v="0.47058823529411764"/>
    <n v="2"/>
    <x v="1"/>
    <x v="16"/>
    <x v="297"/>
    <s v="Mar-19"/>
    <x v="4"/>
    <x v="4"/>
    <s v="Kolkata"/>
  </r>
  <r>
    <s v="B-26078"/>
    <n v="44"/>
    <n v="20"/>
    <n v="0.45454545454545453"/>
    <n v="2"/>
    <x v="1"/>
    <x v="9"/>
    <x v="297"/>
    <s v="Mar-19"/>
    <x v="4"/>
    <x v="4"/>
    <s v="Kolkata"/>
  </r>
  <r>
    <s v="B-26078"/>
    <n v="557"/>
    <n v="111"/>
    <n v="0.1992818671454219"/>
    <n v="2"/>
    <x v="2"/>
    <x v="3"/>
    <x v="297"/>
    <s v="Mar-19"/>
    <x v="4"/>
    <x v="4"/>
    <s v="Kolkata"/>
  </r>
  <r>
    <s v="B-26078"/>
    <n v="137"/>
    <n v="63"/>
    <n v="0.45985401459854014"/>
    <n v="3"/>
    <x v="1"/>
    <x v="1"/>
    <x v="297"/>
    <s v="Mar-19"/>
    <x v="4"/>
    <x v="4"/>
    <s v="Kolkata"/>
  </r>
  <r>
    <s v="B-26079"/>
    <n v="18"/>
    <n v="3"/>
    <n v="0.16666666666666666"/>
    <n v="2"/>
    <x v="1"/>
    <x v="2"/>
    <x v="297"/>
    <s v="Mar-19"/>
    <x v="5"/>
    <x v="5"/>
    <s v="Bangalore"/>
  </r>
  <r>
    <s v="B-26080"/>
    <n v="109"/>
    <n v="35"/>
    <n v="0.32110091743119268"/>
    <n v="6"/>
    <x v="1"/>
    <x v="9"/>
    <x v="297"/>
    <s v="Mar-19"/>
    <x v="6"/>
    <x v="6"/>
    <s v="Kashmir"/>
  </r>
  <r>
    <s v="B-26081"/>
    <n v="359"/>
    <n v="-338"/>
    <n v="-0.9415041782729805"/>
    <n v="5"/>
    <x v="0"/>
    <x v="0"/>
    <x v="297"/>
    <s v="Mar-19"/>
    <x v="7"/>
    <x v="7"/>
    <s v="Chennai"/>
  </r>
  <r>
    <s v="B-26081"/>
    <n v="93"/>
    <n v="-84"/>
    <n v="-0.90322580645161288"/>
    <n v="3"/>
    <x v="1"/>
    <x v="5"/>
    <x v="297"/>
    <s v="Mar-19"/>
    <x v="7"/>
    <x v="7"/>
    <s v="Chennai"/>
  </r>
  <r>
    <s v="B-26081"/>
    <n v="169"/>
    <n v="0"/>
    <n v="0"/>
    <n v="3"/>
    <x v="2"/>
    <x v="14"/>
    <x v="297"/>
    <s v="Mar-19"/>
    <x v="7"/>
    <x v="7"/>
    <s v="Chennai"/>
  </r>
  <r>
    <s v="B-26081"/>
    <n v="79"/>
    <n v="33"/>
    <n v="0.41772151898734178"/>
    <n v="4"/>
    <x v="1"/>
    <x v="1"/>
    <x v="297"/>
    <s v="Mar-19"/>
    <x v="7"/>
    <x v="7"/>
    <s v="Chennai"/>
  </r>
  <r>
    <s v="B-26081"/>
    <n v="24"/>
    <n v="11"/>
    <n v="0.45833333333333331"/>
    <n v="3"/>
    <x v="1"/>
    <x v="2"/>
    <x v="297"/>
    <s v="Mar-19"/>
    <x v="7"/>
    <x v="7"/>
    <s v="Chennai"/>
  </r>
  <r>
    <s v="B-26081"/>
    <n v="637"/>
    <n v="50"/>
    <n v="7.8492935635792779E-2"/>
    <n v="5"/>
    <x v="1"/>
    <x v="5"/>
    <x v="297"/>
    <s v="Mar-19"/>
    <x v="7"/>
    <x v="7"/>
    <s v="Chennai"/>
  </r>
  <r>
    <s v="B-26082"/>
    <n v="95"/>
    <n v="5"/>
    <n v="5.2631578947368418E-2"/>
    <n v="2"/>
    <x v="1"/>
    <x v="1"/>
    <x v="298"/>
    <s v="Mar-19"/>
    <x v="8"/>
    <x v="8"/>
    <s v="Lucknow"/>
  </r>
  <r>
    <s v="B-26083"/>
    <n v="43"/>
    <n v="8"/>
    <n v="0.18604651162790697"/>
    <n v="3"/>
    <x v="1"/>
    <x v="11"/>
    <x v="299"/>
    <s v="Mar-19"/>
    <x v="9"/>
    <x v="9"/>
    <s v="Patna"/>
  </r>
  <r>
    <s v="B-26083"/>
    <n v="145"/>
    <n v="16"/>
    <n v="0.1103448275862069"/>
    <n v="3"/>
    <x v="1"/>
    <x v="9"/>
    <x v="299"/>
    <s v="Mar-19"/>
    <x v="9"/>
    <x v="9"/>
    <s v="Patna"/>
  </r>
  <r>
    <s v="B-26083"/>
    <n v="34"/>
    <n v="3"/>
    <n v="8.8235294117647065E-2"/>
    <n v="3"/>
    <x v="1"/>
    <x v="5"/>
    <x v="299"/>
    <s v="Mar-19"/>
    <x v="9"/>
    <x v="9"/>
    <s v="Patna"/>
  </r>
  <r>
    <s v="B-26083"/>
    <n v="143"/>
    <n v="6"/>
    <n v="4.195804195804196E-2"/>
    <n v="2"/>
    <x v="2"/>
    <x v="14"/>
    <x v="299"/>
    <s v="Mar-19"/>
    <x v="9"/>
    <x v="9"/>
    <s v="Patna"/>
  </r>
  <r>
    <s v="B-26083"/>
    <n v="45"/>
    <n v="17"/>
    <n v="0.37777777777777777"/>
    <n v="1"/>
    <x v="2"/>
    <x v="14"/>
    <x v="299"/>
    <s v="Mar-19"/>
    <x v="9"/>
    <x v="9"/>
    <s v="Patna"/>
  </r>
  <r>
    <s v="B-26084"/>
    <n v="209"/>
    <n v="-63"/>
    <n v="-0.30143540669856461"/>
    <n v="4"/>
    <x v="2"/>
    <x v="3"/>
    <x v="300"/>
    <s v="Mar-19"/>
    <x v="10"/>
    <x v="10"/>
    <s v="Thiruvananthapuram"/>
  </r>
  <r>
    <s v="B-26085"/>
    <n v="86"/>
    <n v="22"/>
    <n v="0.2558139534883721"/>
    <n v="2"/>
    <x v="1"/>
    <x v="5"/>
    <x v="301"/>
    <s v="Mar-19"/>
    <x v="11"/>
    <x v="11"/>
    <s v="Chandigarh"/>
  </r>
  <r>
    <s v="B-26085"/>
    <n v="1487"/>
    <n v="624"/>
    <n v="0.41963685272360457"/>
    <n v="3"/>
    <x v="1"/>
    <x v="6"/>
    <x v="301"/>
    <s v="Mar-19"/>
    <x v="11"/>
    <x v="11"/>
    <s v="Chandigarh"/>
  </r>
  <r>
    <s v="B-26085"/>
    <n v="40"/>
    <n v="17"/>
    <n v="0.42499999999999999"/>
    <n v="2"/>
    <x v="1"/>
    <x v="1"/>
    <x v="301"/>
    <s v="Mar-19"/>
    <x v="11"/>
    <x v="11"/>
    <s v="Chandigarh"/>
  </r>
  <r>
    <s v="B-26085"/>
    <n v="132"/>
    <n v="-10"/>
    <n v="-7.575757575757576E-2"/>
    <n v="3"/>
    <x v="1"/>
    <x v="5"/>
    <x v="301"/>
    <s v="Mar-19"/>
    <x v="11"/>
    <x v="11"/>
    <s v="Chandigarh"/>
  </r>
  <r>
    <s v="B-26086"/>
    <n v="43"/>
    <n v="17"/>
    <n v="0.39534883720930231"/>
    <n v="2"/>
    <x v="1"/>
    <x v="9"/>
    <x v="301"/>
    <s v="Mar-19"/>
    <x v="12"/>
    <x v="12"/>
    <s v="Chandigarh"/>
  </r>
  <r>
    <s v="B-26086"/>
    <n v="762"/>
    <n v="101"/>
    <n v="0.13254593175853019"/>
    <n v="6"/>
    <x v="2"/>
    <x v="13"/>
    <x v="301"/>
    <s v="Mar-19"/>
    <x v="12"/>
    <x v="12"/>
    <s v="Chandigarh"/>
  </r>
  <r>
    <s v="B-26086"/>
    <n v="25"/>
    <n v="2"/>
    <n v="0.08"/>
    <n v="2"/>
    <x v="1"/>
    <x v="2"/>
    <x v="301"/>
    <s v="Mar-19"/>
    <x v="12"/>
    <x v="12"/>
    <s v="Chandigarh"/>
  </r>
  <r>
    <s v="B-26087"/>
    <n v="119"/>
    <n v="56"/>
    <n v="0.47058823529411764"/>
    <n v="7"/>
    <x v="1"/>
    <x v="5"/>
    <x v="301"/>
    <s v="Mar-19"/>
    <x v="13"/>
    <x v="13"/>
    <s v="Simla"/>
  </r>
  <r>
    <s v="B-26087"/>
    <n v="46"/>
    <n v="13"/>
    <n v="0.28260869565217389"/>
    <n v="3"/>
    <x v="1"/>
    <x v="2"/>
    <x v="301"/>
    <s v="Mar-19"/>
    <x v="13"/>
    <x v="13"/>
    <s v="Simla"/>
  </r>
  <r>
    <s v="B-26087"/>
    <n v="311"/>
    <n v="40"/>
    <n v="0.12861736334405144"/>
    <n v="1"/>
    <x v="2"/>
    <x v="3"/>
    <x v="301"/>
    <s v="Mar-19"/>
    <x v="13"/>
    <x v="13"/>
    <s v="Simla"/>
  </r>
  <r>
    <s v="B-26087"/>
    <n v="40"/>
    <n v="10"/>
    <n v="0.25"/>
    <n v="2"/>
    <x v="1"/>
    <x v="1"/>
    <x v="301"/>
    <s v="Mar-19"/>
    <x v="13"/>
    <x v="13"/>
    <s v="Simla"/>
  </r>
  <r>
    <s v="B-26087"/>
    <n v="180"/>
    <n v="0"/>
    <n v="0"/>
    <n v="8"/>
    <x v="1"/>
    <x v="1"/>
    <x v="301"/>
    <s v="Mar-19"/>
    <x v="13"/>
    <x v="13"/>
    <s v="Simla"/>
  </r>
  <r>
    <s v="B-26088"/>
    <n v="11"/>
    <n v="5"/>
    <n v="0.45454545454545453"/>
    <n v="2"/>
    <x v="1"/>
    <x v="2"/>
    <x v="301"/>
    <s v="Mar-19"/>
    <x v="14"/>
    <x v="14"/>
    <s v="Gangtok"/>
  </r>
  <r>
    <s v="B-26089"/>
    <n v="59"/>
    <n v="24"/>
    <n v="0.40677966101694918"/>
    <n v="6"/>
    <x v="1"/>
    <x v="8"/>
    <x v="301"/>
    <s v="Mar-19"/>
    <x v="15"/>
    <x v="15"/>
    <s v="Goa"/>
  </r>
  <r>
    <s v="B-26089"/>
    <n v="27"/>
    <n v="4"/>
    <n v="0.14814814814814814"/>
    <n v="1"/>
    <x v="1"/>
    <x v="2"/>
    <x v="301"/>
    <s v="Mar-19"/>
    <x v="15"/>
    <x v="15"/>
    <s v="Goa"/>
  </r>
  <r>
    <s v="B-26089"/>
    <n v="139"/>
    <n v="14"/>
    <n v="0.10071942446043165"/>
    <n v="3"/>
    <x v="1"/>
    <x v="8"/>
    <x v="301"/>
    <s v="Mar-19"/>
    <x v="15"/>
    <x v="15"/>
    <s v="Goa"/>
  </r>
  <r>
    <s v="B-26090"/>
    <n v="80"/>
    <n v="22"/>
    <n v="0.27500000000000002"/>
    <n v="3"/>
    <x v="1"/>
    <x v="1"/>
    <x v="302"/>
    <s v="Mar-19"/>
    <x v="16"/>
    <x v="16"/>
    <s v="Kohima"/>
  </r>
  <r>
    <s v="B-26091"/>
    <n v="158"/>
    <n v="69"/>
    <n v="0.43670886075949367"/>
    <n v="3"/>
    <x v="1"/>
    <x v="1"/>
    <x v="302"/>
    <s v="Mar-19"/>
    <x v="17"/>
    <x v="17"/>
    <s v="Hyderabad"/>
  </r>
  <r>
    <s v="B-26091"/>
    <n v="29"/>
    <n v="10"/>
    <n v="0.34482758620689657"/>
    <n v="4"/>
    <x v="1"/>
    <x v="2"/>
    <x v="302"/>
    <s v="Mar-19"/>
    <x v="17"/>
    <x v="17"/>
    <s v="Hyderabad"/>
  </r>
  <r>
    <s v="B-26091"/>
    <n v="59"/>
    <n v="10"/>
    <n v="0.16949152542372881"/>
    <n v="4"/>
    <x v="1"/>
    <x v="11"/>
    <x v="302"/>
    <s v="Mar-19"/>
    <x v="17"/>
    <x v="17"/>
    <s v="Hyderabad"/>
  </r>
  <r>
    <s v="B-26092"/>
    <n v="97"/>
    <n v="14"/>
    <n v="0.14432989690721648"/>
    <n v="2"/>
    <x v="1"/>
    <x v="9"/>
    <x v="302"/>
    <s v="Mar-19"/>
    <x v="18"/>
    <x v="0"/>
    <s v="Ahmedabad"/>
  </r>
  <r>
    <s v="B-26093"/>
    <n v="33"/>
    <n v="-1"/>
    <n v="-3.0303030303030304E-2"/>
    <n v="1"/>
    <x v="1"/>
    <x v="5"/>
    <x v="302"/>
    <s v="Mar-19"/>
    <x v="19"/>
    <x v="1"/>
    <s v="Pune"/>
  </r>
  <r>
    <s v="B-26093"/>
    <n v="2847"/>
    <n v="712"/>
    <n v="0.25008781173164735"/>
    <n v="8"/>
    <x v="2"/>
    <x v="13"/>
    <x v="302"/>
    <s v="Mar-19"/>
    <x v="19"/>
    <x v="1"/>
    <s v="Pune"/>
  </r>
  <r>
    <s v="B-26093"/>
    <n v="852"/>
    <n v="51"/>
    <n v="5.9859154929577461E-2"/>
    <n v="5"/>
    <x v="0"/>
    <x v="0"/>
    <x v="302"/>
    <s v="Mar-19"/>
    <x v="19"/>
    <x v="1"/>
    <s v="Pune"/>
  </r>
  <r>
    <s v="B-26093"/>
    <n v="492"/>
    <n v="187"/>
    <n v="0.38008130081300812"/>
    <n v="2"/>
    <x v="2"/>
    <x v="14"/>
    <x v="302"/>
    <s v="Mar-19"/>
    <x v="19"/>
    <x v="1"/>
    <s v="Pune"/>
  </r>
  <r>
    <s v="B-26093"/>
    <n v="81"/>
    <n v="41"/>
    <n v="0.50617283950617287"/>
    <n v="5"/>
    <x v="1"/>
    <x v="11"/>
    <x v="302"/>
    <s v="Mar-19"/>
    <x v="19"/>
    <x v="1"/>
    <s v="Pune"/>
  </r>
  <r>
    <s v="B-26093"/>
    <n v="49"/>
    <n v="5"/>
    <n v="0.10204081632653061"/>
    <n v="4"/>
    <x v="1"/>
    <x v="2"/>
    <x v="302"/>
    <s v="Mar-19"/>
    <x v="19"/>
    <x v="1"/>
    <s v="Pune"/>
  </r>
  <r>
    <s v="B-26093"/>
    <n v="148"/>
    <n v="25"/>
    <n v="0.16891891891891891"/>
    <n v="3"/>
    <x v="1"/>
    <x v="5"/>
    <x v="302"/>
    <s v="Mar-19"/>
    <x v="19"/>
    <x v="1"/>
    <s v="Pune"/>
  </r>
  <r>
    <s v="B-26094"/>
    <n v="152"/>
    <n v="50"/>
    <n v="0.32894736842105265"/>
    <n v="6"/>
    <x v="1"/>
    <x v="1"/>
    <x v="302"/>
    <s v="Mar-19"/>
    <x v="20"/>
    <x v="2"/>
    <s v="Bhopal"/>
  </r>
  <r>
    <s v="B-26095"/>
    <n v="6"/>
    <n v="1"/>
    <n v="0.16666666666666666"/>
    <n v="1"/>
    <x v="1"/>
    <x v="8"/>
    <x v="303"/>
    <s v="Mar-19"/>
    <x v="21"/>
    <x v="3"/>
    <s v="Jaipur"/>
  </r>
  <r>
    <s v="B-26096"/>
    <n v="45"/>
    <n v="9"/>
    <n v="0.2"/>
    <n v="3"/>
    <x v="1"/>
    <x v="11"/>
    <x v="303"/>
    <s v="Mar-19"/>
    <x v="22"/>
    <x v="4"/>
    <s v="Kolkata"/>
  </r>
  <r>
    <s v="B-26096"/>
    <n v="103"/>
    <n v="46"/>
    <n v="0.44660194174757284"/>
    <n v="2"/>
    <x v="1"/>
    <x v="5"/>
    <x v="303"/>
    <s v="Mar-19"/>
    <x v="22"/>
    <x v="4"/>
    <s v="Kolkata"/>
  </r>
  <r>
    <s v="B-26096"/>
    <n v="140"/>
    <n v="56"/>
    <n v="0.4"/>
    <n v="4"/>
    <x v="1"/>
    <x v="10"/>
    <x v="303"/>
    <s v="Mar-19"/>
    <x v="22"/>
    <x v="4"/>
    <s v="Kolkata"/>
  </r>
  <r>
    <s v="B-26096"/>
    <n v="88"/>
    <n v="11"/>
    <n v="0.125"/>
    <n v="3"/>
    <x v="2"/>
    <x v="14"/>
    <x v="303"/>
    <s v="Mar-19"/>
    <x v="22"/>
    <x v="4"/>
    <s v="Kolkata"/>
  </r>
  <r>
    <s v="B-26096"/>
    <n v="451"/>
    <n v="25"/>
    <n v="5.543237250554324E-2"/>
    <n v="3"/>
    <x v="2"/>
    <x v="4"/>
    <x v="303"/>
    <s v="Mar-19"/>
    <x v="22"/>
    <x v="4"/>
    <s v="Kolkata"/>
  </r>
  <r>
    <s v="B-26096"/>
    <n v="264"/>
    <n v="-26"/>
    <n v="-9.8484848484848481E-2"/>
    <n v="3"/>
    <x v="1"/>
    <x v="6"/>
    <x v="303"/>
    <s v="Mar-19"/>
    <x v="22"/>
    <x v="4"/>
    <s v="Kolkata"/>
  </r>
  <r>
    <s v="B-26097"/>
    <n v="97"/>
    <n v="12"/>
    <n v="0.12371134020618557"/>
    <n v="2"/>
    <x v="1"/>
    <x v="2"/>
    <x v="303"/>
    <s v="Mar-19"/>
    <x v="23"/>
    <x v="5"/>
    <s v="Bangalore"/>
  </r>
  <r>
    <s v="B-26097"/>
    <n v="14"/>
    <n v="5"/>
    <n v="0.35714285714285715"/>
    <n v="1"/>
    <x v="1"/>
    <x v="2"/>
    <x v="303"/>
    <s v="Mar-19"/>
    <x v="23"/>
    <x v="5"/>
    <s v="Bangalore"/>
  </r>
  <r>
    <s v="B-26097"/>
    <n v="19"/>
    <n v="8"/>
    <n v="0.42105263157894735"/>
    <n v="2"/>
    <x v="1"/>
    <x v="2"/>
    <x v="303"/>
    <s v="Mar-19"/>
    <x v="23"/>
    <x v="5"/>
    <s v="Bangalore"/>
  </r>
  <r>
    <s v="B-26097"/>
    <n v="39"/>
    <n v="18"/>
    <n v="0.46153846153846156"/>
    <n v="2"/>
    <x v="1"/>
    <x v="11"/>
    <x v="303"/>
    <s v="Mar-19"/>
    <x v="23"/>
    <x v="5"/>
    <s v="Bangalore"/>
  </r>
  <r>
    <s v="B-26097"/>
    <n v="185"/>
    <n v="-26"/>
    <n v="-0.14054054054054055"/>
    <n v="6"/>
    <x v="0"/>
    <x v="7"/>
    <x v="303"/>
    <s v="Mar-19"/>
    <x v="23"/>
    <x v="5"/>
    <s v="Bangalore"/>
  </r>
  <r>
    <s v="B-26097"/>
    <n v="663"/>
    <n v="-212"/>
    <n v="-0.31975867269984914"/>
    <n v="5"/>
    <x v="2"/>
    <x v="13"/>
    <x v="303"/>
    <s v="Mar-19"/>
    <x v="23"/>
    <x v="5"/>
    <s v="Bangalore"/>
  </r>
  <r>
    <s v="B-26097"/>
    <n v="671"/>
    <n v="-309"/>
    <n v="-0.46050670640834573"/>
    <n v="5"/>
    <x v="2"/>
    <x v="3"/>
    <x v="303"/>
    <s v="Mar-19"/>
    <x v="23"/>
    <x v="5"/>
    <s v="Bangalore"/>
  </r>
  <r>
    <s v="B-26098"/>
    <n v="82"/>
    <n v="8"/>
    <n v="9.7560975609756101E-2"/>
    <n v="3"/>
    <x v="2"/>
    <x v="14"/>
    <x v="304"/>
    <s v="Mar-19"/>
    <x v="24"/>
    <x v="6"/>
    <s v="Kashmir"/>
  </r>
  <r>
    <s v="B-26098"/>
    <n v="497"/>
    <n v="179"/>
    <n v="0.36016096579476864"/>
    <n v="3"/>
    <x v="0"/>
    <x v="7"/>
    <x v="304"/>
    <s v="Mar-19"/>
    <x v="24"/>
    <x v="6"/>
    <s v="Kashmir"/>
  </r>
  <r>
    <s v="B-26098"/>
    <n v="96"/>
    <n v="48"/>
    <n v="0.5"/>
    <n v="5"/>
    <x v="1"/>
    <x v="11"/>
    <x v="304"/>
    <s v="Mar-19"/>
    <x v="24"/>
    <x v="6"/>
    <s v="Kashmir"/>
  </r>
  <r>
    <s v="B-26098"/>
    <n v="409"/>
    <n v="86"/>
    <n v="0.21026894865525672"/>
    <n v="3"/>
    <x v="1"/>
    <x v="5"/>
    <x v="304"/>
    <s v="Mar-19"/>
    <x v="24"/>
    <x v="6"/>
    <s v="Kashmir"/>
  </r>
  <r>
    <s v="B-26098"/>
    <n v="59"/>
    <n v="15"/>
    <n v="0.25423728813559321"/>
    <n v="2"/>
    <x v="1"/>
    <x v="9"/>
    <x v="304"/>
    <s v="Mar-19"/>
    <x v="24"/>
    <x v="6"/>
    <s v="Kashmir"/>
  </r>
  <r>
    <s v="B-26098"/>
    <n v="46"/>
    <n v="14"/>
    <n v="0.30434782608695654"/>
    <n v="5"/>
    <x v="1"/>
    <x v="16"/>
    <x v="304"/>
    <s v="Mar-19"/>
    <x v="24"/>
    <x v="6"/>
    <s v="Kashmir"/>
  </r>
  <r>
    <s v="B-26099"/>
    <n v="9"/>
    <n v="3"/>
    <n v="0.33333333333333331"/>
    <n v="1"/>
    <x v="1"/>
    <x v="16"/>
    <x v="305"/>
    <s v="Mar-19"/>
    <x v="25"/>
    <x v="1"/>
    <s v="Mumbai"/>
  </r>
  <r>
    <s v="B-26099"/>
    <n v="207"/>
    <n v="37"/>
    <n v="0.17874396135265699"/>
    <n v="4"/>
    <x v="1"/>
    <x v="2"/>
    <x v="305"/>
    <s v="Mar-19"/>
    <x v="25"/>
    <x v="1"/>
    <s v="Mumbai"/>
  </r>
  <r>
    <s v="B-26099"/>
    <n v="835"/>
    <n v="267"/>
    <n v="0.31976047904191618"/>
    <n v="5"/>
    <x v="2"/>
    <x v="4"/>
    <x v="305"/>
    <s v="Mar-19"/>
    <x v="25"/>
    <x v="1"/>
    <s v="Mumbai"/>
  </r>
  <r>
    <s v="B-26099"/>
    <n v="2366"/>
    <n v="552"/>
    <n v="0.23330515638207946"/>
    <n v="5"/>
    <x v="1"/>
    <x v="6"/>
    <x v="305"/>
    <s v="Mar-19"/>
    <x v="25"/>
    <x v="1"/>
    <s v="Mumbai"/>
  </r>
  <r>
    <s v="B-26100"/>
    <n v="828"/>
    <n v="230"/>
    <n v="0.27777777777777779"/>
    <n v="2"/>
    <x v="0"/>
    <x v="7"/>
    <x v="306"/>
    <s v="Mar-19"/>
    <x v="26"/>
    <x v="2"/>
    <s v="Indore"/>
  </r>
  <r>
    <s v="B-26100"/>
    <n v="34"/>
    <n v="10"/>
    <n v="0.29411764705882354"/>
    <n v="2"/>
    <x v="1"/>
    <x v="9"/>
    <x v="306"/>
    <s v="Mar-19"/>
    <x v="26"/>
    <x v="2"/>
    <s v="Indore"/>
  </r>
  <r>
    <s v="B-26100"/>
    <n v="72"/>
    <n v="16"/>
    <n v="0.22222222222222221"/>
    <n v="2"/>
    <x v="1"/>
    <x v="10"/>
    <x v="306"/>
    <s v="Mar-19"/>
    <x v="26"/>
    <x v="2"/>
    <s v="Indor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58FFB9-B4F1-4C7D-86E4-C47C39317019}" name="PivotTable13" cacheId="6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6:A7"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18">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_Project.xlsx!tbl_details5">
        <x15:activeTabTopLevelEntity name="[tbl_details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7D0852-4A3C-426D-9AE2-E8A9A6819CD4}" name="PivotTable12"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Revenue" fld="0" baseField="0" baseItem="0" numFmtId="165"/>
  </dataFields>
  <formats count="1">
    <format dxfId="28">
      <pivotArea outline="0" collapsedLevelsAreSubtotals="1" fieldPosition="0"/>
    </format>
  </formats>
  <pivotHierarchies count="18">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_Project.xlsx!tbl_details5">
        <x15:activeTabTopLevelEntity name="[tbl_details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8D5269-A1DE-40B3-8888-6E5D2B34E771}" name="PivotTable15"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4:A1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g Order Value" fld="0" subtotal="count" baseField="0" baseItem="0"/>
  </dataFields>
  <pivotHierarchies count="18">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caption="Avg Order Value"/>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_Project.xlsx!tbl_details5">
        <x15:activeTabTopLevelEntity name="[tbl_details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4F60B8-58FC-4A13-BED1-C0280AFC9D27}" name="PivotTable14" cacheId="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0:A1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Profit" fld="0" baseField="0" baseItem="0" numFmtId="165"/>
  </dataFields>
  <formats count="1">
    <format dxfId="29">
      <pivotArea outline="0" collapsedLevelsAreSubtotals="1" fieldPosition="0"/>
    </format>
  </formats>
  <pivotHierarchies count="18">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_Project.xlsx!tbl_details5">
        <x15:activeTabTopLevelEntity name="[tbl_details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4535B9-35E1-400F-9260-F251265FCC99}" name="PivotTable3"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4:B45" firstHeaderRow="1" firstDataRow="1" firstDataCol="1"/>
  <pivotFields count="14">
    <pivotField showAll="0"/>
    <pivotField dataField="1" numFmtId="164" showAll="0"/>
    <pivotField numFmtId="164" showAll="0"/>
    <pivotField numFmtId="9"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measureFilter="1" sortType="ascending">
      <items count="20">
        <item x="4"/>
        <item x="8"/>
        <item x="7"/>
        <item x="14"/>
        <item x="3"/>
        <item x="11"/>
        <item x="16"/>
        <item x="1"/>
        <item x="2"/>
        <item x="10"/>
        <item x="5"/>
        <item x="6"/>
        <item x="13"/>
        <item x="12"/>
        <item x="0"/>
        <item x="15"/>
        <item x="18"/>
        <item x="9"/>
        <item x="17"/>
        <item t="default"/>
      </items>
      <autoSortScope>
        <pivotArea dataOnly="0" outline="0" fieldPosition="0">
          <references count="1">
            <reference field="4294967294" count="1" selected="0">
              <x v="0"/>
            </reference>
          </references>
        </pivotArea>
      </autoSortScope>
    </pivotField>
    <pivotField showAll="0"/>
    <pivotField showAll="0">
      <items count="7">
        <item sd="0" x="0"/>
        <item sd="0" x="1"/>
        <item sd="0" x="2"/>
        <item sd="0" x="3"/>
        <item sd="0" x="4"/>
        <item sd="0" x="5"/>
        <item t="default"/>
      </items>
    </pivotField>
    <pivotField showAll="0">
      <items count="5">
        <item sd="0" x="0"/>
        <item x="1"/>
        <item x="2"/>
        <item sd="0" x="3"/>
        <item t="default"/>
      </items>
    </pivotField>
  </pivotFields>
  <rowFields count="1">
    <field x="10"/>
  </rowFields>
  <rowItems count="11">
    <i>
      <x v="9"/>
    </i>
    <i>
      <x/>
    </i>
    <i>
      <x v="10"/>
    </i>
    <i>
      <x v="5"/>
    </i>
    <i>
      <x v="14"/>
    </i>
    <i>
      <x v="4"/>
    </i>
    <i>
      <x v="1"/>
    </i>
    <i>
      <x v="16"/>
    </i>
    <i>
      <x v="7"/>
    </i>
    <i>
      <x v="8"/>
    </i>
    <i t="grand">
      <x/>
    </i>
  </rowItems>
  <colItems count="1">
    <i/>
  </colItems>
  <dataFields count="1">
    <dataField name="Sum of Revenue" fld="1" baseField="0" baseItem="0" numFmtId="170"/>
  </dataFields>
  <formats count="1">
    <format dxfId="24">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283443-B999-452F-8DBA-CE29363484E9}" name="PivotTable2"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21:B25" firstHeaderRow="1" firstDataRow="1" firstDataCol="1"/>
  <pivotFields count="14">
    <pivotField showAll="0"/>
    <pivotField dataField="1" numFmtId="164" showAll="0"/>
    <pivotField numFmtId="164" showAll="0"/>
    <pivotField numFmtId="9" showAll="0"/>
    <pivotField showAll="0"/>
    <pivotField axis="axisRow" showAll="0">
      <items count="4">
        <item x="1"/>
        <item x="2"/>
        <item x="0"/>
        <item t="default"/>
      </items>
    </pivotField>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s>
  <rowFields count="1">
    <field x="5"/>
  </rowFields>
  <rowItems count="4">
    <i>
      <x/>
    </i>
    <i>
      <x v="1"/>
    </i>
    <i>
      <x v="2"/>
    </i>
    <i t="grand">
      <x/>
    </i>
  </rowItems>
  <colItems count="1">
    <i/>
  </colItems>
  <dataFields count="1">
    <dataField name="Sum of Revenue" fld="1" baseField="0" baseItem="0" numFmtId="170"/>
  </dataFields>
  <formats count="1">
    <format dxfId="2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53862D-937C-4023-B05A-F3BDFD0EB362}" name="PivotTable6"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88:B92" firstHeaderRow="1" firstDataRow="1" firstDataCol="1"/>
  <pivotFields count="14">
    <pivotField showAll="0"/>
    <pivotField numFmtId="164" showAll="0"/>
    <pivotField dataField="1" numFmtId="164" showAll="0"/>
    <pivotField numFmtId="9" showAll="0"/>
    <pivotField showAll="0"/>
    <pivotField axis="axisRow" showAll="0">
      <items count="4">
        <item x="1"/>
        <item x="2"/>
        <item x="0"/>
        <item t="default"/>
      </items>
    </pivotField>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s>
  <rowFields count="1">
    <field x="5"/>
  </rowFields>
  <rowItems count="4">
    <i>
      <x/>
    </i>
    <i>
      <x v="1"/>
    </i>
    <i>
      <x v="2"/>
    </i>
    <i t="grand">
      <x/>
    </i>
  </rowItems>
  <colItems count="1">
    <i/>
  </colItems>
  <dataFields count="1">
    <dataField name="Sum of Profit" fld="2" baseField="0" baseItem="0" numFmtId="170"/>
  </dataFields>
  <formats count="1">
    <format dxfId="21">
      <pivotArea outline="0" collapsedLevelsAreSubtotals="1" fieldPosition="0"/>
    </format>
  </format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3B3D8C-81FD-436C-A0E3-22EB21707661}" name="PivotTable1"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16" firstHeaderRow="1" firstDataRow="1" firstDataCol="1"/>
  <pivotFields count="14">
    <pivotField showAll="0"/>
    <pivotField dataField="1" numFmtId="164" showAll="0"/>
    <pivotField numFmtId="164" showAll="0"/>
    <pivotField numFmtId="9"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2">
    <field x="13"/>
    <field x="7"/>
  </rowFields>
  <rowItems count="15">
    <i>
      <x v="1"/>
    </i>
    <i r="1">
      <x v="4"/>
    </i>
    <i r="1">
      <x v="5"/>
    </i>
    <i r="1">
      <x v="6"/>
    </i>
    <i r="1">
      <x v="7"/>
    </i>
    <i r="1">
      <x v="8"/>
    </i>
    <i r="1">
      <x v="9"/>
    </i>
    <i r="1">
      <x v="10"/>
    </i>
    <i r="1">
      <x v="11"/>
    </i>
    <i r="1">
      <x v="12"/>
    </i>
    <i>
      <x v="2"/>
    </i>
    <i r="1">
      <x v="1"/>
    </i>
    <i r="1">
      <x v="2"/>
    </i>
    <i r="1">
      <x v="3"/>
    </i>
    <i t="grand">
      <x/>
    </i>
  </rowItems>
  <colItems count="1">
    <i/>
  </colItems>
  <dataFields count="1">
    <dataField name="Sum of Revenue" fld="1" baseField="0" baseItem="0" numFmtId="170"/>
  </dataFields>
  <formats count="2">
    <format dxfId="27">
      <pivotArea dataOnly="0" labelOnly="1" outline="0" axis="axisValues" fieldPosition="0"/>
    </format>
    <format dxfId="2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72E995E-2BF5-4B79-9965-417AD943C41A}" name="PivotTable5"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71:C82" firstHeaderRow="0" firstDataRow="1" firstDataCol="1"/>
  <pivotFields count="14">
    <pivotField showAll="0"/>
    <pivotField dataField="1" numFmtId="164" showAll="0"/>
    <pivotField numFmtId="164" showAll="0"/>
    <pivotField numFmtId="9"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axis="axisRow" showAll="0" measureFilter="1" sortType="descending">
      <items count="333">
        <item x="105"/>
        <item x="7"/>
        <item x="250"/>
        <item x="205"/>
        <item x="227"/>
        <item x="79"/>
        <item x="224"/>
        <item x="258"/>
        <item x="168"/>
        <item x="108"/>
        <item x="162"/>
        <item x="47"/>
        <item x="253"/>
        <item x="41"/>
        <item x="88"/>
        <item x="71"/>
        <item x="124"/>
        <item x="129"/>
        <item x="273"/>
        <item x="145"/>
        <item x="136"/>
        <item x="121"/>
        <item x="95"/>
        <item x="32"/>
        <item x="256"/>
        <item x="228"/>
        <item x="310"/>
        <item x="225"/>
        <item x="208"/>
        <item x="115"/>
        <item x="219"/>
        <item x="118"/>
        <item x="10"/>
        <item x="66"/>
        <item x="184"/>
        <item x="331"/>
        <item x="197"/>
        <item x="322"/>
        <item x="125"/>
        <item x="150"/>
        <item x="50"/>
        <item x="297"/>
        <item x="242"/>
        <item x="204"/>
        <item x="187"/>
        <item x="128"/>
        <item x="230"/>
        <item x="328"/>
        <item x="72"/>
        <item x="210"/>
        <item x="231"/>
        <item x="180"/>
        <item x="154"/>
        <item x="36"/>
        <item x="214"/>
        <item x="135"/>
        <item x="169"/>
        <item x="22"/>
        <item x="312"/>
        <item x="172"/>
        <item x="78"/>
        <item x="131"/>
        <item x="77"/>
        <item x="86"/>
        <item x="0"/>
        <item x="257"/>
        <item x="14"/>
        <item x="80"/>
        <item x="25"/>
        <item x="239"/>
        <item x="281"/>
        <item x="247"/>
        <item x="75"/>
        <item x="69"/>
        <item x="64"/>
        <item x="292"/>
        <item x="226"/>
        <item x="49"/>
        <item x="132"/>
        <item x="240"/>
        <item x="20"/>
        <item x="137"/>
        <item x="185"/>
        <item x="198"/>
        <item x="126"/>
        <item x="170"/>
        <item x="276"/>
        <item x="3"/>
        <item x="178"/>
        <item x="249"/>
        <item x="238"/>
        <item x="237"/>
        <item x="323"/>
        <item x="160"/>
        <item x="76"/>
        <item x="52"/>
        <item x="223"/>
        <item x="265"/>
        <item x="313"/>
        <item x="278"/>
        <item x="235"/>
        <item x="87"/>
        <item x="140"/>
        <item x="318"/>
        <item x="206"/>
        <item x="5"/>
        <item x="311"/>
        <item x="28"/>
        <item x="325"/>
        <item x="26"/>
        <item x="192"/>
        <item x="116"/>
        <item x="179"/>
        <item x="255"/>
        <item x="2"/>
        <item x="288"/>
        <item x="262"/>
        <item x="271"/>
        <item x="259"/>
        <item x="295"/>
        <item x="305"/>
        <item x="8"/>
        <item x="220"/>
        <item x="266"/>
        <item x="329"/>
        <item x="15"/>
        <item x="269"/>
        <item x="138"/>
        <item x="330"/>
        <item x="4"/>
        <item x="119"/>
        <item x="42"/>
        <item x="104"/>
        <item x="232"/>
        <item x="207"/>
        <item x="96"/>
        <item x="81"/>
        <item x="191"/>
        <item x="221"/>
        <item x="38"/>
        <item x="122"/>
        <item x="73"/>
        <item x="98"/>
        <item x="194"/>
        <item x="229"/>
        <item x="31"/>
        <item x="307"/>
        <item x="314"/>
        <item x="17"/>
        <item x="113"/>
        <item x="317"/>
        <item x="243"/>
        <item x="43"/>
        <item x="106"/>
        <item x="153"/>
        <item x="291"/>
        <item x="70"/>
        <item x="147"/>
        <item x="148"/>
        <item x="279"/>
        <item x="21"/>
        <item x="251"/>
        <item x="209"/>
        <item x="161"/>
        <item x="241"/>
        <item x="215"/>
        <item x="316"/>
        <item x="12"/>
        <item x="293"/>
        <item x="298"/>
        <item x="114"/>
        <item x="326"/>
        <item x="134"/>
        <item x="270"/>
        <item x="54"/>
        <item x="34"/>
        <item x="285"/>
        <item x="203"/>
        <item x="315"/>
        <item x="143"/>
        <item x="35"/>
        <item x="141"/>
        <item x="93"/>
        <item x="151"/>
        <item x="189"/>
        <item x="319"/>
        <item x="301"/>
        <item x="211"/>
        <item x="234"/>
        <item x="39"/>
        <item x="309"/>
        <item x="40"/>
        <item x="90"/>
        <item x="327"/>
        <item x="303"/>
        <item x="37"/>
        <item x="324"/>
        <item x="1"/>
        <item x="263"/>
        <item x="24"/>
        <item x="68"/>
        <item x="308"/>
        <item x="27"/>
        <item x="62"/>
        <item x="260"/>
        <item x="275"/>
        <item x="127"/>
        <item x="195"/>
        <item x="212"/>
        <item x="321"/>
        <item x="300"/>
        <item x="63"/>
        <item x="264"/>
        <item x="55"/>
        <item x="142"/>
        <item x="48"/>
        <item x="283"/>
        <item x="109"/>
        <item x="18"/>
        <item x="133"/>
        <item x="89"/>
        <item x="67"/>
        <item x="123"/>
        <item x="30"/>
        <item x="100"/>
        <item x="200"/>
        <item x="167"/>
        <item x="165"/>
        <item x="53"/>
        <item x="16"/>
        <item x="29"/>
        <item x="171"/>
        <item x="107"/>
        <item x="302"/>
        <item x="82"/>
        <item x="196"/>
        <item x="272"/>
        <item x="158"/>
        <item x="33"/>
        <item x="84"/>
        <item x="152"/>
        <item x="58"/>
        <item x="244"/>
        <item x="19"/>
        <item x="252"/>
        <item x="176"/>
        <item x="236"/>
        <item x="163"/>
        <item x="306"/>
        <item x="99"/>
        <item x="294"/>
        <item x="46"/>
        <item x="289"/>
        <item x="246"/>
        <item x="83"/>
        <item x="57"/>
        <item x="282"/>
        <item x="177"/>
        <item x="139"/>
        <item x="166"/>
        <item x="103"/>
        <item x="182"/>
        <item x="146"/>
        <item x="74"/>
        <item x="155"/>
        <item x="304"/>
        <item x="11"/>
        <item x="59"/>
        <item x="130"/>
        <item x="97"/>
        <item x="101"/>
        <item x="201"/>
        <item x="173"/>
        <item x="280"/>
        <item x="277"/>
        <item x="213"/>
        <item x="159"/>
        <item x="217"/>
        <item x="6"/>
        <item x="45"/>
        <item x="218"/>
        <item x="149"/>
        <item x="222"/>
        <item x="111"/>
        <item x="110"/>
        <item x="60"/>
        <item x="91"/>
        <item x="183"/>
        <item x="284"/>
        <item x="92"/>
        <item x="261"/>
        <item x="174"/>
        <item x="175"/>
        <item x="267"/>
        <item x="188"/>
        <item x="245"/>
        <item x="112"/>
        <item x="254"/>
        <item x="156"/>
        <item x="193"/>
        <item x="216"/>
        <item x="61"/>
        <item x="85"/>
        <item x="102"/>
        <item x="290"/>
        <item x="202"/>
        <item x="65"/>
        <item x="164"/>
        <item x="199"/>
        <item x="299"/>
        <item x="296"/>
        <item x="56"/>
        <item x="120"/>
        <item x="51"/>
        <item x="268"/>
        <item x="190"/>
        <item x="144"/>
        <item x="157"/>
        <item x="13"/>
        <item x="248"/>
        <item x="94"/>
        <item x="233"/>
        <item x="286"/>
        <item x="23"/>
        <item x="186"/>
        <item x="274"/>
        <item x="287"/>
        <item x="117"/>
        <item x="44"/>
        <item x="181"/>
        <item x="9"/>
        <item x="320"/>
        <item t="default"/>
      </items>
      <autoSortScope>
        <pivotArea dataOnly="0" outline="0" fieldPosition="0">
          <references count="1">
            <reference field="4294967294" count="1" selected="0">
              <x v="0"/>
            </reference>
          </references>
        </pivotArea>
      </autoSortScope>
    </pivotField>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s>
  <rowFields count="1">
    <field x="9"/>
  </rowFields>
  <rowItems count="11">
    <i>
      <x v="328"/>
    </i>
    <i>
      <x v="202"/>
    </i>
    <i>
      <x v="8"/>
    </i>
    <i>
      <x v="296"/>
    </i>
    <i>
      <x v="281"/>
    </i>
    <i>
      <x v="103"/>
    </i>
    <i>
      <x v="213"/>
    </i>
    <i>
      <x v="267"/>
    </i>
    <i>
      <x v="6"/>
    </i>
    <i>
      <x v="243"/>
    </i>
    <i t="grand">
      <x/>
    </i>
  </rowItems>
  <colFields count="1">
    <field x="-2"/>
  </colFields>
  <colItems count="2">
    <i>
      <x/>
    </i>
    <i i="1">
      <x v="1"/>
    </i>
  </colItems>
  <dataFields count="2">
    <dataField name="Sum of Revenue" fld="1" baseField="0" baseItem="0" numFmtId="170"/>
    <dataField name="Customer Rank" fld="1" baseField="9" baseItem="0">
      <extLst>
        <ext xmlns:x14="http://schemas.microsoft.com/office/spreadsheetml/2009/9/main" uri="{E15A36E0-9728-4e99-A89B-3F7291B0FE68}">
          <x14:dataField pivotShowAs="rankDescending"/>
        </ext>
      </extLst>
    </dataField>
  </dataFields>
  <formats count="1">
    <format dxfId="22">
      <pivotArea outline="0" collapsedLevelsAreSubtotals="1"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0C36DA-9BC9-40F4-97C3-43D0187F5C8A}" name="PivotTable4"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55:B61" firstHeaderRow="1" firstDataRow="1" firstDataCol="1"/>
  <pivotFields count="14">
    <pivotField showAll="0"/>
    <pivotField dataField="1" numFmtId="164" showAll="0"/>
    <pivotField numFmtId="164" showAll="0"/>
    <pivotField numFmtId="9" showAll="0"/>
    <pivotField showAll="0"/>
    <pivotField showAll="0"/>
    <pivotField axis="axisRow" showAll="0" measureFilter="1" sortType="descending">
      <items count="18">
        <item x="14"/>
        <item x="0"/>
        <item x="7"/>
        <item x="3"/>
        <item x="15"/>
        <item x="2"/>
        <item x="8"/>
        <item x="11"/>
        <item x="4"/>
        <item x="13"/>
        <item x="5"/>
        <item x="10"/>
        <item x="16"/>
        <item x="1"/>
        <item x="12"/>
        <item x="6"/>
        <item x="9"/>
        <item t="default"/>
      </items>
      <autoSortScope>
        <pivotArea dataOnly="0" outline="0" fieldPosition="0">
          <references count="1">
            <reference field="4294967294" count="1" selected="0">
              <x v="0"/>
            </reference>
          </references>
        </pivotArea>
      </autoSortScope>
    </pivotField>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s>
  <rowFields count="1">
    <field x="6"/>
  </rowFields>
  <rowItems count="6">
    <i>
      <x v="9"/>
    </i>
    <i>
      <x v="1"/>
    </i>
    <i>
      <x v="10"/>
    </i>
    <i>
      <x v="8"/>
    </i>
    <i>
      <x v="3"/>
    </i>
    <i t="grand">
      <x/>
    </i>
  </rowItems>
  <colItems count="1">
    <i/>
  </colItems>
  <dataFields count="1">
    <dataField name="Sum of Revenue" fld="1" baseField="0" baseItem="0" numFmtId="170"/>
  </dataFields>
  <formats count="1">
    <format dxfId="23">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9186EABC-7EC7-4782-A91C-4068A677D38C}" sourceName="[tbl_details5].[Order Month]">
  <pivotTables>
    <pivotTable tabId="8" name="PivotTable12"/>
    <pivotTable tabId="8" name="PivotTable13"/>
    <pivotTable tabId="8" name="PivotTable14"/>
    <pivotTable tabId="8" name="PivotTable15"/>
  </pivotTables>
  <data>
    <olap pivotCacheId="1942032665">
      <levels count="2">
        <level uniqueName="[tbl_details5].[Order Month].[(All)]" sourceCaption="(All)" count="0"/>
        <level uniqueName="[tbl_details5].[Order Month].[Order Month]" sourceCaption="Order Month" count="12">
          <ranges>
            <range startItem="0">
              <i n="[tbl_details5].[Order Month].&amp;[Apr-18]" c="Apr-18"/>
              <i n="[tbl_details5].[Order Month].&amp;[Aug-18]" c="Aug-18"/>
              <i n="[tbl_details5].[Order Month].&amp;[Dec-18]" c="Dec-18"/>
              <i n="[tbl_details5].[Order Month].&amp;[Feb-19]" c="Feb-19"/>
              <i n="[tbl_details5].[Order Month].&amp;[Jan-19]" c="Jan-19"/>
              <i n="[tbl_details5].[Order Month].&amp;[Jul-18]" c="Jul-18"/>
              <i n="[tbl_details5].[Order Month].&amp;[Jun-18]" c="Jun-18"/>
              <i n="[tbl_details5].[Order Month].&amp;[Mar-19]" c="Mar-19"/>
              <i n="[tbl_details5].[Order Month].&amp;[May-18]" c="May-18"/>
              <i n="[tbl_details5].[Order Month].&amp;[Nov-18]" c="Nov-18"/>
              <i n="[tbl_details5].[Order Month].&amp;[Oct-18]" c="Oct-18"/>
              <i n="[tbl_details5].[Order Month].&amp;[Sep-18]" c="Sep-18"/>
            </range>
          </ranges>
        </level>
      </levels>
      <selections count="1">
        <selection n="[tbl_details5].[Order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1DB0C88-DF35-482D-A5A6-F5A27AAD9E3D}" sourceName="[tbl_details5].[Category]">
  <pivotTables>
    <pivotTable tabId="8" name="PivotTable12"/>
    <pivotTable tabId="8" name="PivotTable13"/>
    <pivotTable tabId="8" name="PivotTable14"/>
    <pivotTable tabId="8" name="PivotTable15"/>
  </pivotTables>
  <data>
    <olap pivotCacheId="1942032665">
      <levels count="2">
        <level uniqueName="[tbl_details5].[Category].[(All)]" sourceCaption="(All)" count="0"/>
        <level uniqueName="[tbl_details5].[Category].[Category]" sourceCaption="Category" count="3">
          <ranges>
            <range startItem="0">
              <i n="[tbl_details5].[Category].&amp;[Clothing]" c="Clothing"/>
              <i n="[tbl_details5].[Category].&amp;[Electronics]" c="Electronics"/>
              <i n="[tbl_details5].[Category].&amp;[Furniture]" c="Furniture"/>
            </range>
          </ranges>
        </level>
      </levels>
      <selections count="1">
        <selection n="[tbl_details5].[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4AA65761-EFAC-4600-96E7-4A992574AE6D}" cache="Slicer_Order_Month" caption="Order Month" startItem="3" level="1" rowHeight="241300"/>
  <slicer name="Category" xr10:uid="{EC88A95C-CC35-46CE-8C86-0E8558CA86A7}" cache="Slicer_Category" caption="Category"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A8A9F8-F316-401A-8332-5750F0F2417B}" name="Table1" displayName="Table1" ref="A1:F501" totalsRowShown="0">
  <autoFilter ref="A1:F501" xr:uid="{7F7CA21F-8351-4557-93DB-8119BFA56AEC}"/>
  <tableColumns count="6">
    <tableColumn id="1" xr3:uid="{0AA1B6BD-B234-409A-A697-271EA434494E}" name="Order ID"/>
    <tableColumn id="2" xr3:uid="{307E06F7-DCEF-4C7D-AFAD-2305012BD4BF}" name="Order Date" dataDxfId="42"/>
    <tableColumn id="6" xr3:uid="{DAC460BE-5E13-4531-A672-E41B70F38053}" name="Order Month" dataDxfId="41">
      <calculatedColumnFormula>TEXT(Table1[[#This Row],[Order Date]],"mmm-yy")</calculatedColumnFormula>
    </tableColumn>
    <tableColumn id="3" xr3:uid="{9D7D7508-FF6D-4EFF-B73A-929CB77B454E}" name="CustomerName"/>
    <tableColumn id="4" xr3:uid="{B39512E1-E9CE-4238-98A8-94CE4311CDE2}" name="State"/>
    <tableColumn id="5" xr3:uid="{440A6173-5234-4053-B4E2-23C9BA168EEF}" name="Cit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AE75D1-97BA-4BD6-B72A-8F999539CF80}" name="tbl_details" displayName="tbl_details" ref="A1:F1501" totalsRowShown="0">
  <autoFilter ref="A1:F1501" xr:uid="{ED140881-0727-42D3-87C8-2398902569B0}"/>
  <tableColumns count="6">
    <tableColumn id="1" xr3:uid="{62351F05-179F-43BD-BE0B-601E801D9AD7}" name="Order ID"/>
    <tableColumn id="2" xr3:uid="{79AB64B7-5F38-4451-B7CE-582CF0D0C87B}" name="Amount"/>
    <tableColumn id="3" xr3:uid="{A1351404-A196-48C8-9215-2F19B88E8139}" name="Profit"/>
    <tableColumn id="4" xr3:uid="{E8E14421-857A-4B08-8DD9-F4FA29979738}" name="Quantity"/>
    <tableColumn id="5" xr3:uid="{45D5A8FB-44E1-48A9-9C0C-3D5E69F9A343}" name="Category"/>
    <tableColumn id="6" xr3:uid="{701AC6DD-E57A-4EAA-B3CE-BDD38609D814}" name="Sub-Category"/>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461463-06DA-4A07-9159-034527A0AD5F}" name="tbl_target" displayName="tbl_target" ref="A1:C37" totalsRowShown="0">
  <autoFilter ref="A1:C37" xr:uid="{66AEAE9D-B2A7-4390-93B2-2866AEFC86C5}"/>
  <tableColumns count="3">
    <tableColumn id="1" xr3:uid="{C1CAB114-902F-433F-A57F-54BC367C329C}" name="Order Month" dataDxfId="40"/>
    <tableColumn id="2" xr3:uid="{2EF0C3C0-21E1-4AE2-BDA4-58A2F29E4308}" name="Category"/>
    <tableColumn id="3" xr3:uid="{DDE222FD-7196-483D-8E2C-133C90C42CF2}" name="Target"/>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2CB677-4CAE-4125-A5C2-131EB2DE2390}" name="tbl_details5" displayName="tbl_details5" ref="A1:L1501" totalsRowShown="0">
  <autoFilter ref="A1:L1501" xr:uid="{46F31705-09E8-435A-B829-7F3C6E4D70EF}"/>
  <tableColumns count="12">
    <tableColumn id="1" xr3:uid="{82D4734C-D028-426F-BDA1-40225603A986}" name="Order ID"/>
    <tableColumn id="2" xr3:uid="{2CD564DA-50D9-449A-A0C8-0FDA975D2E16}" name="Revenue" dataDxfId="39"/>
    <tableColumn id="3" xr3:uid="{AA76E655-75F7-4AE9-A8AE-458707A328B1}" name="Profit" dataDxfId="38"/>
    <tableColumn id="13" xr3:uid="{BB244D78-778D-404B-BE0E-7EBA37E03FA1}" name="Profit %" dataCellStyle="Percent">
      <calculatedColumnFormula>tbl_details5[[#This Row],[Profit]]/tbl_details5[[#This Row],[Revenue]]</calculatedColumnFormula>
    </tableColumn>
    <tableColumn id="4" xr3:uid="{3A7D2A8D-60FE-4019-98E3-5E4B886E5100}" name="Quantity"/>
    <tableColumn id="5" xr3:uid="{244B3C4D-977E-461E-9D6A-D383A5C4FF20}" name="Category"/>
    <tableColumn id="6" xr3:uid="{DF1E2AD1-F284-4467-96E1-34A753D2D87D}" name="Sub-Category"/>
    <tableColumn id="7" xr3:uid="{6C6D2981-C0FA-4C70-9C13-0E9EE4B739A0}" name="Order Date" dataDxfId="37">
      <calculatedColumnFormula>VLOOKUP(tbl_details5[[#This Row],[Order ID]],Orders!A:F,2,FALSE)</calculatedColumnFormula>
    </tableColumn>
    <tableColumn id="11" xr3:uid="{0652316F-A0F3-422A-B308-0C6F1CAEA238}" name="Order Month " dataDxfId="36">
      <calculatedColumnFormula>TEXT(tbl_details5[[#This Row],[Order Date]],"mmm-yy")</calculatedColumnFormula>
    </tableColumn>
    <tableColumn id="8" xr3:uid="{6381AE75-E96A-4A02-ABF7-326DAB4C0CDD}" name="Customer Name" dataDxfId="35">
      <calculatedColumnFormula>VLOOKUP(tbl_details5[[#This Row],[Order ID]],Table1[],4,FALSE)</calculatedColumnFormula>
    </tableColumn>
    <tableColumn id="9" xr3:uid="{B28218FE-DED7-404E-A306-520B4913AD30}" name="State" dataDxfId="34">
      <calculatedColumnFormula>VLOOKUP(tbl_details5[[#This Row],[Order ID]],Table1[],5,FALSE)</calculatedColumnFormula>
    </tableColumn>
    <tableColumn id="10" xr3:uid="{FFD29A6D-96CC-44EF-B6BD-0EA4EC3153C0}" name="City" dataDxfId="33">
      <calculatedColumnFormula>VLOOKUP(tbl_details5[[#This Row],[Order ID]],Table1[],6,FALSE)</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A21371-282C-44A2-9CE3-2785614A9904}" name="Table5" displayName="Table5" ref="A2:C14" totalsRowShown="0">
  <autoFilter ref="A2:C14" xr:uid="{528E0D4F-0904-4560-BF83-5EC878C42B50}"/>
  <tableColumns count="3">
    <tableColumn id="1" xr3:uid="{BF068DA1-AE55-4EDC-809D-328D5F726DA5}" name="Order Month" dataDxfId="9"/>
    <tableColumn id="2" xr3:uid="{7C14977B-96BD-44B6-A6D9-A844653292E1}" name="Total Revenue" dataDxfId="7">
      <calculatedColumnFormula>SUMIF(tbl_details5[[Order Month ]],Table5[[#This Row],[Order Month]],tbl_details5[Revenue])</calculatedColumnFormula>
    </tableColumn>
    <tableColumn id="3" xr3:uid="{6E4032D4-BA4C-4294-8CD6-42B49CF8B714}" name="Total Orders" dataDxfId="8">
      <calculatedColumnFormula>COUNTIF(tbl_details5[[Order Month ]],Table5[[#This Row],[Order Month]])</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47CAFFD-71AB-4985-BA94-219494E5DCB2}" name="Table6" displayName="Table6" ref="A19:G31" totalsRowShown="0" headerRowDxfId="32" dataDxfId="31" tableBorderDxfId="30" dataCellStyle="Percent">
  <autoFilter ref="A19:G31" xr:uid="{B7F6F36C-3908-4581-836B-41234CE05961}"/>
  <tableColumns count="7">
    <tableColumn id="1" xr3:uid="{D16FACA8-4ADC-4D1E-A14E-BB0900252418}" name="Order Month" dataDxfId="16"/>
    <tableColumn id="2" xr3:uid="{AEF819DA-16F4-4F01-B7CD-61B31E1C9E86}" name="Furniture" dataDxfId="15" dataCellStyle="Currency">
      <calculatedColumnFormula>SUMIFS(tbl_details5[Revenue],tbl_details5[[Order Month ]],Table6[[#This Row],[Order Month]],tbl_details5[Category],Table6[[#Headers],[Furniture]])</calculatedColumnFormula>
    </tableColumn>
    <tableColumn id="3" xr3:uid="{6DA79A7D-6F56-4C45-A645-06ABEC9296A1}" name="Clothing" dataDxfId="14" dataCellStyle="Currency">
      <calculatedColumnFormula>SUMIFS(tbl_details5[Revenue],tbl_details5[[Order Month ]],Table6[[#This Row],[Order Month]],tbl_details5[Category],Table6[[#Headers],[Clothing]])</calculatedColumnFormula>
    </tableColumn>
    <tableColumn id="4" xr3:uid="{6602D7F6-86D1-4C41-9451-085C1AB41E11}" name="Electronics" dataDxfId="13" dataCellStyle="Currency">
      <calculatedColumnFormula>SUMIFS(tbl_details5[Revenue],tbl_details5[[Order Month ]],Table6[[#This Row],[Order Month]],tbl_details5[Category],Table6[[#Headers],[Electronics]])</calculatedColumnFormula>
    </tableColumn>
    <tableColumn id="5" xr3:uid="{060B55A2-330A-4118-84E3-F495862B06C9}" name="Target Furniture" dataDxfId="12" dataCellStyle="Currency">
      <calculatedColumnFormula array="1">INDEX(Sales_Target!$C:$C, MATCH(1, (Sales_Target!$A:$A=$A20)*(Sales_Target!$B:$B="Furniture"), 0))</calculatedColumnFormula>
    </tableColumn>
    <tableColumn id="6" xr3:uid="{F07AB4E0-6DA1-4528-8E8B-E46E540395B2}" name="Target Clothing" dataDxfId="11" dataCellStyle="Currency">
      <calculatedColumnFormula array="1">INDEX(Sales_Target!$C:$C,MATCH(1,(Sales_Target!$A:$A=$A20)*(Sales_Target!$B:$B="Clothing"),0))</calculatedColumnFormula>
    </tableColumn>
    <tableColumn id="7" xr3:uid="{9554C4DF-BEE5-44D6-A0A1-D12FEFE26DD2}" name="Target Electronics" dataDxfId="10" dataCellStyle="Currency">
      <calculatedColumnFormula array="1">INDEX(Sales_Target!$C:$C,MATCH(1,(Sales_Target!$A:$A=$A20)*(Sales_Target!B:B="Electronics"),0))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53F7D98-EE4B-4C7B-B17D-1E8306FDF253}" name="Table7" displayName="Table7" ref="A44:B376" totalsRowShown="0">
  <autoFilter ref="A44:B376" xr:uid="{4D767F21-9B27-4DFF-AF50-BC1B0AB724EE}">
    <filterColumn colId="1">
      <top10 val="5" filterVal="6869"/>
    </filterColumn>
  </autoFilter>
  <tableColumns count="2">
    <tableColumn id="1" xr3:uid="{87A6E7C2-5BFC-4DB6-A188-CE958AEB57A6}" name="Customer"/>
    <tableColumn id="2" xr3:uid="{B249339D-2CFE-4835-B05C-19ED8C3A198F}" name="Revenue">
      <calculatedColumnFormula>SUMIF(tbl_details5[Customer Name],MIS_Report!A45,tbl_details5[Revenue])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321B5E-03F3-4637-8EA7-AC8AAD934F0F}" name="Table8" displayName="Table8" ref="A36:E39" totalsRowShown="0">
  <autoFilter ref="A36:E39" xr:uid="{2FA42DB0-3624-4355-AB59-96A820D5CBD5}"/>
  <tableColumns count="5">
    <tableColumn id="1" xr3:uid="{3283C01A-D2D7-4A20-A11E-8AA8273A269D}" name="Category"/>
    <tableColumn id="2" xr3:uid="{0B04379A-01AF-436B-ACF6-9FD425EF561A}" name="Actual" dataDxfId="20"/>
    <tableColumn id="3" xr3:uid="{7066CCD9-1052-4E7F-9FD6-66CD20F57D33}" name="Target" dataDxfId="19"/>
    <tableColumn id="4" xr3:uid="{5D576716-38A5-4FB7-9D65-C3C586332B76}" name="Variance" dataDxfId="17">
      <calculatedColumnFormula>B37-C37</calculatedColumnFormula>
    </tableColumn>
    <tableColumn id="5" xr3:uid="{E1017AFA-6C16-4437-8641-FF30F144ED45}" name="Achievement%" dataDxfId="18" dataCellStyle="Percent">
      <calculatedColumnFormula>B37/C37</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drawing" Target="../drawings/drawing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1C7A6-4D94-4EE3-B061-FA8A8B39791E}">
  <sheetPr codeName="Sheet1"/>
  <dimension ref="A1:F501"/>
  <sheetViews>
    <sheetView workbookViewId="0">
      <selection activeCell="I3" sqref="I3"/>
    </sheetView>
  </sheetViews>
  <sheetFormatPr defaultRowHeight="15" x14ac:dyDescent="0.25"/>
  <cols>
    <col min="1" max="1" width="10.5703125" customWidth="1"/>
    <col min="2" max="3" width="12.85546875" customWidth="1"/>
    <col min="4" max="4" width="17" customWidth="1"/>
    <col min="6" max="6" width="19.7109375" bestFit="1" customWidth="1"/>
  </cols>
  <sheetData>
    <row r="1" spans="1:6" x14ac:dyDescent="0.25">
      <c r="A1" t="s">
        <v>0</v>
      </c>
      <c r="B1" t="s">
        <v>1</v>
      </c>
      <c r="C1" t="s">
        <v>904</v>
      </c>
      <c r="D1" t="s">
        <v>2</v>
      </c>
      <c r="E1" t="s">
        <v>3</v>
      </c>
      <c r="F1" t="s">
        <v>4</v>
      </c>
    </row>
    <row r="2" spans="1:6" x14ac:dyDescent="0.25">
      <c r="A2" t="s">
        <v>5</v>
      </c>
      <c r="B2" s="1">
        <v>43191</v>
      </c>
      <c r="C2" s="1" t="str">
        <f>TEXT(Table1[[#This Row],[Order Date]],"mmm-yy")</f>
        <v>Apr-18</v>
      </c>
      <c r="D2" t="s">
        <v>6</v>
      </c>
      <c r="E2" t="s">
        <v>7</v>
      </c>
      <c r="F2" t="s">
        <v>8</v>
      </c>
    </row>
    <row r="3" spans="1:6" x14ac:dyDescent="0.25">
      <c r="A3" t="s">
        <v>9</v>
      </c>
      <c r="B3" s="1">
        <v>43191</v>
      </c>
      <c r="C3" s="1" t="str">
        <f>TEXT(Table1[[#This Row],[Order Date]],"mmm-yy")</f>
        <v>Apr-18</v>
      </c>
      <c r="D3" t="s">
        <v>10</v>
      </c>
      <c r="E3" t="s">
        <v>11</v>
      </c>
      <c r="F3" t="s">
        <v>12</v>
      </c>
    </row>
    <row r="4" spans="1:6" x14ac:dyDescent="0.25">
      <c r="A4" t="s">
        <v>13</v>
      </c>
      <c r="B4" s="1">
        <v>43193</v>
      </c>
      <c r="C4" s="1" t="str">
        <f>TEXT(Table1[[#This Row],[Order Date]],"mmm-yy")</f>
        <v>Apr-18</v>
      </c>
      <c r="D4" t="s">
        <v>14</v>
      </c>
      <c r="E4" t="s">
        <v>15</v>
      </c>
      <c r="F4" t="s">
        <v>16</v>
      </c>
    </row>
    <row r="5" spans="1:6" x14ac:dyDescent="0.25">
      <c r="A5" t="s">
        <v>17</v>
      </c>
      <c r="B5" s="1">
        <v>43193</v>
      </c>
      <c r="C5" s="1" t="str">
        <f>TEXT(Table1[[#This Row],[Order Date]],"mmm-yy")</f>
        <v>Apr-18</v>
      </c>
      <c r="D5" t="s">
        <v>18</v>
      </c>
      <c r="E5" t="s">
        <v>19</v>
      </c>
      <c r="F5" t="s">
        <v>20</v>
      </c>
    </row>
    <row r="6" spans="1:6" x14ac:dyDescent="0.25">
      <c r="A6" t="s">
        <v>21</v>
      </c>
      <c r="B6" s="1">
        <v>43195</v>
      </c>
      <c r="C6" s="1" t="str">
        <f>TEXT(Table1[[#This Row],[Order Date]],"mmm-yy")</f>
        <v>Apr-18</v>
      </c>
      <c r="D6" t="s">
        <v>22</v>
      </c>
      <c r="E6" t="s">
        <v>23</v>
      </c>
      <c r="F6" t="s">
        <v>24</v>
      </c>
    </row>
    <row r="7" spans="1:6" x14ac:dyDescent="0.25">
      <c r="A7" t="s">
        <v>25</v>
      </c>
      <c r="B7" s="1">
        <v>43196</v>
      </c>
      <c r="C7" s="1" t="str">
        <f>TEXT(Table1[[#This Row],[Order Date]],"mmm-yy")</f>
        <v>Apr-18</v>
      </c>
      <c r="D7" t="s">
        <v>26</v>
      </c>
      <c r="E7" t="s">
        <v>27</v>
      </c>
      <c r="F7" t="s">
        <v>28</v>
      </c>
    </row>
    <row r="8" spans="1:6" x14ac:dyDescent="0.25">
      <c r="A8" t="s">
        <v>29</v>
      </c>
      <c r="B8" s="1">
        <v>43196</v>
      </c>
      <c r="C8" s="1" t="str">
        <f>TEXT(Table1[[#This Row],[Order Date]],"mmm-yy")</f>
        <v>Apr-18</v>
      </c>
      <c r="D8" t="s">
        <v>30</v>
      </c>
      <c r="E8" t="s">
        <v>31</v>
      </c>
      <c r="F8" t="s">
        <v>32</v>
      </c>
    </row>
    <row r="9" spans="1:6" x14ac:dyDescent="0.25">
      <c r="A9" t="s">
        <v>33</v>
      </c>
      <c r="B9" s="1">
        <v>43198</v>
      </c>
      <c r="C9" s="1" t="str">
        <f>TEXT(Table1[[#This Row],[Order Date]],"mmm-yy")</f>
        <v>Apr-18</v>
      </c>
      <c r="D9" t="s">
        <v>34</v>
      </c>
      <c r="E9" t="s">
        <v>35</v>
      </c>
      <c r="F9" t="s">
        <v>36</v>
      </c>
    </row>
    <row r="10" spans="1:6" x14ac:dyDescent="0.25">
      <c r="A10" t="s">
        <v>37</v>
      </c>
      <c r="B10" s="1">
        <v>43199</v>
      </c>
      <c r="C10" s="1" t="str">
        <f>TEXT(Table1[[#This Row],[Order Date]],"mmm-yy")</f>
        <v>Apr-18</v>
      </c>
      <c r="D10" t="s">
        <v>38</v>
      </c>
      <c r="E10" t="s">
        <v>39</v>
      </c>
      <c r="F10" t="s">
        <v>40</v>
      </c>
    </row>
    <row r="11" spans="1:6" x14ac:dyDescent="0.25">
      <c r="A11" t="s">
        <v>41</v>
      </c>
      <c r="B11" s="1">
        <v>43199</v>
      </c>
      <c r="C11" s="1" t="str">
        <f>TEXT(Table1[[#This Row],[Order Date]],"mmm-yy")</f>
        <v>Apr-18</v>
      </c>
      <c r="D11" t="s">
        <v>42</v>
      </c>
      <c r="E11" t="s">
        <v>43</v>
      </c>
      <c r="F11" t="s">
        <v>44</v>
      </c>
    </row>
    <row r="12" spans="1:6" x14ac:dyDescent="0.25">
      <c r="A12" t="s">
        <v>45</v>
      </c>
      <c r="B12" s="1">
        <v>43201</v>
      </c>
      <c r="C12" s="1" t="str">
        <f>TEXT(Table1[[#This Row],[Order Date]],"mmm-yy")</f>
        <v>Apr-18</v>
      </c>
      <c r="D12" t="s">
        <v>46</v>
      </c>
      <c r="E12" t="s">
        <v>47</v>
      </c>
      <c r="F12" t="s">
        <v>48</v>
      </c>
    </row>
    <row r="13" spans="1:6" x14ac:dyDescent="0.25">
      <c r="A13" t="s">
        <v>49</v>
      </c>
      <c r="B13" s="1">
        <v>43202</v>
      </c>
      <c r="C13" s="1" t="str">
        <f>TEXT(Table1[[#This Row],[Order Date]],"mmm-yy")</f>
        <v>Apr-18</v>
      </c>
      <c r="D13" t="s">
        <v>50</v>
      </c>
      <c r="E13" t="s">
        <v>51</v>
      </c>
      <c r="F13" t="s">
        <v>52</v>
      </c>
    </row>
    <row r="14" spans="1:6" x14ac:dyDescent="0.25">
      <c r="A14" t="s">
        <v>53</v>
      </c>
      <c r="B14" s="1">
        <v>43202</v>
      </c>
      <c r="C14" s="1" t="str">
        <f>TEXT(Table1[[#This Row],[Order Date]],"mmm-yy")</f>
        <v>Apr-18</v>
      </c>
      <c r="D14" t="s">
        <v>54</v>
      </c>
      <c r="E14" t="s">
        <v>55</v>
      </c>
      <c r="F14" t="s">
        <v>52</v>
      </c>
    </row>
    <row r="15" spans="1:6" x14ac:dyDescent="0.25">
      <c r="A15" t="s">
        <v>56</v>
      </c>
      <c r="B15" s="1">
        <v>43203</v>
      </c>
      <c r="C15" s="1" t="str">
        <f>TEXT(Table1[[#This Row],[Order Date]],"mmm-yy")</f>
        <v>Apr-18</v>
      </c>
      <c r="D15" t="s">
        <v>57</v>
      </c>
      <c r="E15" t="s">
        <v>58</v>
      </c>
      <c r="F15" t="s">
        <v>59</v>
      </c>
    </row>
    <row r="16" spans="1:6" x14ac:dyDescent="0.25">
      <c r="A16" t="s">
        <v>60</v>
      </c>
      <c r="B16" s="1">
        <v>43205</v>
      </c>
      <c r="C16" s="1" t="str">
        <f>TEXT(Table1[[#This Row],[Order Date]],"mmm-yy")</f>
        <v>Apr-18</v>
      </c>
      <c r="D16" t="s">
        <v>61</v>
      </c>
      <c r="E16" t="s">
        <v>62</v>
      </c>
      <c r="F16" t="s">
        <v>63</v>
      </c>
    </row>
    <row r="17" spans="1:6" x14ac:dyDescent="0.25">
      <c r="A17" t="s">
        <v>64</v>
      </c>
      <c r="B17" s="1">
        <v>43205</v>
      </c>
      <c r="C17" s="1" t="str">
        <f>TEXT(Table1[[#This Row],[Order Date]],"mmm-yy")</f>
        <v>Apr-18</v>
      </c>
      <c r="D17" t="s">
        <v>65</v>
      </c>
      <c r="E17" t="s">
        <v>66</v>
      </c>
      <c r="F17" t="s">
        <v>66</v>
      </c>
    </row>
    <row r="18" spans="1:6" x14ac:dyDescent="0.25">
      <c r="A18" t="s">
        <v>67</v>
      </c>
      <c r="B18" s="1">
        <v>43207</v>
      </c>
      <c r="C18" s="1" t="str">
        <f>TEXT(Table1[[#This Row],[Order Date]],"mmm-yy")</f>
        <v>Apr-18</v>
      </c>
      <c r="D18" t="s">
        <v>68</v>
      </c>
      <c r="E18" t="s">
        <v>69</v>
      </c>
      <c r="F18" t="s">
        <v>70</v>
      </c>
    </row>
    <row r="19" spans="1:6" x14ac:dyDescent="0.25">
      <c r="A19" t="s">
        <v>71</v>
      </c>
      <c r="B19" s="1">
        <v>43208</v>
      </c>
      <c r="C19" s="1" t="str">
        <f>TEXT(Table1[[#This Row],[Order Date]],"mmm-yy")</f>
        <v>Apr-18</v>
      </c>
      <c r="D19" t="s">
        <v>72</v>
      </c>
      <c r="E19" t="s">
        <v>73</v>
      </c>
      <c r="F19" t="s">
        <v>74</v>
      </c>
    </row>
    <row r="20" spans="1:6" x14ac:dyDescent="0.25">
      <c r="A20" t="s">
        <v>75</v>
      </c>
      <c r="B20" s="1">
        <v>43208</v>
      </c>
      <c r="C20" s="1" t="str">
        <f>TEXT(Table1[[#This Row],[Order Date]],"mmm-yy")</f>
        <v>Apr-18</v>
      </c>
      <c r="D20" t="s">
        <v>76</v>
      </c>
      <c r="E20" t="s">
        <v>7</v>
      </c>
      <c r="F20" t="s">
        <v>8</v>
      </c>
    </row>
    <row r="21" spans="1:6" x14ac:dyDescent="0.25">
      <c r="A21" t="s">
        <v>77</v>
      </c>
      <c r="B21" s="1">
        <v>43210</v>
      </c>
      <c r="C21" s="1" t="str">
        <f>TEXT(Table1[[#This Row],[Order Date]],"mmm-yy")</f>
        <v>Apr-18</v>
      </c>
      <c r="D21" t="s">
        <v>78</v>
      </c>
      <c r="E21" t="s">
        <v>11</v>
      </c>
      <c r="F21" t="s">
        <v>12</v>
      </c>
    </row>
    <row r="22" spans="1:6" x14ac:dyDescent="0.25">
      <c r="A22" t="s">
        <v>79</v>
      </c>
      <c r="B22" s="1">
        <v>43210</v>
      </c>
      <c r="C22" s="1" t="str">
        <f>TEXT(Table1[[#This Row],[Order Date]],"mmm-yy")</f>
        <v>Apr-18</v>
      </c>
      <c r="D22" t="s">
        <v>80</v>
      </c>
      <c r="E22" t="s">
        <v>15</v>
      </c>
      <c r="F22" t="s">
        <v>16</v>
      </c>
    </row>
    <row r="23" spans="1:6" x14ac:dyDescent="0.25">
      <c r="A23" t="s">
        <v>81</v>
      </c>
      <c r="B23" s="1">
        <v>43212</v>
      </c>
      <c r="C23" s="1" t="str">
        <f>TEXT(Table1[[#This Row],[Order Date]],"mmm-yy")</f>
        <v>Apr-18</v>
      </c>
      <c r="D23" t="s">
        <v>82</v>
      </c>
      <c r="E23" t="s">
        <v>19</v>
      </c>
      <c r="F23" t="s">
        <v>20</v>
      </c>
    </row>
    <row r="24" spans="1:6" x14ac:dyDescent="0.25">
      <c r="A24" t="s">
        <v>83</v>
      </c>
      <c r="B24" s="1">
        <v>43212</v>
      </c>
      <c r="C24" s="1" t="str">
        <f>TEXT(Table1[[#This Row],[Order Date]],"mmm-yy")</f>
        <v>Apr-18</v>
      </c>
      <c r="D24" t="s">
        <v>84</v>
      </c>
      <c r="E24" t="s">
        <v>23</v>
      </c>
      <c r="F24" t="s">
        <v>24</v>
      </c>
    </row>
    <row r="25" spans="1:6" x14ac:dyDescent="0.25">
      <c r="A25" t="s">
        <v>85</v>
      </c>
      <c r="B25" s="1">
        <v>43212</v>
      </c>
      <c r="C25" s="1" t="str">
        <f>TEXT(Table1[[#This Row],[Order Date]],"mmm-yy")</f>
        <v>Apr-18</v>
      </c>
      <c r="D25" t="s">
        <v>86</v>
      </c>
      <c r="E25" t="s">
        <v>27</v>
      </c>
      <c r="F25" t="s">
        <v>28</v>
      </c>
    </row>
    <row r="26" spans="1:6" x14ac:dyDescent="0.25">
      <c r="A26" t="s">
        <v>87</v>
      </c>
      <c r="B26" s="1">
        <v>43213</v>
      </c>
      <c r="C26" s="1" t="str">
        <f>TEXT(Table1[[#This Row],[Order Date]],"mmm-yy")</f>
        <v>Apr-18</v>
      </c>
      <c r="D26" t="s">
        <v>88</v>
      </c>
      <c r="E26" t="s">
        <v>31</v>
      </c>
      <c r="F26" t="s">
        <v>32</v>
      </c>
    </row>
    <row r="27" spans="1:6" x14ac:dyDescent="0.25">
      <c r="A27" t="s">
        <v>89</v>
      </c>
      <c r="B27" s="1">
        <v>43213</v>
      </c>
      <c r="C27" s="1" t="str">
        <f>TEXT(Table1[[#This Row],[Order Date]],"mmm-yy")</f>
        <v>Apr-18</v>
      </c>
      <c r="D27" t="s">
        <v>90</v>
      </c>
      <c r="E27" t="s">
        <v>11</v>
      </c>
      <c r="F27" t="s">
        <v>91</v>
      </c>
    </row>
    <row r="28" spans="1:6" x14ac:dyDescent="0.25">
      <c r="A28" t="s">
        <v>92</v>
      </c>
      <c r="B28" s="1">
        <v>43213</v>
      </c>
      <c r="C28" s="1" t="str">
        <f>TEXT(Table1[[#This Row],[Order Date]],"mmm-yy")</f>
        <v>Apr-18</v>
      </c>
      <c r="D28" t="s">
        <v>93</v>
      </c>
      <c r="E28" t="s">
        <v>15</v>
      </c>
      <c r="F28" t="s">
        <v>94</v>
      </c>
    </row>
    <row r="29" spans="1:6" x14ac:dyDescent="0.25">
      <c r="A29" t="s">
        <v>95</v>
      </c>
      <c r="B29" s="1">
        <v>43214</v>
      </c>
      <c r="C29" s="1" t="str">
        <f>TEXT(Table1[[#This Row],[Order Date]],"mmm-yy")</f>
        <v>Apr-18</v>
      </c>
      <c r="D29" t="s">
        <v>96</v>
      </c>
      <c r="E29" t="s">
        <v>43</v>
      </c>
      <c r="F29" t="s">
        <v>44</v>
      </c>
    </row>
    <row r="30" spans="1:6" x14ac:dyDescent="0.25">
      <c r="A30" t="s">
        <v>97</v>
      </c>
      <c r="B30" s="1">
        <v>43214</v>
      </c>
      <c r="C30" s="1" t="str">
        <f>TEXT(Table1[[#This Row],[Order Date]],"mmm-yy")</f>
        <v>Apr-18</v>
      </c>
      <c r="D30" t="s">
        <v>98</v>
      </c>
      <c r="E30" t="s">
        <v>47</v>
      </c>
      <c r="F30" t="s">
        <v>48</v>
      </c>
    </row>
    <row r="31" spans="1:6" x14ac:dyDescent="0.25">
      <c r="A31" t="s">
        <v>99</v>
      </c>
      <c r="B31" s="1">
        <v>43214</v>
      </c>
      <c r="C31" s="1" t="str">
        <f>TEXT(Table1[[#This Row],[Order Date]],"mmm-yy")</f>
        <v>Apr-18</v>
      </c>
      <c r="D31" t="s">
        <v>100</v>
      </c>
      <c r="E31" t="s">
        <v>51</v>
      </c>
      <c r="F31" t="s">
        <v>52</v>
      </c>
    </row>
    <row r="32" spans="1:6" x14ac:dyDescent="0.25">
      <c r="A32" t="s">
        <v>101</v>
      </c>
      <c r="B32" s="1">
        <v>43214</v>
      </c>
      <c r="C32" s="1" t="str">
        <f>TEXT(Table1[[#This Row],[Order Date]],"mmm-yy")</f>
        <v>Apr-18</v>
      </c>
      <c r="D32" t="s">
        <v>102</v>
      </c>
      <c r="E32" t="s">
        <v>55</v>
      </c>
      <c r="F32" t="s">
        <v>52</v>
      </c>
    </row>
    <row r="33" spans="1:6" x14ac:dyDescent="0.25">
      <c r="A33" t="s">
        <v>103</v>
      </c>
      <c r="B33" s="1">
        <v>43215</v>
      </c>
      <c r="C33" s="1" t="str">
        <f>TEXT(Table1[[#This Row],[Order Date]],"mmm-yy")</f>
        <v>Apr-18</v>
      </c>
      <c r="D33" t="s">
        <v>104</v>
      </c>
      <c r="E33" t="s">
        <v>58</v>
      </c>
      <c r="F33" t="s">
        <v>59</v>
      </c>
    </row>
    <row r="34" spans="1:6" x14ac:dyDescent="0.25">
      <c r="A34" t="s">
        <v>105</v>
      </c>
      <c r="B34" s="1">
        <v>43216</v>
      </c>
      <c r="C34" s="1" t="str">
        <f>TEXT(Table1[[#This Row],[Order Date]],"mmm-yy")</f>
        <v>Apr-18</v>
      </c>
      <c r="D34" t="s">
        <v>106</v>
      </c>
      <c r="E34" t="s">
        <v>62</v>
      </c>
      <c r="F34" t="s">
        <v>63</v>
      </c>
    </row>
    <row r="35" spans="1:6" x14ac:dyDescent="0.25">
      <c r="A35" t="s">
        <v>107</v>
      </c>
      <c r="B35" s="1">
        <v>43216</v>
      </c>
      <c r="C35" s="1" t="str">
        <f>TEXT(Table1[[#This Row],[Order Date]],"mmm-yy")</f>
        <v>Apr-18</v>
      </c>
      <c r="D35" t="s">
        <v>108</v>
      </c>
      <c r="E35" t="s">
        <v>66</v>
      </c>
      <c r="F35" t="s">
        <v>66</v>
      </c>
    </row>
    <row r="36" spans="1:6" x14ac:dyDescent="0.25">
      <c r="A36" t="s">
        <v>109</v>
      </c>
      <c r="B36" s="1">
        <v>43216</v>
      </c>
      <c r="C36" s="1" t="str">
        <f>TEXT(Table1[[#This Row],[Order Date]],"mmm-yy")</f>
        <v>Apr-18</v>
      </c>
      <c r="D36" t="s">
        <v>110</v>
      </c>
      <c r="E36" t="s">
        <v>69</v>
      </c>
      <c r="F36" t="s">
        <v>70</v>
      </c>
    </row>
    <row r="37" spans="1:6" x14ac:dyDescent="0.25">
      <c r="A37" t="s">
        <v>111</v>
      </c>
      <c r="B37" s="1">
        <v>43216</v>
      </c>
      <c r="C37" s="1" t="str">
        <f>TEXT(Table1[[#This Row],[Order Date]],"mmm-yy")</f>
        <v>Apr-18</v>
      </c>
      <c r="D37" t="s">
        <v>112</v>
      </c>
      <c r="E37" t="s">
        <v>11</v>
      </c>
      <c r="F37" t="s">
        <v>91</v>
      </c>
    </row>
    <row r="38" spans="1:6" x14ac:dyDescent="0.25">
      <c r="A38" t="s">
        <v>113</v>
      </c>
      <c r="B38" s="1">
        <v>43216</v>
      </c>
      <c r="C38" s="1" t="str">
        <f>TEXT(Table1[[#This Row],[Order Date]],"mmm-yy")</f>
        <v>Apr-18</v>
      </c>
      <c r="D38" t="s">
        <v>114</v>
      </c>
      <c r="E38" t="s">
        <v>15</v>
      </c>
      <c r="F38" t="s">
        <v>94</v>
      </c>
    </row>
    <row r="39" spans="1:6" x14ac:dyDescent="0.25">
      <c r="A39" t="s">
        <v>115</v>
      </c>
      <c r="B39" s="1">
        <v>43216</v>
      </c>
      <c r="C39" s="1" t="str">
        <f>TEXT(Table1[[#This Row],[Order Date]],"mmm-yy")</f>
        <v>Apr-18</v>
      </c>
      <c r="D39" t="s">
        <v>116</v>
      </c>
      <c r="E39" t="s">
        <v>11</v>
      </c>
      <c r="F39" t="s">
        <v>12</v>
      </c>
    </row>
    <row r="40" spans="1:6" x14ac:dyDescent="0.25">
      <c r="A40" t="s">
        <v>117</v>
      </c>
      <c r="B40" s="1">
        <v>43217</v>
      </c>
      <c r="C40" s="1" t="str">
        <f>TEXT(Table1[[#This Row],[Order Date]],"mmm-yy")</f>
        <v>Apr-18</v>
      </c>
      <c r="D40" t="s">
        <v>118</v>
      </c>
      <c r="E40" t="s">
        <v>15</v>
      </c>
      <c r="F40" t="s">
        <v>16</v>
      </c>
    </row>
    <row r="41" spans="1:6" x14ac:dyDescent="0.25">
      <c r="A41" t="s">
        <v>119</v>
      </c>
      <c r="B41" s="1">
        <v>43217</v>
      </c>
      <c r="C41" s="1" t="str">
        <f>TEXT(Table1[[#This Row],[Order Date]],"mmm-yy")</f>
        <v>Apr-18</v>
      </c>
      <c r="D41" t="s">
        <v>120</v>
      </c>
      <c r="E41" t="s">
        <v>19</v>
      </c>
      <c r="F41" t="s">
        <v>20</v>
      </c>
    </row>
    <row r="42" spans="1:6" x14ac:dyDescent="0.25">
      <c r="A42" t="s">
        <v>121</v>
      </c>
      <c r="B42" s="1">
        <v>43217</v>
      </c>
      <c r="C42" s="1" t="str">
        <f>TEXT(Table1[[#This Row],[Order Date]],"mmm-yy")</f>
        <v>Apr-18</v>
      </c>
      <c r="D42" t="s">
        <v>122</v>
      </c>
      <c r="E42" t="s">
        <v>23</v>
      </c>
      <c r="F42" t="s">
        <v>24</v>
      </c>
    </row>
    <row r="43" spans="1:6" x14ac:dyDescent="0.25">
      <c r="A43" t="s">
        <v>123</v>
      </c>
      <c r="B43" s="1">
        <v>43218</v>
      </c>
      <c r="C43" s="1" t="str">
        <f>TEXT(Table1[[#This Row],[Order Date]],"mmm-yy")</f>
        <v>Apr-18</v>
      </c>
      <c r="D43" t="s">
        <v>124</v>
      </c>
      <c r="E43" t="s">
        <v>27</v>
      </c>
      <c r="F43" t="s">
        <v>28</v>
      </c>
    </row>
    <row r="44" spans="1:6" x14ac:dyDescent="0.25">
      <c r="A44" t="s">
        <v>125</v>
      </c>
      <c r="B44" s="1">
        <v>43219</v>
      </c>
      <c r="C44" s="1" t="str">
        <f>TEXT(Table1[[#This Row],[Order Date]],"mmm-yy")</f>
        <v>Apr-18</v>
      </c>
      <c r="D44" t="s">
        <v>126</v>
      </c>
      <c r="E44" t="s">
        <v>31</v>
      </c>
      <c r="F44" t="s">
        <v>32</v>
      </c>
    </row>
    <row r="45" spans="1:6" x14ac:dyDescent="0.25">
      <c r="A45" t="s">
        <v>127</v>
      </c>
      <c r="B45" s="1">
        <v>43220</v>
      </c>
      <c r="C45" s="1" t="str">
        <f>TEXT(Table1[[#This Row],[Order Date]],"mmm-yy")</f>
        <v>Apr-18</v>
      </c>
      <c r="D45" t="s">
        <v>128</v>
      </c>
      <c r="E45" t="s">
        <v>11</v>
      </c>
      <c r="F45" t="s">
        <v>91</v>
      </c>
    </row>
    <row r="46" spans="1:6" x14ac:dyDescent="0.25">
      <c r="A46" t="s">
        <v>129</v>
      </c>
      <c r="B46" s="1">
        <v>43221</v>
      </c>
      <c r="C46" s="1" t="str">
        <f>TEXT(Table1[[#This Row],[Order Date]],"mmm-yy")</f>
        <v>May-18</v>
      </c>
      <c r="D46" t="s">
        <v>130</v>
      </c>
      <c r="E46" t="s">
        <v>15</v>
      </c>
      <c r="F46" t="s">
        <v>94</v>
      </c>
    </row>
    <row r="47" spans="1:6" x14ac:dyDescent="0.25">
      <c r="A47" t="s">
        <v>131</v>
      </c>
      <c r="B47" s="1">
        <v>43221</v>
      </c>
      <c r="C47" s="1" t="str">
        <f>TEXT(Table1[[#This Row],[Order Date]],"mmm-yy")</f>
        <v>May-18</v>
      </c>
      <c r="D47" t="s">
        <v>132</v>
      </c>
      <c r="E47" t="s">
        <v>43</v>
      </c>
      <c r="F47" t="s">
        <v>44</v>
      </c>
    </row>
    <row r="48" spans="1:6" x14ac:dyDescent="0.25">
      <c r="A48" t="s">
        <v>133</v>
      </c>
      <c r="B48" s="1">
        <v>43223</v>
      </c>
      <c r="C48" s="1" t="str">
        <f>TEXT(Table1[[#This Row],[Order Date]],"mmm-yy")</f>
        <v>May-18</v>
      </c>
      <c r="D48" t="s">
        <v>134</v>
      </c>
      <c r="E48" t="s">
        <v>47</v>
      </c>
      <c r="F48" t="s">
        <v>48</v>
      </c>
    </row>
    <row r="49" spans="1:6" x14ac:dyDescent="0.25">
      <c r="A49" t="s">
        <v>135</v>
      </c>
      <c r="B49" s="1">
        <v>43224</v>
      </c>
      <c r="C49" s="1" t="str">
        <f>TEXT(Table1[[#This Row],[Order Date]],"mmm-yy")</f>
        <v>May-18</v>
      </c>
      <c r="D49" t="s">
        <v>136</v>
      </c>
      <c r="E49" t="s">
        <v>51</v>
      </c>
      <c r="F49" t="s">
        <v>52</v>
      </c>
    </row>
    <row r="50" spans="1:6" x14ac:dyDescent="0.25">
      <c r="A50" t="s">
        <v>137</v>
      </c>
      <c r="B50" s="1">
        <v>43225</v>
      </c>
      <c r="C50" s="1" t="str">
        <f>TEXT(Table1[[#This Row],[Order Date]],"mmm-yy")</f>
        <v>May-18</v>
      </c>
      <c r="D50" t="s">
        <v>138</v>
      </c>
      <c r="E50" t="s">
        <v>55</v>
      </c>
      <c r="F50" t="s">
        <v>52</v>
      </c>
    </row>
    <row r="51" spans="1:6" x14ac:dyDescent="0.25">
      <c r="A51" t="s">
        <v>139</v>
      </c>
      <c r="B51" s="1">
        <v>43226</v>
      </c>
      <c r="C51" s="1" t="str">
        <f>TEXT(Table1[[#This Row],[Order Date]],"mmm-yy")</f>
        <v>May-18</v>
      </c>
      <c r="D51" t="s">
        <v>140</v>
      </c>
      <c r="E51" t="s">
        <v>11</v>
      </c>
      <c r="F51" t="s">
        <v>91</v>
      </c>
    </row>
    <row r="52" spans="1:6" x14ac:dyDescent="0.25">
      <c r="A52" t="s">
        <v>141</v>
      </c>
      <c r="B52" s="1">
        <v>43227</v>
      </c>
      <c r="C52" s="1" t="str">
        <f>TEXT(Table1[[#This Row],[Order Date]],"mmm-yy")</f>
        <v>May-18</v>
      </c>
      <c r="D52" t="s">
        <v>142</v>
      </c>
      <c r="E52" t="s">
        <v>15</v>
      </c>
      <c r="F52" t="s">
        <v>94</v>
      </c>
    </row>
    <row r="53" spans="1:6" x14ac:dyDescent="0.25">
      <c r="A53" t="s">
        <v>143</v>
      </c>
      <c r="B53" s="1">
        <v>43228</v>
      </c>
      <c r="C53" s="1" t="str">
        <f>TEXT(Table1[[#This Row],[Order Date]],"mmm-yy")</f>
        <v>May-18</v>
      </c>
      <c r="D53" t="s">
        <v>144</v>
      </c>
      <c r="E53" t="s">
        <v>66</v>
      </c>
      <c r="F53" t="s">
        <v>66</v>
      </c>
    </row>
    <row r="54" spans="1:6" x14ac:dyDescent="0.25">
      <c r="A54" t="s">
        <v>145</v>
      </c>
      <c r="B54" s="1">
        <v>43228</v>
      </c>
      <c r="C54" s="1" t="str">
        <f>TEXT(Table1[[#This Row],[Order Date]],"mmm-yy")</f>
        <v>May-18</v>
      </c>
      <c r="D54" t="s">
        <v>146</v>
      </c>
      <c r="E54" t="s">
        <v>69</v>
      </c>
      <c r="F54" t="s">
        <v>70</v>
      </c>
    </row>
    <row r="55" spans="1:6" x14ac:dyDescent="0.25">
      <c r="A55" t="s">
        <v>147</v>
      </c>
      <c r="B55" s="1">
        <v>43230</v>
      </c>
      <c r="C55" s="1" t="str">
        <f>TEXT(Table1[[#This Row],[Order Date]],"mmm-yy")</f>
        <v>May-18</v>
      </c>
      <c r="D55" t="s">
        <v>148</v>
      </c>
      <c r="E55" t="s">
        <v>11</v>
      </c>
      <c r="F55" t="s">
        <v>91</v>
      </c>
    </row>
    <row r="56" spans="1:6" x14ac:dyDescent="0.25">
      <c r="A56" t="s">
        <v>149</v>
      </c>
      <c r="B56" s="1">
        <v>43231</v>
      </c>
      <c r="C56" s="1" t="str">
        <f>TEXT(Table1[[#This Row],[Order Date]],"mmm-yy")</f>
        <v>May-18</v>
      </c>
      <c r="D56" t="s">
        <v>150</v>
      </c>
      <c r="E56" t="s">
        <v>15</v>
      </c>
      <c r="F56" t="s">
        <v>94</v>
      </c>
    </row>
    <row r="57" spans="1:6" x14ac:dyDescent="0.25">
      <c r="A57" t="s">
        <v>151</v>
      </c>
      <c r="B57" s="1">
        <v>43231</v>
      </c>
      <c r="C57" s="1" t="str">
        <f>TEXT(Table1[[#This Row],[Order Date]],"mmm-yy")</f>
        <v>May-18</v>
      </c>
      <c r="D57" t="s">
        <v>152</v>
      </c>
      <c r="E57" t="s">
        <v>11</v>
      </c>
      <c r="F57" t="s">
        <v>12</v>
      </c>
    </row>
    <row r="58" spans="1:6" x14ac:dyDescent="0.25">
      <c r="A58" t="s">
        <v>153</v>
      </c>
      <c r="B58" s="1">
        <v>43233</v>
      </c>
      <c r="C58" s="1" t="str">
        <f>TEXT(Table1[[#This Row],[Order Date]],"mmm-yy")</f>
        <v>May-18</v>
      </c>
      <c r="D58" t="s">
        <v>154</v>
      </c>
      <c r="E58" t="s">
        <v>15</v>
      </c>
      <c r="F58" t="s">
        <v>16</v>
      </c>
    </row>
    <row r="59" spans="1:6" x14ac:dyDescent="0.25">
      <c r="A59" t="s">
        <v>155</v>
      </c>
      <c r="B59" s="1">
        <v>43234</v>
      </c>
      <c r="C59" s="1" t="str">
        <f>TEXT(Table1[[#This Row],[Order Date]],"mmm-yy")</f>
        <v>May-18</v>
      </c>
      <c r="D59" t="s">
        <v>156</v>
      </c>
      <c r="E59" t="s">
        <v>19</v>
      </c>
      <c r="F59" t="s">
        <v>20</v>
      </c>
    </row>
    <row r="60" spans="1:6" x14ac:dyDescent="0.25">
      <c r="A60" t="s">
        <v>157</v>
      </c>
      <c r="B60" s="1">
        <v>43235</v>
      </c>
      <c r="C60" s="1" t="str">
        <f>TEXT(Table1[[#This Row],[Order Date]],"mmm-yy")</f>
        <v>May-18</v>
      </c>
      <c r="D60" t="s">
        <v>158</v>
      </c>
      <c r="E60" t="s">
        <v>23</v>
      </c>
      <c r="F60" t="s">
        <v>24</v>
      </c>
    </row>
    <row r="61" spans="1:6" x14ac:dyDescent="0.25">
      <c r="A61" t="s">
        <v>159</v>
      </c>
      <c r="B61" s="1">
        <v>43236</v>
      </c>
      <c r="C61" s="1" t="str">
        <f>TEXT(Table1[[#This Row],[Order Date]],"mmm-yy")</f>
        <v>May-18</v>
      </c>
      <c r="D61" t="s">
        <v>160</v>
      </c>
      <c r="E61" t="s">
        <v>27</v>
      </c>
      <c r="F61" t="s">
        <v>28</v>
      </c>
    </row>
    <row r="62" spans="1:6" x14ac:dyDescent="0.25">
      <c r="A62" t="s">
        <v>161</v>
      </c>
      <c r="B62" s="1">
        <v>43237</v>
      </c>
      <c r="C62" s="1" t="str">
        <f>TEXT(Table1[[#This Row],[Order Date]],"mmm-yy")</f>
        <v>May-18</v>
      </c>
      <c r="D62" t="s">
        <v>162</v>
      </c>
      <c r="E62" t="s">
        <v>31</v>
      </c>
      <c r="F62" t="s">
        <v>32</v>
      </c>
    </row>
    <row r="63" spans="1:6" x14ac:dyDescent="0.25">
      <c r="A63" t="s">
        <v>163</v>
      </c>
      <c r="B63" s="1">
        <v>43237</v>
      </c>
      <c r="C63" s="1" t="str">
        <f>TEXT(Table1[[#This Row],[Order Date]],"mmm-yy")</f>
        <v>May-18</v>
      </c>
      <c r="D63" t="s">
        <v>164</v>
      </c>
      <c r="E63" t="s">
        <v>11</v>
      </c>
      <c r="F63" t="s">
        <v>91</v>
      </c>
    </row>
    <row r="64" spans="1:6" x14ac:dyDescent="0.25">
      <c r="A64" t="s">
        <v>165</v>
      </c>
      <c r="B64" s="1">
        <v>43239</v>
      </c>
      <c r="C64" s="1" t="str">
        <f>TEXT(Table1[[#This Row],[Order Date]],"mmm-yy")</f>
        <v>May-18</v>
      </c>
      <c r="D64" t="s">
        <v>166</v>
      </c>
      <c r="E64" t="s">
        <v>15</v>
      </c>
      <c r="F64" t="s">
        <v>94</v>
      </c>
    </row>
    <row r="65" spans="1:6" x14ac:dyDescent="0.25">
      <c r="A65" t="s">
        <v>167</v>
      </c>
      <c r="B65" s="1">
        <v>43240</v>
      </c>
      <c r="C65" s="1" t="str">
        <f>TEXT(Table1[[#This Row],[Order Date]],"mmm-yy")</f>
        <v>May-18</v>
      </c>
      <c r="D65" t="s">
        <v>168</v>
      </c>
      <c r="E65" t="s">
        <v>43</v>
      </c>
      <c r="F65" t="s">
        <v>44</v>
      </c>
    </row>
    <row r="66" spans="1:6" x14ac:dyDescent="0.25">
      <c r="A66" t="s">
        <v>169</v>
      </c>
      <c r="B66" s="1">
        <v>43241</v>
      </c>
      <c r="C66" s="1" t="str">
        <f>TEXT(Table1[[#This Row],[Order Date]],"mmm-yy")</f>
        <v>May-18</v>
      </c>
      <c r="D66" t="s">
        <v>170</v>
      </c>
      <c r="E66" t="s">
        <v>47</v>
      </c>
      <c r="F66" t="s">
        <v>48</v>
      </c>
    </row>
    <row r="67" spans="1:6" x14ac:dyDescent="0.25">
      <c r="A67" t="s">
        <v>171</v>
      </c>
      <c r="B67" s="1">
        <v>43242</v>
      </c>
      <c r="C67" s="1" t="str">
        <f>TEXT(Table1[[#This Row],[Order Date]],"mmm-yy")</f>
        <v>May-18</v>
      </c>
      <c r="D67" t="s">
        <v>172</v>
      </c>
      <c r="E67" t="s">
        <v>51</v>
      </c>
      <c r="F67" t="s">
        <v>52</v>
      </c>
    </row>
    <row r="68" spans="1:6" x14ac:dyDescent="0.25">
      <c r="A68" t="s">
        <v>173</v>
      </c>
      <c r="B68" s="1">
        <v>43243</v>
      </c>
      <c r="C68" s="1" t="str">
        <f>TEXT(Table1[[#This Row],[Order Date]],"mmm-yy")</f>
        <v>May-18</v>
      </c>
      <c r="D68" t="s">
        <v>174</v>
      </c>
      <c r="E68" t="s">
        <v>55</v>
      </c>
      <c r="F68" t="s">
        <v>52</v>
      </c>
    </row>
    <row r="69" spans="1:6" x14ac:dyDescent="0.25">
      <c r="A69" t="s">
        <v>175</v>
      </c>
      <c r="B69" s="1">
        <v>43244</v>
      </c>
      <c r="C69" s="1" t="str">
        <f>TEXT(Table1[[#This Row],[Order Date]],"mmm-yy")</f>
        <v>May-18</v>
      </c>
      <c r="D69" t="s">
        <v>176</v>
      </c>
      <c r="E69" t="s">
        <v>58</v>
      </c>
      <c r="F69" t="s">
        <v>59</v>
      </c>
    </row>
    <row r="70" spans="1:6" x14ac:dyDescent="0.25">
      <c r="A70" t="s">
        <v>177</v>
      </c>
      <c r="B70" s="1">
        <v>43245</v>
      </c>
      <c r="C70" s="1" t="str">
        <f>TEXT(Table1[[#This Row],[Order Date]],"mmm-yy")</f>
        <v>May-18</v>
      </c>
      <c r="D70" t="s">
        <v>178</v>
      </c>
      <c r="E70" t="s">
        <v>62</v>
      </c>
      <c r="F70" t="s">
        <v>63</v>
      </c>
    </row>
    <row r="71" spans="1:6" x14ac:dyDescent="0.25">
      <c r="A71" t="s">
        <v>179</v>
      </c>
      <c r="B71" s="1">
        <v>43245</v>
      </c>
      <c r="C71" s="1" t="str">
        <f>TEXT(Table1[[#This Row],[Order Date]],"mmm-yy")</f>
        <v>May-18</v>
      </c>
      <c r="D71" t="s">
        <v>180</v>
      </c>
      <c r="E71" t="s">
        <v>66</v>
      </c>
      <c r="F71" t="s">
        <v>66</v>
      </c>
    </row>
    <row r="72" spans="1:6" x14ac:dyDescent="0.25">
      <c r="A72" t="s">
        <v>181</v>
      </c>
      <c r="B72" s="1">
        <v>43247</v>
      </c>
      <c r="C72" s="1" t="str">
        <f>TEXT(Table1[[#This Row],[Order Date]],"mmm-yy")</f>
        <v>May-18</v>
      </c>
      <c r="D72" t="s">
        <v>182</v>
      </c>
      <c r="E72" t="s">
        <v>69</v>
      </c>
      <c r="F72" t="s">
        <v>70</v>
      </c>
    </row>
    <row r="73" spans="1:6" x14ac:dyDescent="0.25">
      <c r="A73" t="s">
        <v>183</v>
      </c>
      <c r="B73" s="1">
        <v>43248</v>
      </c>
      <c r="C73" s="1" t="str">
        <f>TEXT(Table1[[#This Row],[Order Date]],"mmm-yy")</f>
        <v>May-18</v>
      </c>
      <c r="D73" t="s">
        <v>184</v>
      </c>
      <c r="E73" t="s">
        <v>73</v>
      </c>
      <c r="F73" t="s">
        <v>74</v>
      </c>
    </row>
    <row r="74" spans="1:6" x14ac:dyDescent="0.25">
      <c r="A74" t="s">
        <v>185</v>
      </c>
      <c r="B74" s="1">
        <v>43248</v>
      </c>
      <c r="C74" s="1" t="str">
        <f>TEXT(Table1[[#This Row],[Order Date]],"mmm-yy")</f>
        <v>May-18</v>
      </c>
      <c r="D74" t="s">
        <v>186</v>
      </c>
      <c r="E74" t="s">
        <v>7</v>
      </c>
      <c r="F74" t="s">
        <v>8</v>
      </c>
    </row>
    <row r="75" spans="1:6" x14ac:dyDescent="0.25">
      <c r="A75" t="s">
        <v>187</v>
      </c>
      <c r="B75" s="1">
        <v>43248</v>
      </c>
      <c r="C75" s="1" t="str">
        <f>TEXT(Table1[[#This Row],[Order Date]],"mmm-yy")</f>
        <v>May-18</v>
      </c>
      <c r="D75" t="s">
        <v>188</v>
      </c>
      <c r="E75" t="s">
        <v>11</v>
      </c>
      <c r="F75" t="s">
        <v>12</v>
      </c>
    </row>
    <row r="76" spans="1:6" x14ac:dyDescent="0.25">
      <c r="A76" t="s">
        <v>189</v>
      </c>
      <c r="B76" s="1">
        <v>43251</v>
      </c>
      <c r="C76" s="1" t="str">
        <f>TEXT(Table1[[#This Row],[Order Date]],"mmm-yy")</f>
        <v>May-18</v>
      </c>
      <c r="D76" t="s">
        <v>190</v>
      </c>
      <c r="E76" t="s">
        <v>15</v>
      </c>
      <c r="F76" t="s">
        <v>16</v>
      </c>
    </row>
    <row r="77" spans="1:6" x14ac:dyDescent="0.25">
      <c r="A77" t="s">
        <v>191</v>
      </c>
      <c r="B77" s="1">
        <v>43252</v>
      </c>
      <c r="C77" s="1" t="str">
        <f>TEXT(Table1[[#This Row],[Order Date]],"mmm-yy")</f>
        <v>Jun-18</v>
      </c>
      <c r="D77" t="s">
        <v>192</v>
      </c>
      <c r="E77" t="s">
        <v>19</v>
      </c>
      <c r="F77" t="s">
        <v>20</v>
      </c>
    </row>
    <row r="78" spans="1:6" x14ac:dyDescent="0.25">
      <c r="A78" t="s">
        <v>193</v>
      </c>
      <c r="B78" s="1">
        <v>43253</v>
      </c>
      <c r="C78" s="1" t="str">
        <f>TEXT(Table1[[#This Row],[Order Date]],"mmm-yy")</f>
        <v>Jun-18</v>
      </c>
      <c r="D78" t="s">
        <v>194</v>
      </c>
      <c r="E78" t="s">
        <v>23</v>
      </c>
      <c r="F78" t="s">
        <v>24</v>
      </c>
    </row>
    <row r="79" spans="1:6" x14ac:dyDescent="0.25">
      <c r="A79" t="s">
        <v>195</v>
      </c>
      <c r="B79" s="1">
        <v>43254</v>
      </c>
      <c r="C79" s="1" t="str">
        <f>TEXT(Table1[[#This Row],[Order Date]],"mmm-yy")</f>
        <v>Jun-18</v>
      </c>
      <c r="D79" t="s">
        <v>196</v>
      </c>
      <c r="E79" t="s">
        <v>27</v>
      </c>
      <c r="F79" t="s">
        <v>28</v>
      </c>
    </row>
    <row r="80" spans="1:6" x14ac:dyDescent="0.25">
      <c r="A80" t="s">
        <v>197</v>
      </c>
      <c r="B80" s="1">
        <v>43255</v>
      </c>
      <c r="C80" s="1" t="str">
        <f>TEXT(Table1[[#This Row],[Order Date]],"mmm-yy")</f>
        <v>Jun-18</v>
      </c>
      <c r="D80" t="s">
        <v>198</v>
      </c>
      <c r="E80" t="s">
        <v>11</v>
      </c>
      <c r="F80" t="s">
        <v>91</v>
      </c>
    </row>
    <row r="81" spans="1:6" x14ac:dyDescent="0.25">
      <c r="A81" t="s">
        <v>199</v>
      </c>
      <c r="B81" s="1">
        <v>43255</v>
      </c>
      <c r="C81" s="1" t="str">
        <f>TEXT(Table1[[#This Row],[Order Date]],"mmm-yy")</f>
        <v>Jun-18</v>
      </c>
      <c r="D81" t="s">
        <v>200</v>
      </c>
      <c r="E81" t="s">
        <v>15</v>
      </c>
      <c r="F81" t="s">
        <v>94</v>
      </c>
    </row>
    <row r="82" spans="1:6" x14ac:dyDescent="0.25">
      <c r="A82" t="s">
        <v>201</v>
      </c>
      <c r="B82" s="1">
        <v>43255</v>
      </c>
      <c r="C82" s="1" t="str">
        <f>TEXT(Table1[[#This Row],[Order Date]],"mmm-yy")</f>
        <v>Jun-18</v>
      </c>
      <c r="D82" t="s">
        <v>202</v>
      </c>
      <c r="E82" t="s">
        <v>15</v>
      </c>
      <c r="F82" t="s">
        <v>94</v>
      </c>
    </row>
    <row r="83" spans="1:6" x14ac:dyDescent="0.25">
      <c r="A83" t="s">
        <v>203</v>
      </c>
      <c r="B83" s="1">
        <v>43258</v>
      </c>
      <c r="C83" s="1" t="str">
        <f>TEXT(Table1[[#This Row],[Order Date]],"mmm-yy")</f>
        <v>Jun-18</v>
      </c>
      <c r="D83" t="s">
        <v>204</v>
      </c>
      <c r="E83" t="s">
        <v>43</v>
      </c>
      <c r="F83" t="s">
        <v>44</v>
      </c>
    </row>
    <row r="84" spans="1:6" x14ac:dyDescent="0.25">
      <c r="A84" t="s">
        <v>205</v>
      </c>
      <c r="B84" s="1">
        <v>43259</v>
      </c>
      <c r="C84" s="1" t="str">
        <f>TEXT(Table1[[#This Row],[Order Date]],"mmm-yy")</f>
        <v>Jun-18</v>
      </c>
      <c r="D84" t="s">
        <v>190</v>
      </c>
      <c r="E84" t="s">
        <v>47</v>
      </c>
      <c r="F84" t="s">
        <v>48</v>
      </c>
    </row>
    <row r="85" spans="1:6" x14ac:dyDescent="0.25">
      <c r="A85" t="s">
        <v>206</v>
      </c>
      <c r="B85" s="1">
        <v>43260</v>
      </c>
      <c r="C85" s="1" t="str">
        <f>TEXT(Table1[[#This Row],[Order Date]],"mmm-yy")</f>
        <v>Jun-18</v>
      </c>
      <c r="D85" t="s">
        <v>207</v>
      </c>
      <c r="E85" t="s">
        <v>11</v>
      </c>
      <c r="F85" t="s">
        <v>91</v>
      </c>
    </row>
    <row r="86" spans="1:6" x14ac:dyDescent="0.25">
      <c r="A86" t="s">
        <v>208</v>
      </c>
      <c r="B86" s="1">
        <v>43261</v>
      </c>
      <c r="C86" s="1" t="str">
        <f>TEXT(Table1[[#This Row],[Order Date]],"mmm-yy")</f>
        <v>Jun-18</v>
      </c>
      <c r="D86" t="s">
        <v>209</v>
      </c>
      <c r="E86" t="s">
        <v>15</v>
      </c>
      <c r="F86" t="s">
        <v>94</v>
      </c>
    </row>
    <row r="87" spans="1:6" x14ac:dyDescent="0.25">
      <c r="A87" t="s">
        <v>210</v>
      </c>
      <c r="B87" s="1">
        <v>43262</v>
      </c>
      <c r="C87" s="1" t="str">
        <f>TEXT(Table1[[#This Row],[Order Date]],"mmm-yy")</f>
        <v>Jun-18</v>
      </c>
      <c r="D87" t="s">
        <v>96</v>
      </c>
      <c r="E87" t="s">
        <v>58</v>
      </c>
      <c r="F87" t="s">
        <v>59</v>
      </c>
    </row>
    <row r="88" spans="1:6" x14ac:dyDescent="0.25">
      <c r="A88" t="s">
        <v>211</v>
      </c>
      <c r="B88" s="1">
        <v>43262</v>
      </c>
      <c r="C88" s="1" t="str">
        <f>TEXT(Table1[[#This Row],[Order Date]],"mmm-yy")</f>
        <v>Jun-18</v>
      </c>
      <c r="D88" t="s">
        <v>212</v>
      </c>
      <c r="E88" t="s">
        <v>11</v>
      </c>
      <c r="F88" t="s">
        <v>91</v>
      </c>
    </row>
    <row r="89" spans="1:6" x14ac:dyDescent="0.25">
      <c r="A89" t="s">
        <v>213</v>
      </c>
      <c r="B89" s="1">
        <v>43262</v>
      </c>
      <c r="C89" s="1" t="str">
        <f>TEXT(Table1[[#This Row],[Order Date]],"mmm-yy")</f>
        <v>Jun-18</v>
      </c>
      <c r="D89" t="s">
        <v>214</v>
      </c>
      <c r="E89" t="s">
        <v>15</v>
      </c>
      <c r="F89" t="s">
        <v>94</v>
      </c>
    </row>
    <row r="90" spans="1:6" x14ac:dyDescent="0.25">
      <c r="A90" t="s">
        <v>215</v>
      </c>
      <c r="B90" s="1">
        <v>43265</v>
      </c>
      <c r="C90" s="1" t="str">
        <f>TEXT(Table1[[#This Row],[Order Date]],"mmm-yy")</f>
        <v>Jun-18</v>
      </c>
      <c r="D90" t="s">
        <v>216</v>
      </c>
      <c r="E90" t="s">
        <v>11</v>
      </c>
      <c r="F90" t="s">
        <v>91</v>
      </c>
    </row>
    <row r="91" spans="1:6" x14ac:dyDescent="0.25">
      <c r="A91" t="s">
        <v>217</v>
      </c>
      <c r="B91" s="1">
        <v>43266</v>
      </c>
      <c r="C91" s="1" t="str">
        <f>TEXT(Table1[[#This Row],[Order Date]],"mmm-yy")</f>
        <v>Jun-18</v>
      </c>
      <c r="D91" t="s">
        <v>218</v>
      </c>
      <c r="E91" t="s">
        <v>15</v>
      </c>
      <c r="F91" t="s">
        <v>94</v>
      </c>
    </row>
    <row r="92" spans="1:6" x14ac:dyDescent="0.25">
      <c r="A92" t="s">
        <v>219</v>
      </c>
      <c r="B92" s="1">
        <v>43267</v>
      </c>
      <c r="C92" s="1" t="str">
        <f>TEXT(Table1[[#This Row],[Order Date]],"mmm-yy")</f>
        <v>Jun-18</v>
      </c>
      <c r="D92" t="s">
        <v>220</v>
      </c>
      <c r="E92" t="s">
        <v>11</v>
      </c>
      <c r="F92" t="s">
        <v>91</v>
      </c>
    </row>
    <row r="93" spans="1:6" x14ac:dyDescent="0.25">
      <c r="A93" t="s">
        <v>221</v>
      </c>
      <c r="B93" s="1">
        <v>43268</v>
      </c>
      <c r="C93" s="1" t="str">
        <f>TEXT(Table1[[#This Row],[Order Date]],"mmm-yy")</f>
        <v>Jun-18</v>
      </c>
      <c r="D93" t="s">
        <v>222</v>
      </c>
      <c r="E93" t="s">
        <v>15</v>
      </c>
      <c r="F93" t="s">
        <v>94</v>
      </c>
    </row>
    <row r="94" spans="1:6" x14ac:dyDescent="0.25">
      <c r="A94" t="s">
        <v>223</v>
      </c>
      <c r="B94" s="1">
        <v>43269</v>
      </c>
      <c r="C94" s="1" t="str">
        <f>TEXT(Table1[[#This Row],[Order Date]],"mmm-yy")</f>
        <v>Jun-18</v>
      </c>
      <c r="D94" t="s">
        <v>224</v>
      </c>
      <c r="E94" t="s">
        <v>15</v>
      </c>
      <c r="F94" t="s">
        <v>16</v>
      </c>
    </row>
    <row r="95" spans="1:6" x14ac:dyDescent="0.25">
      <c r="A95" t="s">
        <v>225</v>
      </c>
      <c r="B95" s="1">
        <v>43269</v>
      </c>
      <c r="C95" s="1" t="str">
        <f>TEXT(Table1[[#This Row],[Order Date]],"mmm-yy")</f>
        <v>Jun-18</v>
      </c>
      <c r="D95" t="s">
        <v>226</v>
      </c>
      <c r="E95" t="s">
        <v>19</v>
      </c>
      <c r="F95" t="s">
        <v>20</v>
      </c>
    </row>
    <row r="96" spans="1:6" x14ac:dyDescent="0.25">
      <c r="A96" t="s">
        <v>227</v>
      </c>
      <c r="B96" s="1">
        <v>43269</v>
      </c>
      <c r="C96" s="1" t="str">
        <f>TEXT(Table1[[#This Row],[Order Date]],"mmm-yy")</f>
        <v>Jun-18</v>
      </c>
      <c r="D96" t="s">
        <v>228</v>
      </c>
      <c r="E96" t="s">
        <v>23</v>
      </c>
      <c r="F96" t="s">
        <v>24</v>
      </c>
    </row>
    <row r="97" spans="1:6" x14ac:dyDescent="0.25">
      <c r="A97" t="s">
        <v>229</v>
      </c>
      <c r="B97" s="1">
        <v>43272</v>
      </c>
      <c r="C97" s="1" t="str">
        <f>TEXT(Table1[[#This Row],[Order Date]],"mmm-yy")</f>
        <v>Jun-18</v>
      </c>
      <c r="D97" t="s">
        <v>230</v>
      </c>
      <c r="E97" t="s">
        <v>27</v>
      </c>
      <c r="F97" t="s">
        <v>28</v>
      </c>
    </row>
    <row r="98" spans="1:6" x14ac:dyDescent="0.25">
      <c r="A98" t="s">
        <v>231</v>
      </c>
      <c r="B98" s="1">
        <v>43273</v>
      </c>
      <c r="C98" s="1" t="str">
        <f>TEXT(Table1[[#This Row],[Order Date]],"mmm-yy")</f>
        <v>Jun-18</v>
      </c>
      <c r="D98" t="s">
        <v>232</v>
      </c>
      <c r="E98" t="s">
        <v>31</v>
      </c>
      <c r="F98" t="s">
        <v>32</v>
      </c>
    </row>
    <row r="99" spans="1:6" x14ac:dyDescent="0.25">
      <c r="A99" t="s">
        <v>233</v>
      </c>
      <c r="B99" s="1">
        <v>43274</v>
      </c>
      <c r="C99" s="1" t="str">
        <f>TEXT(Table1[[#This Row],[Order Date]],"mmm-yy")</f>
        <v>Jun-18</v>
      </c>
      <c r="D99" t="s">
        <v>234</v>
      </c>
      <c r="E99" t="s">
        <v>35</v>
      </c>
      <c r="F99" t="s">
        <v>36</v>
      </c>
    </row>
    <row r="100" spans="1:6" x14ac:dyDescent="0.25">
      <c r="A100" t="s">
        <v>235</v>
      </c>
      <c r="B100" s="1">
        <v>43275</v>
      </c>
      <c r="C100" s="1" t="str">
        <f>TEXT(Table1[[#This Row],[Order Date]],"mmm-yy")</f>
        <v>Jun-18</v>
      </c>
      <c r="D100" t="s">
        <v>236</v>
      </c>
      <c r="E100" t="s">
        <v>39</v>
      </c>
      <c r="F100" t="s">
        <v>40</v>
      </c>
    </row>
    <row r="101" spans="1:6" x14ac:dyDescent="0.25">
      <c r="A101" t="s">
        <v>237</v>
      </c>
      <c r="B101" s="1">
        <v>43276</v>
      </c>
      <c r="C101" s="1" t="str">
        <f>TEXT(Table1[[#This Row],[Order Date]],"mmm-yy")</f>
        <v>Jun-18</v>
      </c>
      <c r="D101" t="s">
        <v>238</v>
      </c>
      <c r="E101" t="s">
        <v>11</v>
      </c>
      <c r="F101" t="s">
        <v>91</v>
      </c>
    </row>
    <row r="102" spans="1:6" x14ac:dyDescent="0.25">
      <c r="A102" t="s">
        <v>239</v>
      </c>
      <c r="B102" s="1">
        <v>43277</v>
      </c>
      <c r="C102" s="1" t="str">
        <f>TEXT(Table1[[#This Row],[Order Date]],"mmm-yy")</f>
        <v>Jun-18</v>
      </c>
      <c r="D102" t="s">
        <v>240</v>
      </c>
      <c r="E102" t="s">
        <v>15</v>
      </c>
      <c r="F102" t="s">
        <v>94</v>
      </c>
    </row>
    <row r="103" spans="1:6" x14ac:dyDescent="0.25">
      <c r="A103" t="s">
        <v>241</v>
      </c>
      <c r="B103" s="1">
        <v>43278</v>
      </c>
      <c r="C103" s="1" t="str">
        <f>TEXT(Table1[[#This Row],[Order Date]],"mmm-yy")</f>
        <v>Jun-18</v>
      </c>
      <c r="D103" t="s">
        <v>242</v>
      </c>
      <c r="E103" t="s">
        <v>11</v>
      </c>
      <c r="F103" t="s">
        <v>91</v>
      </c>
    </row>
    <row r="104" spans="1:6" x14ac:dyDescent="0.25">
      <c r="A104" t="s">
        <v>243</v>
      </c>
      <c r="B104" s="1">
        <v>43279</v>
      </c>
      <c r="C104" s="1" t="str">
        <f>TEXT(Table1[[#This Row],[Order Date]],"mmm-yy")</f>
        <v>Jun-18</v>
      </c>
      <c r="D104" t="s">
        <v>194</v>
      </c>
      <c r="E104" t="s">
        <v>15</v>
      </c>
      <c r="F104" t="s">
        <v>94</v>
      </c>
    </row>
    <row r="105" spans="1:6" x14ac:dyDescent="0.25">
      <c r="A105" t="s">
        <v>244</v>
      </c>
      <c r="B105" s="1">
        <v>43280</v>
      </c>
      <c r="C105" s="1" t="str">
        <f>TEXT(Table1[[#This Row],[Order Date]],"mmm-yy")</f>
        <v>Jun-18</v>
      </c>
      <c r="D105" t="s">
        <v>245</v>
      </c>
      <c r="E105" t="s">
        <v>11</v>
      </c>
      <c r="F105" t="s">
        <v>91</v>
      </c>
    </row>
    <row r="106" spans="1:6" x14ac:dyDescent="0.25">
      <c r="A106" t="s">
        <v>246</v>
      </c>
      <c r="B106" s="1">
        <v>43281</v>
      </c>
      <c r="C106" s="1" t="str">
        <f>TEXT(Table1[[#This Row],[Order Date]],"mmm-yy")</f>
        <v>Jun-18</v>
      </c>
      <c r="D106" t="s">
        <v>247</v>
      </c>
      <c r="E106" t="s">
        <v>15</v>
      </c>
      <c r="F106" t="s">
        <v>94</v>
      </c>
    </row>
    <row r="107" spans="1:6" x14ac:dyDescent="0.25">
      <c r="A107" t="s">
        <v>248</v>
      </c>
      <c r="B107" s="1">
        <v>43282</v>
      </c>
      <c r="C107" s="1" t="str">
        <f>TEXT(Table1[[#This Row],[Order Date]],"mmm-yy")</f>
        <v>Jul-18</v>
      </c>
      <c r="D107" t="s">
        <v>249</v>
      </c>
      <c r="E107" t="s">
        <v>66</v>
      </c>
      <c r="F107" t="s">
        <v>66</v>
      </c>
    </row>
    <row r="108" spans="1:6" x14ac:dyDescent="0.25">
      <c r="A108" t="s">
        <v>250</v>
      </c>
      <c r="B108" s="1">
        <v>43282</v>
      </c>
      <c r="C108" s="1" t="str">
        <f>TEXT(Table1[[#This Row],[Order Date]],"mmm-yy")</f>
        <v>Jul-18</v>
      </c>
      <c r="D108" t="s">
        <v>251</v>
      </c>
      <c r="E108" t="s">
        <v>11</v>
      </c>
      <c r="F108" t="s">
        <v>91</v>
      </c>
    </row>
    <row r="109" spans="1:6" x14ac:dyDescent="0.25">
      <c r="A109" t="s">
        <v>252</v>
      </c>
      <c r="B109" s="1">
        <v>43282</v>
      </c>
      <c r="C109" s="1" t="str">
        <f>TEXT(Table1[[#This Row],[Order Date]],"mmm-yy")</f>
        <v>Jul-18</v>
      </c>
      <c r="D109" t="s">
        <v>253</v>
      </c>
      <c r="E109" t="s">
        <v>15</v>
      </c>
      <c r="F109" t="s">
        <v>94</v>
      </c>
    </row>
    <row r="110" spans="1:6" x14ac:dyDescent="0.25">
      <c r="A110" t="s">
        <v>254</v>
      </c>
      <c r="B110" s="1">
        <v>43282</v>
      </c>
      <c r="C110" s="1" t="str">
        <f>TEXT(Table1[[#This Row],[Order Date]],"mmm-yy")</f>
        <v>Jul-18</v>
      </c>
      <c r="D110" t="s">
        <v>255</v>
      </c>
      <c r="E110" t="s">
        <v>15</v>
      </c>
      <c r="F110" t="s">
        <v>94</v>
      </c>
    </row>
    <row r="111" spans="1:6" x14ac:dyDescent="0.25">
      <c r="A111" t="s">
        <v>256</v>
      </c>
      <c r="B111" s="1">
        <v>43286</v>
      </c>
      <c r="C111" s="1" t="str">
        <f>TEXT(Table1[[#This Row],[Order Date]],"mmm-yy")</f>
        <v>Jul-18</v>
      </c>
      <c r="D111" t="s">
        <v>257</v>
      </c>
      <c r="E111" t="s">
        <v>11</v>
      </c>
      <c r="F111" t="s">
        <v>12</v>
      </c>
    </row>
    <row r="112" spans="1:6" x14ac:dyDescent="0.25">
      <c r="A112" t="s">
        <v>258</v>
      </c>
      <c r="B112" s="1">
        <v>43287</v>
      </c>
      <c r="C112" s="1" t="str">
        <f>TEXT(Table1[[#This Row],[Order Date]],"mmm-yy")</f>
        <v>Jul-18</v>
      </c>
      <c r="D112" t="s">
        <v>259</v>
      </c>
      <c r="E112" t="s">
        <v>15</v>
      </c>
      <c r="F112" t="s">
        <v>16</v>
      </c>
    </row>
    <row r="113" spans="1:6" x14ac:dyDescent="0.25">
      <c r="A113" t="s">
        <v>260</v>
      </c>
      <c r="B113" s="1">
        <v>43288</v>
      </c>
      <c r="C113" s="1" t="str">
        <f>TEXT(Table1[[#This Row],[Order Date]],"mmm-yy")</f>
        <v>Jul-18</v>
      </c>
      <c r="D113" t="s">
        <v>261</v>
      </c>
      <c r="E113" t="s">
        <v>19</v>
      </c>
      <c r="F113" t="s">
        <v>20</v>
      </c>
    </row>
    <row r="114" spans="1:6" x14ac:dyDescent="0.25">
      <c r="A114" t="s">
        <v>262</v>
      </c>
      <c r="B114" s="1">
        <v>43289</v>
      </c>
      <c r="C114" s="1" t="str">
        <f>TEXT(Table1[[#This Row],[Order Date]],"mmm-yy")</f>
        <v>Jul-18</v>
      </c>
      <c r="D114" t="s">
        <v>263</v>
      </c>
      <c r="E114" t="s">
        <v>23</v>
      </c>
      <c r="F114" t="s">
        <v>24</v>
      </c>
    </row>
    <row r="115" spans="1:6" x14ac:dyDescent="0.25">
      <c r="A115" t="s">
        <v>264</v>
      </c>
      <c r="B115" s="1">
        <v>43290</v>
      </c>
      <c r="C115" s="1" t="str">
        <f>TEXT(Table1[[#This Row],[Order Date]],"mmm-yy")</f>
        <v>Jul-18</v>
      </c>
      <c r="D115" t="s">
        <v>265</v>
      </c>
      <c r="E115" t="s">
        <v>27</v>
      </c>
      <c r="F115" t="s">
        <v>28</v>
      </c>
    </row>
    <row r="116" spans="1:6" x14ac:dyDescent="0.25">
      <c r="A116" t="s">
        <v>266</v>
      </c>
      <c r="B116" s="1">
        <v>43291</v>
      </c>
      <c r="C116" s="1" t="str">
        <f>TEXT(Table1[[#This Row],[Order Date]],"mmm-yy")</f>
        <v>Jul-18</v>
      </c>
      <c r="D116" t="s">
        <v>267</v>
      </c>
      <c r="E116" t="s">
        <v>31</v>
      </c>
      <c r="F116" t="s">
        <v>32</v>
      </c>
    </row>
    <row r="117" spans="1:6" x14ac:dyDescent="0.25">
      <c r="A117" t="s">
        <v>268</v>
      </c>
      <c r="B117" s="1">
        <v>43292</v>
      </c>
      <c r="C117" s="1" t="str">
        <f>TEXT(Table1[[#This Row],[Order Date]],"mmm-yy")</f>
        <v>Jul-18</v>
      </c>
      <c r="D117" t="s">
        <v>269</v>
      </c>
      <c r="E117" t="s">
        <v>35</v>
      </c>
      <c r="F117" t="s">
        <v>36</v>
      </c>
    </row>
    <row r="118" spans="1:6" x14ac:dyDescent="0.25">
      <c r="A118" t="s">
        <v>270</v>
      </c>
      <c r="B118" s="1">
        <v>43293</v>
      </c>
      <c r="C118" s="1" t="str">
        <f>TEXT(Table1[[#This Row],[Order Date]],"mmm-yy")</f>
        <v>Jul-18</v>
      </c>
      <c r="D118" t="s">
        <v>271</v>
      </c>
      <c r="E118" t="s">
        <v>39</v>
      </c>
      <c r="F118" t="s">
        <v>40</v>
      </c>
    </row>
    <row r="119" spans="1:6" x14ac:dyDescent="0.25">
      <c r="A119" t="s">
        <v>272</v>
      </c>
      <c r="B119" s="1">
        <v>43293</v>
      </c>
      <c r="C119" s="1" t="str">
        <f>TEXT(Table1[[#This Row],[Order Date]],"mmm-yy")</f>
        <v>Jul-18</v>
      </c>
      <c r="D119" t="s">
        <v>174</v>
      </c>
      <c r="E119" t="s">
        <v>11</v>
      </c>
      <c r="F119" t="s">
        <v>91</v>
      </c>
    </row>
    <row r="120" spans="1:6" x14ac:dyDescent="0.25">
      <c r="A120" t="s">
        <v>273</v>
      </c>
      <c r="B120" s="1">
        <v>43293</v>
      </c>
      <c r="C120" s="1" t="str">
        <f>TEXT(Table1[[#This Row],[Order Date]],"mmm-yy")</f>
        <v>Jul-18</v>
      </c>
      <c r="D120" t="s">
        <v>222</v>
      </c>
      <c r="E120" t="s">
        <v>15</v>
      </c>
      <c r="F120" t="s">
        <v>94</v>
      </c>
    </row>
    <row r="121" spans="1:6" x14ac:dyDescent="0.25">
      <c r="A121" t="s">
        <v>274</v>
      </c>
      <c r="B121" s="1">
        <v>43296</v>
      </c>
      <c r="C121" s="1" t="str">
        <f>TEXT(Table1[[#This Row],[Order Date]],"mmm-yy")</f>
        <v>Jul-18</v>
      </c>
      <c r="D121" t="s">
        <v>275</v>
      </c>
      <c r="E121" t="s">
        <v>51</v>
      </c>
      <c r="F121" t="s">
        <v>52</v>
      </c>
    </row>
    <row r="122" spans="1:6" x14ac:dyDescent="0.25">
      <c r="A122" t="s">
        <v>276</v>
      </c>
      <c r="B122" s="1">
        <v>43297</v>
      </c>
      <c r="C122" s="1" t="str">
        <f>TEXT(Table1[[#This Row],[Order Date]],"mmm-yy")</f>
        <v>Jul-18</v>
      </c>
      <c r="D122" t="s">
        <v>277</v>
      </c>
      <c r="E122" t="s">
        <v>55</v>
      </c>
      <c r="F122" t="s">
        <v>52</v>
      </c>
    </row>
    <row r="123" spans="1:6" x14ac:dyDescent="0.25">
      <c r="A123" t="s">
        <v>278</v>
      </c>
      <c r="B123" s="1">
        <v>43298</v>
      </c>
      <c r="C123" s="1" t="str">
        <f>TEXT(Table1[[#This Row],[Order Date]],"mmm-yy")</f>
        <v>Jul-18</v>
      </c>
      <c r="D123" t="s">
        <v>279</v>
      </c>
      <c r="E123" t="s">
        <v>58</v>
      </c>
      <c r="F123" t="s">
        <v>59</v>
      </c>
    </row>
    <row r="124" spans="1:6" x14ac:dyDescent="0.25">
      <c r="A124" t="s">
        <v>280</v>
      </c>
      <c r="B124" s="1">
        <v>43299</v>
      </c>
      <c r="C124" s="1" t="str">
        <f>TEXT(Table1[[#This Row],[Order Date]],"mmm-yy")</f>
        <v>Jul-18</v>
      </c>
      <c r="D124" t="s">
        <v>281</v>
      </c>
      <c r="E124" t="s">
        <v>11</v>
      </c>
      <c r="F124" t="s">
        <v>91</v>
      </c>
    </row>
    <row r="125" spans="1:6" x14ac:dyDescent="0.25">
      <c r="A125" t="s">
        <v>282</v>
      </c>
      <c r="B125" s="1">
        <v>43300</v>
      </c>
      <c r="C125" s="1" t="str">
        <f>TEXT(Table1[[#This Row],[Order Date]],"mmm-yy")</f>
        <v>Jul-18</v>
      </c>
      <c r="D125" t="s">
        <v>209</v>
      </c>
      <c r="E125" t="s">
        <v>15</v>
      </c>
      <c r="F125" t="s">
        <v>94</v>
      </c>
    </row>
    <row r="126" spans="1:6" x14ac:dyDescent="0.25">
      <c r="A126" t="s">
        <v>283</v>
      </c>
      <c r="B126" s="1">
        <v>43301</v>
      </c>
      <c r="C126" s="1" t="str">
        <f>TEXT(Table1[[#This Row],[Order Date]],"mmm-yy")</f>
        <v>Jul-18</v>
      </c>
      <c r="D126" t="s">
        <v>284</v>
      </c>
      <c r="E126" t="s">
        <v>69</v>
      </c>
      <c r="F126" t="s">
        <v>70</v>
      </c>
    </row>
    <row r="127" spans="1:6" x14ac:dyDescent="0.25">
      <c r="A127" t="s">
        <v>285</v>
      </c>
      <c r="B127" s="1">
        <v>43302</v>
      </c>
      <c r="C127" s="1" t="str">
        <f>TEXT(Table1[[#This Row],[Order Date]],"mmm-yy")</f>
        <v>Jul-18</v>
      </c>
      <c r="D127" t="s">
        <v>286</v>
      </c>
      <c r="E127" t="s">
        <v>11</v>
      </c>
      <c r="F127" t="s">
        <v>91</v>
      </c>
    </row>
    <row r="128" spans="1:6" x14ac:dyDescent="0.25">
      <c r="A128" t="s">
        <v>287</v>
      </c>
      <c r="B128" s="1">
        <v>43303</v>
      </c>
      <c r="C128" s="1" t="str">
        <f>TEXT(Table1[[#This Row],[Order Date]],"mmm-yy")</f>
        <v>Jul-18</v>
      </c>
      <c r="D128" t="s">
        <v>288</v>
      </c>
      <c r="E128" t="s">
        <v>15</v>
      </c>
      <c r="F128" t="s">
        <v>94</v>
      </c>
    </row>
    <row r="129" spans="1:6" x14ac:dyDescent="0.25">
      <c r="A129" t="s">
        <v>289</v>
      </c>
      <c r="B129" s="1">
        <v>43303</v>
      </c>
      <c r="C129" s="1" t="str">
        <f>TEXT(Table1[[#This Row],[Order Date]],"mmm-yy")</f>
        <v>Jul-18</v>
      </c>
      <c r="D129" t="s">
        <v>290</v>
      </c>
      <c r="E129" t="s">
        <v>11</v>
      </c>
      <c r="F129" t="s">
        <v>12</v>
      </c>
    </row>
    <row r="130" spans="1:6" x14ac:dyDescent="0.25">
      <c r="A130" t="s">
        <v>291</v>
      </c>
      <c r="B130" s="1">
        <v>43303</v>
      </c>
      <c r="C130" s="1" t="str">
        <f>TEXT(Table1[[#This Row],[Order Date]],"mmm-yy")</f>
        <v>Jul-18</v>
      </c>
      <c r="D130" t="s">
        <v>292</v>
      </c>
      <c r="E130" t="s">
        <v>15</v>
      </c>
      <c r="F130" t="s">
        <v>16</v>
      </c>
    </row>
    <row r="131" spans="1:6" x14ac:dyDescent="0.25">
      <c r="A131" t="s">
        <v>293</v>
      </c>
      <c r="B131" s="1">
        <v>43303</v>
      </c>
      <c r="C131" s="1" t="str">
        <f>TEXT(Table1[[#This Row],[Order Date]],"mmm-yy")</f>
        <v>Jul-18</v>
      </c>
      <c r="D131" t="s">
        <v>294</v>
      </c>
      <c r="E131" t="s">
        <v>19</v>
      </c>
      <c r="F131" t="s">
        <v>20</v>
      </c>
    </row>
    <row r="132" spans="1:6" x14ac:dyDescent="0.25">
      <c r="A132" t="s">
        <v>295</v>
      </c>
      <c r="B132" s="1">
        <v>43307</v>
      </c>
      <c r="C132" s="1" t="str">
        <f>TEXT(Table1[[#This Row],[Order Date]],"mmm-yy")</f>
        <v>Jul-18</v>
      </c>
      <c r="D132" t="s">
        <v>296</v>
      </c>
      <c r="E132" t="s">
        <v>23</v>
      </c>
      <c r="F132" t="s">
        <v>24</v>
      </c>
    </row>
    <row r="133" spans="1:6" x14ac:dyDescent="0.25">
      <c r="A133" t="s">
        <v>297</v>
      </c>
      <c r="B133" s="1">
        <v>43308</v>
      </c>
      <c r="C133" s="1" t="str">
        <f>TEXT(Table1[[#This Row],[Order Date]],"mmm-yy")</f>
        <v>Jul-18</v>
      </c>
      <c r="D133" t="s">
        <v>298</v>
      </c>
      <c r="E133" t="s">
        <v>27</v>
      </c>
      <c r="F133" t="s">
        <v>28</v>
      </c>
    </row>
    <row r="134" spans="1:6" x14ac:dyDescent="0.25">
      <c r="A134" t="s">
        <v>299</v>
      </c>
      <c r="B134" s="1">
        <v>43309</v>
      </c>
      <c r="C134" s="1" t="str">
        <f>TEXT(Table1[[#This Row],[Order Date]],"mmm-yy")</f>
        <v>Jul-18</v>
      </c>
      <c r="D134" t="s">
        <v>300</v>
      </c>
      <c r="E134" t="s">
        <v>11</v>
      </c>
      <c r="F134" t="s">
        <v>91</v>
      </c>
    </row>
    <row r="135" spans="1:6" x14ac:dyDescent="0.25">
      <c r="A135" t="s">
        <v>301</v>
      </c>
      <c r="B135" s="1">
        <v>43310</v>
      </c>
      <c r="C135" s="1" t="str">
        <f>TEXT(Table1[[#This Row],[Order Date]],"mmm-yy")</f>
        <v>Jul-18</v>
      </c>
      <c r="D135" t="s">
        <v>302</v>
      </c>
      <c r="E135" t="s">
        <v>15</v>
      </c>
      <c r="F135" t="s">
        <v>94</v>
      </c>
    </row>
    <row r="136" spans="1:6" x14ac:dyDescent="0.25">
      <c r="A136" t="s">
        <v>303</v>
      </c>
      <c r="B136" s="1">
        <v>43311</v>
      </c>
      <c r="C136" s="1" t="str">
        <f>TEXT(Table1[[#This Row],[Order Date]],"mmm-yy")</f>
        <v>Jul-18</v>
      </c>
      <c r="D136" t="s">
        <v>304</v>
      </c>
      <c r="E136" t="s">
        <v>39</v>
      </c>
      <c r="F136" t="s">
        <v>40</v>
      </c>
    </row>
    <row r="137" spans="1:6" x14ac:dyDescent="0.25">
      <c r="A137" t="s">
        <v>305</v>
      </c>
      <c r="B137" s="1">
        <v>43312</v>
      </c>
      <c r="C137" s="1" t="str">
        <f>TEXT(Table1[[#This Row],[Order Date]],"mmm-yy")</f>
        <v>Jul-18</v>
      </c>
      <c r="D137" t="s">
        <v>306</v>
      </c>
      <c r="E137" t="s">
        <v>11</v>
      </c>
      <c r="F137" t="s">
        <v>91</v>
      </c>
    </row>
    <row r="138" spans="1:6" x14ac:dyDescent="0.25">
      <c r="A138" t="s">
        <v>307</v>
      </c>
      <c r="B138" s="1">
        <v>43313</v>
      </c>
      <c r="C138" s="1" t="str">
        <f>TEXT(Table1[[#This Row],[Order Date]],"mmm-yy")</f>
        <v>Aug-18</v>
      </c>
      <c r="D138" t="s">
        <v>308</v>
      </c>
      <c r="E138" t="s">
        <v>15</v>
      </c>
      <c r="F138" t="s">
        <v>94</v>
      </c>
    </row>
    <row r="139" spans="1:6" x14ac:dyDescent="0.25">
      <c r="A139" t="s">
        <v>309</v>
      </c>
      <c r="B139" s="1">
        <v>43314</v>
      </c>
      <c r="C139" s="1" t="str">
        <f>TEXT(Table1[[#This Row],[Order Date]],"mmm-yy")</f>
        <v>Aug-18</v>
      </c>
      <c r="D139" t="s">
        <v>310</v>
      </c>
      <c r="E139" t="s">
        <v>51</v>
      </c>
      <c r="F139" t="s">
        <v>52</v>
      </c>
    </row>
    <row r="140" spans="1:6" x14ac:dyDescent="0.25">
      <c r="A140" t="s">
        <v>311</v>
      </c>
      <c r="B140" s="1">
        <v>43315</v>
      </c>
      <c r="C140" s="1" t="str">
        <f>TEXT(Table1[[#This Row],[Order Date]],"mmm-yy")</f>
        <v>Aug-18</v>
      </c>
      <c r="D140" t="s">
        <v>312</v>
      </c>
      <c r="E140" t="s">
        <v>55</v>
      </c>
      <c r="F140" t="s">
        <v>52</v>
      </c>
    </row>
    <row r="141" spans="1:6" x14ac:dyDescent="0.25">
      <c r="A141" t="s">
        <v>313</v>
      </c>
      <c r="B141" s="1">
        <v>43315</v>
      </c>
      <c r="C141" s="1" t="str">
        <f>TEXT(Table1[[#This Row],[Order Date]],"mmm-yy")</f>
        <v>Aug-18</v>
      </c>
      <c r="D141" t="s">
        <v>314</v>
      </c>
      <c r="E141" t="s">
        <v>11</v>
      </c>
      <c r="F141" t="s">
        <v>91</v>
      </c>
    </row>
    <row r="142" spans="1:6" x14ac:dyDescent="0.25">
      <c r="A142" t="s">
        <v>315</v>
      </c>
      <c r="B142" s="1">
        <v>43315</v>
      </c>
      <c r="C142" s="1" t="str">
        <f>TEXT(Table1[[#This Row],[Order Date]],"mmm-yy")</f>
        <v>Aug-18</v>
      </c>
      <c r="D142" t="s">
        <v>316</v>
      </c>
      <c r="E142" t="s">
        <v>15</v>
      </c>
      <c r="F142" t="s">
        <v>94</v>
      </c>
    </row>
    <row r="143" spans="1:6" x14ac:dyDescent="0.25">
      <c r="A143" t="s">
        <v>317</v>
      </c>
      <c r="B143" s="1">
        <v>43315</v>
      </c>
      <c r="C143" s="1" t="str">
        <f>TEXT(Table1[[#This Row],[Order Date]],"mmm-yy")</f>
        <v>Aug-18</v>
      </c>
      <c r="D143" t="s">
        <v>318</v>
      </c>
      <c r="E143" t="s">
        <v>66</v>
      </c>
      <c r="F143" t="s">
        <v>66</v>
      </c>
    </row>
    <row r="144" spans="1:6" x14ac:dyDescent="0.25">
      <c r="A144" t="s">
        <v>319</v>
      </c>
      <c r="B144" s="1">
        <v>43319</v>
      </c>
      <c r="C144" s="1" t="str">
        <f>TEXT(Table1[[#This Row],[Order Date]],"mmm-yy")</f>
        <v>Aug-18</v>
      </c>
      <c r="D144" t="s">
        <v>320</v>
      </c>
      <c r="E144" t="s">
        <v>69</v>
      </c>
      <c r="F144" t="s">
        <v>70</v>
      </c>
    </row>
    <row r="145" spans="1:6" x14ac:dyDescent="0.25">
      <c r="A145" t="s">
        <v>321</v>
      </c>
      <c r="B145" s="1">
        <v>43320</v>
      </c>
      <c r="C145" s="1" t="str">
        <f>TEXT(Table1[[#This Row],[Order Date]],"mmm-yy")</f>
        <v>Aug-18</v>
      </c>
      <c r="D145" t="s">
        <v>322</v>
      </c>
      <c r="E145" t="s">
        <v>73</v>
      </c>
      <c r="F145" t="s">
        <v>74</v>
      </c>
    </row>
    <row r="146" spans="1:6" x14ac:dyDescent="0.25">
      <c r="A146" t="s">
        <v>323</v>
      </c>
      <c r="B146" s="1">
        <v>43321</v>
      </c>
      <c r="C146" s="1" t="str">
        <f>TEXT(Table1[[#This Row],[Order Date]],"mmm-yy")</f>
        <v>Aug-18</v>
      </c>
      <c r="D146" t="s">
        <v>324</v>
      </c>
      <c r="E146" t="s">
        <v>7</v>
      </c>
      <c r="F146" t="s">
        <v>8</v>
      </c>
    </row>
    <row r="147" spans="1:6" x14ac:dyDescent="0.25">
      <c r="A147" t="s">
        <v>325</v>
      </c>
      <c r="B147" s="1">
        <v>43322</v>
      </c>
      <c r="C147" s="1" t="str">
        <f>TEXT(Table1[[#This Row],[Order Date]],"mmm-yy")</f>
        <v>Aug-18</v>
      </c>
      <c r="D147" t="s">
        <v>326</v>
      </c>
      <c r="E147" t="s">
        <v>11</v>
      </c>
      <c r="F147" t="s">
        <v>12</v>
      </c>
    </row>
    <row r="148" spans="1:6" x14ac:dyDescent="0.25">
      <c r="A148" t="s">
        <v>327</v>
      </c>
      <c r="B148" s="1">
        <v>43323</v>
      </c>
      <c r="C148" s="1" t="str">
        <f>TEXT(Table1[[#This Row],[Order Date]],"mmm-yy")</f>
        <v>Aug-18</v>
      </c>
      <c r="D148" t="s">
        <v>328</v>
      </c>
      <c r="E148" t="s">
        <v>15</v>
      </c>
      <c r="F148" t="s">
        <v>16</v>
      </c>
    </row>
    <row r="149" spans="1:6" x14ac:dyDescent="0.25">
      <c r="A149" t="s">
        <v>329</v>
      </c>
      <c r="B149" s="1">
        <v>43324</v>
      </c>
      <c r="C149" s="1" t="str">
        <f>TEXT(Table1[[#This Row],[Order Date]],"mmm-yy")</f>
        <v>Aug-18</v>
      </c>
      <c r="D149" t="s">
        <v>330</v>
      </c>
      <c r="E149" t="s">
        <v>19</v>
      </c>
      <c r="F149" t="s">
        <v>20</v>
      </c>
    </row>
    <row r="150" spans="1:6" x14ac:dyDescent="0.25">
      <c r="A150" t="s">
        <v>331</v>
      </c>
      <c r="B150" s="1">
        <v>43325</v>
      </c>
      <c r="C150" s="1" t="str">
        <f>TEXT(Table1[[#This Row],[Order Date]],"mmm-yy")</f>
        <v>Aug-18</v>
      </c>
      <c r="D150" t="s">
        <v>310</v>
      </c>
      <c r="E150" t="s">
        <v>11</v>
      </c>
      <c r="F150" t="s">
        <v>91</v>
      </c>
    </row>
    <row r="151" spans="1:6" x14ac:dyDescent="0.25">
      <c r="A151" t="s">
        <v>332</v>
      </c>
      <c r="B151" s="1">
        <v>43326</v>
      </c>
      <c r="C151" s="1" t="str">
        <f>TEXT(Table1[[#This Row],[Order Date]],"mmm-yy")</f>
        <v>Aug-18</v>
      </c>
      <c r="D151" t="s">
        <v>333</v>
      </c>
      <c r="E151" t="s">
        <v>15</v>
      </c>
      <c r="F151" t="s">
        <v>94</v>
      </c>
    </row>
    <row r="152" spans="1:6" x14ac:dyDescent="0.25">
      <c r="A152" t="s">
        <v>334</v>
      </c>
      <c r="B152" s="1">
        <v>43326</v>
      </c>
      <c r="C152" s="1" t="str">
        <f>TEXT(Table1[[#This Row],[Order Date]],"mmm-yy")</f>
        <v>Aug-18</v>
      </c>
      <c r="D152" t="s">
        <v>335</v>
      </c>
      <c r="E152" t="s">
        <v>11</v>
      </c>
      <c r="F152" t="s">
        <v>91</v>
      </c>
    </row>
    <row r="153" spans="1:6" x14ac:dyDescent="0.25">
      <c r="A153" t="s">
        <v>336</v>
      </c>
      <c r="B153" s="1">
        <v>43326</v>
      </c>
      <c r="C153" s="1" t="str">
        <f>TEXT(Table1[[#This Row],[Order Date]],"mmm-yy")</f>
        <v>Aug-18</v>
      </c>
      <c r="D153" t="s">
        <v>337</v>
      </c>
      <c r="E153" t="s">
        <v>15</v>
      </c>
      <c r="F153" t="s">
        <v>94</v>
      </c>
    </row>
    <row r="154" spans="1:6" x14ac:dyDescent="0.25">
      <c r="A154" t="s">
        <v>338</v>
      </c>
      <c r="B154" s="1">
        <v>43329</v>
      </c>
      <c r="C154" s="1" t="str">
        <f>TEXT(Table1[[#This Row],[Order Date]],"mmm-yy")</f>
        <v>Aug-18</v>
      </c>
      <c r="D154" t="s">
        <v>326</v>
      </c>
      <c r="E154" t="s">
        <v>39</v>
      </c>
      <c r="F154" t="s">
        <v>40</v>
      </c>
    </row>
    <row r="155" spans="1:6" x14ac:dyDescent="0.25">
      <c r="A155" t="s">
        <v>339</v>
      </c>
      <c r="B155" s="1">
        <v>43330</v>
      </c>
      <c r="C155" s="1" t="str">
        <f>TEXT(Table1[[#This Row],[Order Date]],"mmm-yy")</f>
        <v>Aug-18</v>
      </c>
      <c r="D155" t="s">
        <v>340</v>
      </c>
      <c r="E155" t="s">
        <v>43</v>
      </c>
      <c r="F155" t="s">
        <v>44</v>
      </c>
    </row>
    <row r="156" spans="1:6" x14ac:dyDescent="0.25">
      <c r="A156" t="s">
        <v>341</v>
      </c>
      <c r="B156" s="1">
        <v>43331</v>
      </c>
      <c r="C156" s="1" t="str">
        <f>TEXT(Table1[[#This Row],[Order Date]],"mmm-yy")</f>
        <v>Aug-18</v>
      </c>
      <c r="D156" t="s">
        <v>342</v>
      </c>
      <c r="E156" t="s">
        <v>47</v>
      </c>
      <c r="F156" t="s">
        <v>48</v>
      </c>
    </row>
    <row r="157" spans="1:6" x14ac:dyDescent="0.25">
      <c r="A157" t="s">
        <v>343</v>
      </c>
      <c r="B157" s="1">
        <v>43332</v>
      </c>
      <c r="C157" s="1" t="str">
        <f>TEXT(Table1[[#This Row],[Order Date]],"mmm-yy")</f>
        <v>Aug-18</v>
      </c>
      <c r="D157" t="s">
        <v>344</v>
      </c>
      <c r="E157" t="s">
        <v>11</v>
      </c>
      <c r="F157" t="s">
        <v>91</v>
      </c>
    </row>
    <row r="158" spans="1:6" x14ac:dyDescent="0.25">
      <c r="A158" t="s">
        <v>345</v>
      </c>
      <c r="B158" s="1">
        <v>43333</v>
      </c>
      <c r="C158" s="1" t="str">
        <f>TEXT(Table1[[#This Row],[Order Date]],"mmm-yy")</f>
        <v>Aug-18</v>
      </c>
      <c r="D158" t="s">
        <v>346</v>
      </c>
      <c r="E158" t="s">
        <v>15</v>
      </c>
      <c r="F158" t="s">
        <v>94</v>
      </c>
    </row>
    <row r="159" spans="1:6" x14ac:dyDescent="0.25">
      <c r="A159" t="s">
        <v>347</v>
      </c>
      <c r="B159" s="1">
        <v>43334</v>
      </c>
      <c r="C159" s="1" t="str">
        <f>TEXT(Table1[[#This Row],[Order Date]],"mmm-yy")</f>
        <v>Aug-18</v>
      </c>
      <c r="D159" t="s">
        <v>308</v>
      </c>
      <c r="E159" t="s">
        <v>58</v>
      </c>
      <c r="F159" t="s">
        <v>59</v>
      </c>
    </row>
    <row r="160" spans="1:6" x14ac:dyDescent="0.25">
      <c r="A160" t="s">
        <v>348</v>
      </c>
      <c r="B160" s="1">
        <v>43335</v>
      </c>
      <c r="C160" s="1" t="str">
        <f>TEXT(Table1[[#This Row],[Order Date]],"mmm-yy")</f>
        <v>Aug-18</v>
      </c>
      <c r="D160" t="s">
        <v>349</v>
      </c>
      <c r="E160" t="s">
        <v>62</v>
      </c>
      <c r="F160" t="s">
        <v>63</v>
      </c>
    </row>
    <row r="161" spans="1:6" x14ac:dyDescent="0.25">
      <c r="A161" t="s">
        <v>350</v>
      </c>
      <c r="B161" s="1">
        <v>43336</v>
      </c>
      <c r="C161" s="1" t="str">
        <f>TEXT(Table1[[#This Row],[Order Date]],"mmm-yy")</f>
        <v>Aug-18</v>
      </c>
      <c r="D161" t="s">
        <v>96</v>
      </c>
      <c r="E161" t="s">
        <v>66</v>
      </c>
      <c r="F161" t="s">
        <v>66</v>
      </c>
    </row>
    <row r="162" spans="1:6" x14ac:dyDescent="0.25">
      <c r="A162" t="s">
        <v>351</v>
      </c>
      <c r="B162" s="1">
        <v>43337</v>
      </c>
      <c r="C162" s="1" t="str">
        <f>TEXT(Table1[[#This Row],[Order Date]],"mmm-yy")</f>
        <v>Aug-18</v>
      </c>
      <c r="D162" t="s">
        <v>269</v>
      </c>
      <c r="E162" t="s">
        <v>11</v>
      </c>
      <c r="F162" t="s">
        <v>91</v>
      </c>
    </row>
    <row r="163" spans="1:6" x14ac:dyDescent="0.25">
      <c r="A163" t="s">
        <v>352</v>
      </c>
      <c r="B163" s="1">
        <v>43338</v>
      </c>
      <c r="C163" s="1" t="str">
        <f>TEXT(Table1[[#This Row],[Order Date]],"mmm-yy")</f>
        <v>Aug-18</v>
      </c>
      <c r="D163" t="s">
        <v>353</v>
      </c>
      <c r="E163" t="s">
        <v>15</v>
      </c>
      <c r="F163" t="s">
        <v>94</v>
      </c>
    </row>
    <row r="164" spans="1:6" x14ac:dyDescent="0.25">
      <c r="A164" t="s">
        <v>354</v>
      </c>
      <c r="B164" s="1">
        <v>43339</v>
      </c>
      <c r="C164" s="1" t="str">
        <f>TEXT(Table1[[#This Row],[Order Date]],"mmm-yy")</f>
        <v>Aug-18</v>
      </c>
      <c r="D164" t="s">
        <v>355</v>
      </c>
      <c r="E164" t="s">
        <v>7</v>
      </c>
      <c r="F164" t="s">
        <v>8</v>
      </c>
    </row>
    <row r="165" spans="1:6" x14ac:dyDescent="0.25">
      <c r="A165" t="s">
        <v>356</v>
      </c>
      <c r="B165" s="1">
        <v>43340</v>
      </c>
      <c r="C165" s="1" t="str">
        <f>TEXT(Table1[[#This Row],[Order Date]],"mmm-yy")</f>
        <v>Aug-18</v>
      </c>
      <c r="D165" t="s">
        <v>357</v>
      </c>
      <c r="E165" t="s">
        <v>11</v>
      </c>
      <c r="F165" t="s">
        <v>12</v>
      </c>
    </row>
    <row r="166" spans="1:6" x14ac:dyDescent="0.25">
      <c r="A166" t="s">
        <v>358</v>
      </c>
      <c r="B166" s="1">
        <v>43341</v>
      </c>
      <c r="C166" s="1" t="str">
        <f>TEXT(Table1[[#This Row],[Order Date]],"mmm-yy")</f>
        <v>Aug-18</v>
      </c>
      <c r="D166" t="s">
        <v>359</v>
      </c>
      <c r="E166" t="s">
        <v>15</v>
      </c>
      <c r="F166" t="s">
        <v>16</v>
      </c>
    </row>
    <row r="167" spans="1:6" x14ac:dyDescent="0.25">
      <c r="A167" t="s">
        <v>360</v>
      </c>
      <c r="B167" s="1">
        <v>43342</v>
      </c>
      <c r="C167" s="1" t="str">
        <f>TEXT(Table1[[#This Row],[Order Date]],"mmm-yy")</f>
        <v>Aug-18</v>
      </c>
      <c r="D167" t="s">
        <v>269</v>
      </c>
      <c r="E167" t="s">
        <v>19</v>
      </c>
      <c r="F167" t="s">
        <v>20</v>
      </c>
    </row>
    <row r="168" spans="1:6" x14ac:dyDescent="0.25">
      <c r="A168" t="s">
        <v>361</v>
      </c>
      <c r="B168" s="1">
        <v>43343</v>
      </c>
      <c r="C168" s="1" t="str">
        <f>TEXT(Table1[[#This Row],[Order Date]],"mmm-yy")</f>
        <v>Aug-18</v>
      </c>
      <c r="D168" t="s">
        <v>362</v>
      </c>
      <c r="E168" t="s">
        <v>23</v>
      </c>
      <c r="F168" t="s">
        <v>24</v>
      </c>
    </row>
    <row r="169" spans="1:6" x14ac:dyDescent="0.25">
      <c r="A169" t="s">
        <v>363</v>
      </c>
      <c r="B169" s="1">
        <v>43344</v>
      </c>
      <c r="C169" s="1" t="str">
        <f>TEXT(Table1[[#This Row],[Order Date]],"mmm-yy")</f>
        <v>Sep-18</v>
      </c>
      <c r="D169" t="s">
        <v>364</v>
      </c>
      <c r="E169" t="s">
        <v>27</v>
      </c>
      <c r="F169" t="s">
        <v>28</v>
      </c>
    </row>
    <row r="170" spans="1:6" x14ac:dyDescent="0.25">
      <c r="A170" t="s">
        <v>365</v>
      </c>
      <c r="B170" s="1">
        <v>43345</v>
      </c>
      <c r="C170" s="1" t="str">
        <f>TEXT(Table1[[#This Row],[Order Date]],"mmm-yy")</f>
        <v>Sep-18</v>
      </c>
      <c r="D170" t="s">
        <v>366</v>
      </c>
      <c r="E170" t="s">
        <v>11</v>
      </c>
      <c r="F170" t="s">
        <v>91</v>
      </c>
    </row>
    <row r="171" spans="1:6" x14ac:dyDescent="0.25">
      <c r="A171" t="s">
        <v>367</v>
      </c>
      <c r="B171" s="1">
        <v>43345</v>
      </c>
      <c r="C171" s="1" t="str">
        <f>TEXT(Table1[[#This Row],[Order Date]],"mmm-yy")</f>
        <v>Sep-18</v>
      </c>
      <c r="D171" t="s">
        <v>259</v>
      </c>
      <c r="E171" t="s">
        <v>15</v>
      </c>
      <c r="F171" t="s">
        <v>94</v>
      </c>
    </row>
    <row r="172" spans="1:6" x14ac:dyDescent="0.25">
      <c r="A172" t="s">
        <v>368</v>
      </c>
      <c r="B172" s="1">
        <v>43345</v>
      </c>
      <c r="C172" s="1" t="str">
        <f>TEXT(Table1[[#This Row],[Order Date]],"mmm-yy")</f>
        <v>Sep-18</v>
      </c>
      <c r="D172" t="s">
        <v>369</v>
      </c>
      <c r="E172" t="s">
        <v>39</v>
      </c>
      <c r="F172" t="s">
        <v>40</v>
      </c>
    </row>
    <row r="173" spans="1:6" x14ac:dyDescent="0.25">
      <c r="A173" t="s">
        <v>370</v>
      </c>
      <c r="B173" s="1">
        <v>43345</v>
      </c>
      <c r="C173" s="1" t="str">
        <f>TEXT(Table1[[#This Row],[Order Date]],"mmm-yy")</f>
        <v>Sep-18</v>
      </c>
      <c r="D173" t="s">
        <v>371</v>
      </c>
      <c r="E173" t="s">
        <v>43</v>
      </c>
      <c r="F173" t="s">
        <v>44</v>
      </c>
    </row>
    <row r="174" spans="1:6" x14ac:dyDescent="0.25">
      <c r="A174" t="s">
        <v>372</v>
      </c>
      <c r="B174" s="1">
        <v>43349</v>
      </c>
      <c r="C174" s="1" t="str">
        <f>TEXT(Table1[[#This Row],[Order Date]],"mmm-yy")</f>
        <v>Sep-18</v>
      </c>
      <c r="D174" t="s">
        <v>190</v>
      </c>
      <c r="E174" t="s">
        <v>47</v>
      </c>
      <c r="F174" t="s">
        <v>48</v>
      </c>
    </row>
    <row r="175" spans="1:6" x14ac:dyDescent="0.25">
      <c r="A175" t="s">
        <v>373</v>
      </c>
      <c r="B175" s="1">
        <v>43350</v>
      </c>
      <c r="C175" s="1" t="str">
        <f>TEXT(Table1[[#This Row],[Order Date]],"mmm-yy")</f>
        <v>Sep-18</v>
      </c>
      <c r="D175" t="s">
        <v>374</v>
      </c>
      <c r="E175" t="s">
        <v>51</v>
      </c>
      <c r="F175" t="s">
        <v>52</v>
      </c>
    </row>
    <row r="176" spans="1:6" x14ac:dyDescent="0.25">
      <c r="A176" t="s">
        <v>375</v>
      </c>
      <c r="B176" s="1">
        <v>43351</v>
      </c>
      <c r="C176" s="1" t="str">
        <f>TEXT(Table1[[#This Row],[Order Date]],"mmm-yy")</f>
        <v>Sep-18</v>
      </c>
      <c r="D176" t="s">
        <v>376</v>
      </c>
      <c r="E176" t="s">
        <v>55</v>
      </c>
      <c r="F176" t="s">
        <v>52</v>
      </c>
    </row>
    <row r="177" spans="1:6" x14ac:dyDescent="0.25">
      <c r="A177" t="s">
        <v>377</v>
      </c>
      <c r="B177" s="1">
        <v>43352</v>
      </c>
      <c r="C177" s="1" t="str">
        <f>TEXT(Table1[[#This Row],[Order Date]],"mmm-yy")</f>
        <v>Sep-18</v>
      </c>
      <c r="D177" t="s">
        <v>378</v>
      </c>
      <c r="E177" t="s">
        <v>11</v>
      </c>
      <c r="F177" t="s">
        <v>91</v>
      </c>
    </row>
    <row r="178" spans="1:6" x14ac:dyDescent="0.25">
      <c r="A178" t="s">
        <v>379</v>
      </c>
      <c r="B178" s="1">
        <v>43353</v>
      </c>
      <c r="C178" s="1" t="str">
        <f>TEXT(Table1[[#This Row],[Order Date]],"mmm-yy")</f>
        <v>Sep-18</v>
      </c>
      <c r="D178" t="s">
        <v>380</v>
      </c>
      <c r="E178" t="s">
        <v>15</v>
      </c>
      <c r="F178" t="s">
        <v>94</v>
      </c>
    </row>
    <row r="179" spans="1:6" x14ac:dyDescent="0.25">
      <c r="A179" t="s">
        <v>381</v>
      </c>
      <c r="B179" s="1">
        <v>43354</v>
      </c>
      <c r="C179" s="1" t="str">
        <f>TEXT(Table1[[#This Row],[Order Date]],"mmm-yy")</f>
        <v>Sep-18</v>
      </c>
      <c r="D179" t="s">
        <v>269</v>
      </c>
      <c r="E179" t="s">
        <v>11</v>
      </c>
      <c r="F179" t="s">
        <v>91</v>
      </c>
    </row>
    <row r="180" spans="1:6" x14ac:dyDescent="0.25">
      <c r="A180" t="s">
        <v>382</v>
      </c>
      <c r="B180" s="1">
        <v>43355</v>
      </c>
      <c r="C180" s="1" t="str">
        <f>TEXT(Table1[[#This Row],[Order Date]],"mmm-yy")</f>
        <v>Sep-18</v>
      </c>
      <c r="D180" t="s">
        <v>383</v>
      </c>
      <c r="E180" t="s">
        <v>15</v>
      </c>
      <c r="F180" t="s">
        <v>94</v>
      </c>
    </row>
    <row r="181" spans="1:6" x14ac:dyDescent="0.25">
      <c r="A181" t="s">
        <v>384</v>
      </c>
      <c r="B181" s="1">
        <v>43356</v>
      </c>
      <c r="C181" s="1" t="str">
        <f>TEXT(Table1[[#This Row],[Order Date]],"mmm-yy")</f>
        <v>Sep-18</v>
      </c>
      <c r="D181" t="s">
        <v>385</v>
      </c>
      <c r="E181" t="s">
        <v>73</v>
      </c>
      <c r="F181" t="s">
        <v>74</v>
      </c>
    </row>
    <row r="182" spans="1:6" x14ac:dyDescent="0.25">
      <c r="A182" t="s">
        <v>386</v>
      </c>
      <c r="B182" s="1">
        <v>43357</v>
      </c>
      <c r="C182" s="1" t="str">
        <f>TEXT(Table1[[#This Row],[Order Date]],"mmm-yy")</f>
        <v>Sep-18</v>
      </c>
      <c r="D182" t="s">
        <v>387</v>
      </c>
      <c r="E182" t="s">
        <v>7</v>
      </c>
      <c r="F182" t="s">
        <v>8</v>
      </c>
    </row>
    <row r="183" spans="1:6" x14ac:dyDescent="0.25">
      <c r="A183" t="s">
        <v>388</v>
      </c>
      <c r="B183" s="1">
        <v>43358</v>
      </c>
      <c r="C183" s="1" t="str">
        <f>TEXT(Table1[[#This Row],[Order Date]],"mmm-yy")</f>
        <v>Sep-18</v>
      </c>
      <c r="D183" t="s">
        <v>200</v>
      </c>
      <c r="E183" t="s">
        <v>11</v>
      </c>
      <c r="F183" t="s">
        <v>91</v>
      </c>
    </row>
    <row r="184" spans="1:6" x14ac:dyDescent="0.25">
      <c r="A184" t="s">
        <v>389</v>
      </c>
      <c r="B184" s="1">
        <v>43358</v>
      </c>
      <c r="C184" s="1" t="str">
        <f>TEXT(Table1[[#This Row],[Order Date]],"mmm-yy")</f>
        <v>Sep-18</v>
      </c>
      <c r="D184" t="s">
        <v>390</v>
      </c>
      <c r="E184" t="s">
        <v>15</v>
      </c>
      <c r="F184" t="s">
        <v>94</v>
      </c>
    </row>
    <row r="185" spans="1:6" x14ac:dyDescent="0.25">
      <c r="A185" t="s">
        <v>391</v>
      </c>
      <c r="B185" s="1">
        <v>43358</v>
      </c>
      <c r="C185" s="1" t="str">
        <f>TEXT(Table1[[#This Row],[Order Date]],"mmm-yy")</f>
        <v>Sep-18</v>
      </c>
      <c r="D185" t="s">
        <v>392</v>
      </c>
      <c r="E185" t="s">
        <v>19</v>
      </c>
      <c r="F185" t="s">
        <v>20</v>
      </c>
    </row>
    <row r="186" spans="1:6" x14ac:dyDescent="0.25">
      <c r="A186" t="s">
        <v>393</v>
      </c>
      <c r="B186" s="1">
        <v>43358</v>
      </c>
      <c r="C186" s="1" t="str">
        <f>TEXT(Table1[[#This Row],[Order Date]],"mmm-yy")</f>
        <v>Sep-18</v>
      </c>
      <c r="D186" t="s">
        <v>310</v>
      </c>
      <c r="E186" t="s">
        <v>23</v>
      </c>
      <c r="F186" t="s">
        <v>24</v>
      </c>
    </row>
    <row r="187" spans="1:6" x14ac:dyDescent="0.25">
      <c r="A187" t="s">
        <v>394</v>
      </c>
      <c r="B187" s="1">
        <v>43362</v>
      </c>
      <c r="C187" s="1" t="str">
        <f>TEXT(Table1[[#This Row],[Order Date]],"mmm-yy")</f>
        <v>Sep-18</v>
      </c>
      <c r="D187" t="s">
        <v>395</v>
      </c>
      <c r="E187" t="s">
        <v>27</v>
      </c>
      <c r="F187" t="s">
        <v>28</v>
      </c>
    </row>
    <row r="188" spans="1:6" x14ac:dyDescent="0.25">
      <c r="A188" t="s">
        <v>396</v>
      </c>
      <c r="B188" s="1">
        <v>43363</v>
      </c>
      <c r="C188" s="1" t="str">
        <f>TEXT(Table1[[#This Row],[Order Date]],"mmm-yy")</f>
        <v>Sep-18</v>
      </c>
      <c r="D188" t="s">
        <v>397</v>
      </c>
      <c r="E188" t="s">
        <v>31</v>
      </c>
      <c r="F188" t="s">
        <v>32</v>
      </c>
    </row>
    <row r="189" spans="1:6" x14ac:dyDescent="0.25">
      <c r="A189" t="s">
        <v>398</v>
      </c>
      <c r="B189" s="1">
        <v>43364</v>
      </c>
      <c r="C189" s="1" t="str">
        <f>TEXT(Table1[[#This Row],[Order Date]],"mmm-yy")</f>
        <v>Sep-18</v>
      </c>
      <c r="D189" t="s">
        <v>399</v>
      </c>
      <c r="E189" t="s">
        <v>35</v>
      </c>
      <c r="F189" t="s">
        <v>36</v>
      </c>
    </row>
    <row r="190" spans="1:6" x14ac:dyDescent="0.25">
      <c r="A190" t="s">
        <v>400</v>
      </c>
      <c r="B190" s="1">
        <v>43365</v>
      </c>
      <c r="C190" s="1" t="str">
        <f>TEXT(Table1[[#This Row],[Order Date]],"mmm-yy")</f>
        <v>Sep-18</v>
      </c>
      <c r="D190" t="s">
        <v>340</v>
      </c>
      <c r="E190" t="s">
        <v>39</v>
      </c>
      <c r="F190" t="s">
        <v>40</v>
      </c>
    </row>
    <row r="191" spans="1:6" x14ac:dyDescent="0.25">
      <c r="A191" t="s">
        <v>401</v>
      </c>
      <c r="B191" s="1">
        <v>43366</v>
      </c>
      <c r="C191" s="1" t="str">
        <f>TEXT(Table1[[#This Row],[Order Date]],"mmm-yy")</f>
        <v>Sep-18</v>
      </c>
      <c r="D191" t="s">
        <v>402</v>
      </c>
      <c r="E191" t="s">
        <v>43</v>
      </c>
      <c r="F191" t="s">
        <v>44</v>
      </c>
    </row>
    <row r="192" spans="1:6" x14ac:dyDescent="0.25">
      <c r="A192" t="s">
        <v>403</v>
      </c>
      <c r="B192" s="1">
        <v>43367</v>
      </c>
      <c r="C192" s="1" t="str">
        <f>TEXT(Table1[[#This Row],[Order Date]],"mmm-yy")</f>
        <v>Sep-18</v>
      </c>
      <c r="D192" t="s">
        <v>404</v>
      </c>
      <c r="E192" t="s">
        <v>47</v>
      </c>
      <c r="F192" t="s">
        <v>48</v>
      </c>
    </row>
    <row r="193" spans="1:6" x14ac:dyDescent="0.25">
      <c r="A193" t="s">
        <v>405</v>
      </c>
      <c r="B193" s="1">
        <v>43367</v>
      </c>
      <c r="C193" s="1" t="str">
        <f>TEXT(Table1[[#This Row],[Order Date]],"mmm-yy")</f>
        <v>Sep-18</v>
      </c>
      <c r="D193" t="s">
        <v>395</v>
      </c>
      <c r="E193" t="s">
        <v>11</v>
      </c>
      <c r="F193" t="s">
        <v>91</v>
      </c>
    </row>
    <row r="194" spans="1:6" x14ac:dyDescent="0.25">
      <c r="A194" t="s">
        <v>406</v>
      </c>
      <c r="B194" s="1">
        <v>43367</v>
      </c>
      <c r="C194" s="1" t="str">
        <f>TEXT(Table1[[#This Row],[Order Date]],"mmm-yy")</f>
        <v>Sep-18</v>
      </c>
      <c r="D194" t="s">
        <v>407</v>
      </c>
      <c r="E194" t="s">
        <v>15</v>
      </c>
      <c r="F194" t="s">
        <v>94</v>
      </c>
    </row>
    <row r="195" spans="1:6" x14ac:dyDescent="0.25">
      <c r="A195" t="s">
        <v>408</v>
      </c>
      <c r="B195" s="1">
        <v>43367</v>
      </c>
      <c r="C195" s="1" t="str">
        <f>TEXT(Table1[[#This Row],[Order Date]],"mmm-yy")</f>
        <v>Sep-18</v>
      </c>
      <c r="D195" t="s">
        <v>136</v>
      </c>
      <c r="E195" t="s">
        <v>58</v>
      </c>
      <c r="F195" t="s">
        <v>59</v>
      </c>
    </row>
    <row r="196" spans="1:6" x14ac:dyDescent="0.25">
      <c r="A196" t="s">
        <v>409</v>
      </c>
      <c r="B196" s="1">
        <v>43367</v>
      </c>
      <c r="C196" s="1" t="str">
        <f>TEXT(Table1[[#This Row],[Order Date]],"mmm-yy")</f>
        <v>Sep-18</v>
      </c>
      <c r="D196" t="s">
        <v>410</v>
      </c>
      <c r="E196" t="s">
        <v>62</v>
      </c>
      <c r="F196" t="s">
        <v>63</v>
      </c>
    </row>
    <row r="197" spans="1:6" x14ac:dyDescent="0.25">
      <c r="A197" t="s">
        <v>411</v>
      </c>
      <c r="B197" s="1">
        <v>43367</v>
      </c>
      <c r="C197" s="1" t="str">
        <f>TEXT(Table1[[#This Row],[Order Date]],"mmm-yy")</f>
        <v>Sep-18</v>
      </c>
      <c r="D197" t="s">
        <v>412</v>
      </c>
      <c r="E197" t="s">
        <v>11</v>
      </c>
      <c r="F197" t="s">
        <v>91</v>
      </c>
    </row>
    <row r="198" spans="1:6" x14ac:dyDescent="0.25">
      <c r="A198" t="s">
        <v>413</v>
      </c>
      <c r="B198" s="1">
        <v>43373</v>
      </c>
      <c r="C198" s="1" t="str">
        <f>TEXT(Table1[[#This Row],[Order Date]],"mmm-yy")</f>
        <v>Sep-18</v>
      </c>
      <c r="D198" t="s">
        <v>414</v>
      </c>
      <c r="E198" t="s">
        <v>15</v>
      </c>
      <c r="F198" t="s">
        <v>94</v>
      </c>
    </row>
    <row r="199" spans="1:6" x14ac:dyDescent="0.25">
      <c r="A199" t="s">
        <v>415</v>
      </c>
      <c r="B199" s="1">
        <v>43374</v>
      </c>
      <c r="C199" s="1" t="str">
        <f>TEXT(Table1[[#This Row],[Order Date]],"mmm-yy")</f>
        <v>Oct-18</v>
      </c>
      <c r="D199" t="s">
        <v>416</v>
      </c>
      <c r="E199" t="s">
        <v>73</v>
      </c>
      <c r="F199" t="s">
        <v>74</v>
      </c>
    </row>
    <row r="200" spans="1:6" x14ac:dyDescent="0.25">
      <c r="A200" t="s">
        <v>417</v>
      </c>
      <c r="B200" s="1">
        <v>43374</v>
      </c>
      <c r="C200" s="1" t="str">
        <f>TEXT(Table1[[#This Row],[Order Date]],"mmm-yy")</f>
        <v>Oct-18</v>
      </c>
      <c r="D200" t="s">
        <v>418</v>
      </c>
      <c r="E200" t="s">
        <v>7</v>
      </c>
      <c r="F200" t="s">
        <v>8</v>
      </c>
    </row>
    <row r="201" spans="1:6" x14ac:dyDescent="0.25">
      <c r="A201" t="s">
        <v>419</v>
      </c>
      <c r="B201" s="1">
        <v>43374</v>
      </c>
      <c r="C201" s="1" t="str">
        <f>TEXT(Table1[[#This Row],[Order Date]],"mmm-yy")</f>
        <v>Oct-18</v>
      </c>
      <c r="D201" t="s">
        <v>420</v>
      </c>
      <c r="E201" t="s">
        <v>11</v>
      </c>
      <c r="F201" t="s">
        <v>12</v>
      </c>
    </row>
    <row r="202" spans="1:6" x14ac:dyDescent="0.25">
      <c r="A202" t="s">
        <v>421</v>
      </c>
      <c r="B202" s="1">
        <v>43374</v>
      </c>
      <c r="C202" s="1" t="str">
        <f>TEXT(Table1[[#This Row],[Order Date]],"mmm-yy")</f>
        <v>Oct-18</v>
      </c>
      <c r="D202" t="s">
        <v>422</v>
      </c>
      <c r="E202" t="s">
        <v>15</v>
      </c>
      <c r="F202" t="s">
        <v>16</v>
      </c>
    </row>
    <row r="203" spans="1:6" x14ac:dyDescent="0.25">
      <c r="A203" t="s">
        <v>423</v>
      </c>
      <c r="B203" s="1">
        <v>43378</v>
      </c>
      <c r="C203" s="1" t="str">
        <f>TEXT(Table1[[#This Row],[Order Date]],"mmm-yy")</f>
        <v>Oct-18</v>
      </c>
      <c r="D203" t="s">
        <v>424</v>
      </c>
      <c r="E203" t="s">
        <v>11</v>
      </c>
      <c r="F203" t="s">
        <v>91</v>
      </c>
    </row>
    <row r="204" spans="1:6" x14ac:dyDescent="0.25">
      <c r="A204" t="s">
        <v>425</v>
      </c>
      <c r="B204" s="1">
        <v>43378</v>
      </c>
      <c r="C204" s="1" t="str">
        <f>TEXT(Table1[[#This Row],[Order Date]],"mmm-yy")</f>
        <v>Oct-18</v>
      </c>
      <c r="D204" t="s">
        <v>426</v>
      </c>
      <c r="E204" t="s">
        <v>15</v>
      </c>
      <c r="F204" t="s">
        <v>94</v>
      </c>
    </row>
    <row r="205" spans="1:6" x14ac:dyDescent="0.25">
      <c r="A205" t="s">
        <v>427</v>
      </c>
      <c r="B205" s="1">
        <v>43378</v>
      </c>
      <c r="C205" s="1" t="str">
        <f>TEXT(Table1[[#This Row],[Order Date]],"mmm-yy")</f>
        <v>Oct-18</v>
      </c>
      <c r="D205" t="s">
        <v>428</v>
      </c>
      <c r="E205" t="s">
        <v>27</v>
      </c>
      <c r="F205" t="s">
        <v>28</v>
      </c>
    </row>
    <row r="206" spans="1:6" x14ac:dyDescent="0.25">
      <c r="A206" t="s">
        <v>429</v>
      </c>
      <c r="B206" s="1">
        <v>43378</v>
      </c>
      <c r="C206" s="1" t="str">
        <f>TEXT(Table1[[#This Row],[Order Date]],"mmm-yy")</f>
        <v>Oct-18</v>
      </c>
      <c r="D206" t="s">
        <v>430</v>
      </c>
      <c r="E206" t="s">
        <v>11</v>
      </c>
      <c r="F206" t="s">
        <v>91</v>
      </c>
    </row>
    <row r="207" spans="1:6" x14ac:dyDescent="0.25">
      <c r="A207" t="s">
        <v>431</v>
      </c>
      <c r="B207" s="1">
        <v>43379</v>
      </c>
      <c r="C207" s="1" t="str">
        <f>TEXT(Table1[[#This Row],[Order Date]],"mmm-yy")</f>
        <v>Oct-18</v>
      </c>
      <c r="D207" t="s">
        <v>432</v>
      </c>
      <c r="E207" t="s">
        <v>15</v>
      </c>
      <c r="F207" t="s">
        <v>94</v>
      </c>
    </row>
    <row r="208" spans="1:6" x14ac:dyDescent="0.25">
      <c r="A208" t="s">
        <v>433</v>
      </c>
      <c r="B208" s="1">
        <v>43380</v>
      </c>
      <c r="C208" s="1" t="str">
        <f>TEXT(Table1[[#This Row],[Order Date]],"mmm-yy")</f>
        <v>Oct-18</v>
      </c>
      <c r="D208" t="s">
        <v>434</v>
      </c>
      <c r="E208" t="s">
        <v>39</v>
      </c>
      <c r="F208" t="s">
        <v>40</v>
      </c>
    </row>
    <row r="209" spans="1:6" x14ac:dyDescent="0.25">
      <c r="A209" t="s">
        <v>435</v>
      </c>
      <c r="B209" s="1">
        <v>43381</v>
      </c>
      <c r="C209" s="1" t="str">
        <f>TEXT(Table1[[#This Row],[Order Date]],"mmm-yy")</f>
        <v>Oct-18</v>
      </c>
      <c r="D209" t="s">
        <v>436</v>
      </c>
      <c r="E209" t="s">
        <v>43</v>
      </c>
      <c r="F209" t="s">
        <v>44</v>
      </c>
    </row>
    <row r="210" spans="1:6" x14ac:dyDescent="0.25">
      <c r="A210" t="s">
        <v>437</v>
      </c>
      <c r="B210" s="1">
        <v>43382</v>
      </c>
      <c r="C210" s="1" t="str">
        <f>TEXT(Table1[[#This Row],[Order Date]],"mmm-yy")</f>
        <v>Oct-18</v>
      </c>
      <c r="D210" t="s">
        <v>438</v>
      </c>
      <c r="E210" t="s">
        <v>47</v>
      </c>
      <c r="F210" t="s">
        <v>48</v>
      </c>
    </row>
    <row r="211" spans="1:6" x14ac:dyDescent="0.25">
      <c r="A211" t="s">
        <v>439</v>
      </c>
      <c r="B211" s="1">
        <v>43383</v>
      </c>
      <c r="C211" s="1" t="str">
        <f>TEXT(Table1[[#This Row],[Order Date]],"mmm-yy")</f>
        <v>Oct-18</v>
      </c>
      <c r="D211" t="s">
        <v>440</v>
      </c>
      <c r="E211" t="s">
        <v>51</v>
      </c>
      <c r="F211" t="s">
        <v>52</v>
      </c>
    </row>
    <row r="212" spans="1:6" x14ac:dyDescent="0.25">
      <c r="A212" t="s">
        <v>441</v>
      </c>
      <c r="B212" s="1">
        <v>43383</v>
      </c>
      <c r="C212" s="1" t="str">
        <f>TEXT(Table1[[#This Row],[Order Date]],"mmm-yy")</f>
        <v>Oct-18</v>
      </c>
      <c r="D212" t="s">
        <v>442</v>
      </c>
      <c r="E212" t="s">
        <v>11</v>
      </c>
      <c r="F212" t="s">
        <v>91</v>
      </c>
    </row>
    <row r="213" spans="1:6" x14ac:dyDescent="0.25">
      <c r="A213" t="s">
        <v>443</v>
      </c>
      <c r="B213" s="1">
        <v>43383</v>
      </c>
      <c r="C213" s="1" t="str">
        <f>TEXT(Table1[[#This Row],[Order Date]],"mmm-yy")</f>
        <v>Oct-18</v>
      </c>
      <c r="D213" t="s">
        <v>444</v>
      </c>
      <c r="E213" t="s">
        <v>15</v>
      </c>
      <c r="F213" t="s">
        <v>94</v>
      </c>
    </row>
    <row r="214" spans="1:6" x14ac:dyDescent="0.25">
      <c r="A214" t="s">
        <v>445</v>
      </c>
      <c r="B214" s="1">
        <v>43383</v>
      </c>
      <c r="C214" s="1" t="str">
        <f>TEXT(Table1[[#This Row],[Order Date]],"mmm-yy")</f>
        <v>Oct-18</v>
      </c>
      <c r="D214" t="s">
        <v>446</v>
      </c>
      <c r="E214" t="s">
        <v>11</v>
      </c>
      <c r="F214" t="s">
        <v>91</v>
      </c>
    </row>
    <row r="215" spans="1:6" x14ac:dyDescent="0.25">
      <c r="A215" t="s">
        <v>447</v>
      </c>
      <c r="B215" s="1">
        <v>43383</v>
      </c>
      <c r="C215" s="1" t="str">
        <f>TEXT(Table1[[#This Row],[Order Date]],"mmm-yy")</f>
        <v>Oct-18</v>
      </c>
      <c r="D215" t="s">
        <v>448</v>
      </c>
      <c r="E215" t="s">
        <v>15</v>
      </c>
      <c r="F215" t="s">
        <v>94</v>
      </c>
    </row>
    <row r="216" spans="1:6" x14ac:dyDescent="0.25">
      <c r="A216" t="s">
        <v>449</v>
      </c>
      <c r="B216" s="1">
        <v>43383</v>
      </c>
      <c r="C216" s="1" t="str">
        <f>TEXT(Table1[[#This Row],[Order Date]],"mmm-yy")</f>
        <v>Oct-18</v>
      </c>
      <c r="D216" t="s">
        <v>328</v>
      </c>
      <c r="E216" t="s">
        <v>69</v>
      </c>
      <c r="F216" t="s">
        <v>70</v>
      </c>
    </row>
    <row r="217" spans="1:6" x14ac:dyDescent="0.25">
      <c r="A217" t="s">
        <v>450</v>
      </c>
      <c r="B217" s="1">
        <v>43385</v>
      </c>
      <c r="C217" s="1" t="str">
        <f>TEXT(Table1[[#This Row],[Order Date]],"mmm-yy")</f>
        <v>Oct-18</v>
      </c>
      <c r="D217" t="s">
        <v>451</v>
      </c>
      <c r="E217" t="s">
        <v>73</v>
      </c>
      <c r="F217" t="s">
        <v>74</v>
      </c>
    </row>
    <row r="218" spans="1:6" x14ac:dyDescent="0.25">
      <c r="A218" t="s">
        <v>452</v>
      </c>
      <c r="B218" s="1">
        <v>43386</v>
      </c>
      <c r="C218" s="1" t="str">
        <f>TEXT(Table1[[#This Row],[Order Date]],"mmm-yy")</f>
        <v>Oct-18</v>
      </c>
      <c r="D218" t="s">
        <v>453</v>
      </c>
      <c r="E218" t="s">
        <v>11</v>
      </c>
      <c r="F218" t="s">
        <v>91</v>
      </c>
    </row>
    <row r="219" spans="1:6" x14ac:dyDescent="0.25">
      <c r="A219" t="s">
        <v>454</v>
      </c>
      <c r="B219" s="1">
        <v>43387</v>
      </c>
      <c r="C219" s="1" t="str">
        <f>TEXT(Table1[[#This Row],[Order Date]],"mmm-yy")</f>
        <v>Oct-18</v>
      </c>
      <c r="D219" t="s">
        <v>455</v>
      </c>
      <c r="E219" t="s">
        <v>15</v>
      </c>
      <c r="F219" t="s">
        <v>94</v>
      </c>
    </row>
    <row r="220" spans="1:6" x14ac:dyDescent="0.25">
      <c r="A220" t="s">
        <v>456</v>
      </c>
      <c r="B220" s="1">
        <v>43388</v>
      </c>
      <c r="C220" s="1" t="str">
        <f>TEXT(Table1[[#This Row],[Order Date]],"mmm-yy")</f>
        <v>Oct-18</v>
      </c>
      <c r="D220" t="s">
        <v>457</v>
      </c>
      <c r="E220" t="s">
        <v>15</v>
      </c>
      <c r="F220" t="s">
        <v>16</v>
      </c>
    </row>
    <row r="221" spans="1:6" x14ac:dyDescent="0.25">
      <c r="A221" t="s">
        <v>458</v>
      </c>
      <c r="B221" s="1">
        <v>43389</v>
      </c>
      <c r="C221" s="1" t="str">
        <f>TEXT(Table1[[#This Row],[Order Date]],"mmm-yy")</f>
        <v>Oct-18</v>
      </c>
      <c r="D221" t="s">
        <v>459</v>
      </c>
      <c r="E221" t="s">
        <v>19</v>
      </c>
      <c r="F221" t="s">
        <v>20</v>
      </c>
    </row>
    <row r="222" spans="1:6" x14ac:dyDescent="0.25">
      <c r="A222" t="s">
        <v>460</v>
      </c>
      <c r="B222" s="1">
        <v>43389</v>
      </c>
      <c r="C222" s="1" t="str">
        <f>TEXT(Table1[[#This Row],[Order Date]],"mmm-yy")</f>
        <v>Oct-18</v>
      </c>
      <c r="D222" t="s">
        <v>124</v>
      </c>
      <c r="E222" t="s">
        <v>23</v>
      </c>
      <c r="F222" t="s">
        <v>24</v>
      </c>
    </row>
    <row r="223" spans="1:6" x14ac:dyDescent="0.25">
      <c r="A223" t="s">
        <v>461</v>
      </c>
      <c r="B223" s="1">
        <v>43391</v>
      </c>
      <c r="C223" s="1" t="str">
        <f>TEXT(Table1[[#This Row],[Order Date]],"mmm-yy")</f>
        <v>Oct-18</v>
      </c>
      <c r="D223" t="s">
        <v>462</v>
      </c>
      <c r="E223" t="s">
        <v>27</v>
      </c>
      <c r="F223" t="s">
        <v>28</v>
      </c>
    </row>
    <row r="224" spans="1:6" x14ac:dyDescent="0.25">
      <c r="A224" t="s">
        <v>463</v>
      </c>
      <c r="B224" s="1">
        <v>43391</v>
      </c>
      <c r="C224" s="1" t="str">
        <f>TEXT(Table1[[#This Row],[Order Date]],"mmm-yy")</f>
        <v>Oct-18</v>
      </c>
      <c r="D224" t="s">
        <v>464</v>
      </c>
      <c r="E224" t="s">
        <v>11</v>
      </c>
      <c r="F224" t="s">
        <v>91</v>
      </c>
    </row>
    <row r="225" spans="1:6" x14ac:dyDescent="0.25">
      <c r="A225" t="s">
        <v>465</v>
      </c>
      <c r="B225" s="1">
        <v>43393</v>
      </c>
      <c r="C225" s="1" t="str">
        <f>TEXT(Table1[[#This Row],[Order Date]],"mmm-yy")</f>
        <v>Oct-18</v>
      </c>
      <c r="D225" t="s">
        <v>466</v>
      </c>
      <c r="E225" t="s">
        <v>15</v>
      </c>
      <c r="F225" t="s">
        <v>94</v>
      </c>
    </row>
    <row r="226" spans="1:6" x14ac:dyDescent="0.25">
      <c r="A226" t="s">
        <v>467</v>
      </c>
      <c r="B226" s="1">
        <v>43394</v>
      </c>
      <c r="C226" s="1" t="str">
        <f>TEXT(Table1[[#This Row],[Order Date]],"mmm-yy")</f>
        <v>Oct-18</v>
      </c>
      <c r="D226" t="s">
        <v>324</v>
      </c>
      <c r="E226" t="s">
        <v>15</v>
      </c>
      <c r="F226" t="s">
        <v>94</v>
      </c>
    </row>
    <row r="227" spans="1:6" x14ac:dyDescent="0.25">
      <c r="A227" t="s">
        <v>468</v>
      </c>
      <c r="B227" s="1">
        <v>43395</v>
      </c>
      <c r="C227" s="1" t="str">
        <f>TEXT(Table1[[#This Row],[Order Date]],"mmm-yy")</f>
        <v>Oct-18</v>
      </c>
      <c r="D227" t="s">
        <v>469</v>
      </c>
      <c r="E227" t="s">
        <v>11</v>
      </c>
      <c r="F227" t="s">
        <v>91</v>
      </c>
    </row>
    <row r="228" spans="1:6" x14ac:dyDescent="0.25">
      <c r="A228" t="s">
        <v>470</v>
      </c>
      <c r="B228" s="1">
        <v>43396</v>
      </c>
      <c r="C228" s="1" t="str">
        <f>TEXT(Table1[[#This Row],[Order Date]],"mmm-yy")</f>
        <v>Oct-18</v>
      </c>
      <c r="D228" t="s">
        <v>209</v>
      </c>
      <c r="E228" t="s">
        <v>15</v>
      </c>
      <c r="F228" t="s">
        <v>94</v>
      </c>
    </row>
    <row r="229" spans="1:6" x14ac:dyDescent="0.25">
      <c r="A229" t="s">
        <v>471</v>
      </c>
      <c r="B229" s="1">
        <v>43397</v>
      </c>
      <c r="C229" s="1" t="str">
        <f>TEXT(Table1[[#This Row],[Order Date]],"mmm-yy")</f>
        <v>Oct-18</v>
      </c>
      <c r="D229" t="s">
        <v>472</v>
      </c>
      <c r="E229" t="s">
        <v>51</v>
      </c>
      <c r="F229" t="s">
        <v>52</v>
      </c>
    </row>
    <row r="230" spans="1:6" x14ac:dyDescent="0.25">
      <c r="A230" t="s">
        <v>473</v>
      </c>
      <c r="B230" s="1">
        <v>43398</v>
      </c>
      <c r="C230" s="1" t="str">
        <f>TEXT(Table1[[#This Row],[Order Date]],"mmm-yy")</f>
        <v>Oct-18</v>
      </c>
      <c r="D230" t="s">
        <v>474</v>
      </c>
      <c r="E230" t="s">
        <v>55</v>
      </c>
      <c r="F230" t="s">
        <v>52</v>
      </c>
    </row>
    <row r="231" spans="1:6" x14ac:dyDescent="0.25">
      <c r="A231" t="s">
        <v>475</v>
      </c>
      <c r="B231" s="1">
        <v>43399</v>
      </c>
      <c r="C231" s="1" t="str">
        <f>TEXT(Table1[[#This Row],[Order Date]],"mmm-yy")</f>
        <v>Oct-18</v>
      </c>
      <c r="D231" t="s">
        <v>476</v>
      </c>
      <c r="E231" t="s">
        <v>58</v>
      </c>
      <c r="F231" t="s">
        <v>59</v>
      </c>
    </row>
    <row r="232" spans="1:6" x14ac:dyDescent="0.25">
      <c r="A232" t="s">
        <v>477</v>
      </c>
      <c r="B232" s="1">
        <v>43400</v>
      </c>
      <c r="C232" s="1" t="str">
        <f>TEXT(Table1[[#This Row],[Order Date]],"mmm-yy")</f>
        <v>Oct-18</v>
      </c>
      <c r="D232" t="s">
        <v>188</v>
      </c>
      <c r="E232" t="s">
        <v>62</v>
      </c>
      <c r="F232" t="s">
        <v>63</v>
      </c>
    </row>
    <row r="233" spans="1:6" x14ac:dyDescent="0.25">
      <c r="A233" t="s">
        <v>478</v>
      </c>
      <c r="B233" s="1">
        <v>43401</v>
      </c>
      <c r="C233" s="1" t="str">
        <f>TEXT(Table1[[#This Row],[Order Date]],"mmm-yy")</f>
        <v>Oct-18</v>
      </c>
      <c r="D233" t="s">
        <v>479</v>
      </c>
      <c r="E233" t="s">
        <v>11</v>
      </c>
      <c r="F233" t="s">
        <v>91</v>
      </c>
    </row>
    <row r="234" spans="1:6" x14ac:dyDescent="0.25">
      <c r="A234" t="s">
        <v>480</v>
      </c>
      <c r="B234" s="1">
        <v>43402</v>
      </c>
      <c r="C234" s="1" t="str">
        <f>TEXT(Table1[[#This Row],[Order Date]],"mmm-yy")</f>
        <v>Oct-18</v>
      </c>
      <c r="D234" t="s">
        <v>481</v>
      </c>
      <c r="E234" t="s">
        <v>15</v>
      </c>
      <c r="F234" t="s">
        <v>94</v>
      </c>
    </row>
    <row r="235" spans="1:6" x14ac:dyDescent="0.25">
      <c r="A235" t="s">
        <v>482</v>
      </c>
      <c r="B235" s="1">
        <v>43402</v>
      </c>
      <c r="C235" s="1" t="str">
        <f>TEXT(Table1[[#This Row],[Order Date]],"mmm-yy")</f>
        <v>Oct-18</v>
      </c>
      <c r="D235" t="s">
        <v>483</v>
      </c>
      <c r="E235" t="s">
        <v>73</v>
      </c>
      <c r="F235" t="s">
        <v>74</v>
      </c>
    </row>
    <row r="236" spans="1:6" x14ac:dyDescent="0.25">
      <c r="A236" t="s">
        <v>484</v>
      </c>
      <c r="B236" s="1">
        <v>43402</v>
      </c>
      <c r="C236" s="1" t="str">
        <f>TEXT(Table1[[#This Row],[Order Date]],"mmm-yy")</f>
        <v>Oct-18</v>
      </c>
      <c r="D236" t="s">
        <v>485</v>
      </c>
      <c r="E236" t="s">
        <v>7</v>
      </c>
      <c r="F236" t="s">
        <v>8</v>
      </c>
    </row>
    <row r="237" spans="1:6" x14ac:dyDescent="0.25">
      <c r="A237" t="s">
        <v>486</v>
      </c>
      <c r="B237" s="1">
        <v>43402</v>
      </c>
      <c r="C237" s="1" t="str">
        <f>TEXT(Table1[[#This Row],[Order Date]],"mmm-yy")</f>
        <v>Oct-18</v>
      </c>
      <c r="D237" t="s">
        <v>487</v>
      </c>
      <c r="E237" t="s">
        <v>11</v>
      </c>
      <c r="F237" t="s">
        <v>12</v>
      </c>
    </row>
    <row r="238" spans="1:6" x14ac:dyDescent="0.25">
      <c r="A238" t="s">
        <v>488</v>
      </c>
      <c r="B238" s="1">
        <v>43402</v>
      </c>
      <c r="C238" s="1" t="str">
        <f>TEXT(Table1[[#This Row],[Order Date]],"mmm-yy")</f>
        <v>Oct-18</v>
      </c>
      <c r="D238" t="s">
        <v>489</v>
      </c>
      <c r="E238" t="s">
        <v>11</v>
      </c>
      <c r="F238" t="s">
        <v>91</v>
      </c>
    </row>
    <row r="239" spans="1:6" x14ac:dyDescent="0.25">
      <c r="A239" t="s">
        <v>490</v>
      </c>
      <c r="B239" s="1">
        <v>43402</v>
      </c>
      <c r="C239" s="1" t="str">
        <f>TEXT(Table1[[#This Row],[Order Date]],"mmm-yy")</f>
        <v>Oct-18</v>
      </c>
      <c r="D239" t="s">
        <v>371</v>
      </c>
      <c r="E239" t="s">
        <v>15</v>
      </c>
      <c r="F239" t="s">
        <v>94</v>
      </c>
    </row>
    <row r="240" spans="1:6" x14ac:dyDescent="0.25">
      <c r="A240" t="s">
        <v>491</v>
      </c>
      <c r="B240" s="1">
        <v>43403</v>
      </c>
      <c r="C240" s="1" t="str">
        <f>TEXT(Table1[[#This Row],[Order Date]],"mmm-yy")</f>
        <v>Oct-18</v>
      </c>
      <c r="D240" t="s">
        <v>492</v>
      </c>
      <c r="E240" t="s">
        <v>23</v>
      </c>
      <c r="F240" t="s">
        <v>24</v>
      </c>
    </row>
    <row r="241" spans="1:6" x14ac:dyDescent="0.25">
      <c r="A241" t="s">
        <v>493</v>
      </c>
      <c r="B241" s="1">
        <v>43404</v>
      </c>
      <c r="C241" s="1" t="str">
        <f>TEXT(Table1[[#This Row],[Order Date]],"mmm-yy")</f>
        <v>Oct-18</v>
      </c>
      <c r="D241" t="s">
        <v>494</v>
      </c>
      <c r="E241" t="s">
        <v>27</v>
      </c>
      <c r="F241" t="s">
        <v>28</v>
      </c>
    </row>
    <row r="242" spans="1:6" x14ac:dyDescent="0.25">
      <c r="A242" t="s">
        <v>495</v>
      </c>
      <c r="B242" s="1">
        <v>43405</v>
      </c>
      <c r="C242" s="1" t="str">
        <f>TEXT(Table1[[#This Row],[Order Date]],"mmm-yy")</f>
        <v>Nov-18</v>
      </c>
      <c r="D242" t="s">
        <v>496</v>
      </c>
      <c r="E242" t="s">
        <v>11</v>
      </c>
      <c r="F242" t="s">
        <v>91</v>
      </c>
    </row>
    <row r="243" spans="1:6" x14ac:dyDescent="0.25">
      <c r="A243" t="s">
        <v>497</v>
      </c>
      <c r="B243" s="1">
        <v>43406</v>
      </c>
      <c r="C243" s="1" t="str">
        <f>TEXT(Table1[[#This Row],[Order Date]],"mmm-yy")</f>
        <v>Nov-18</v>
      </c>
      <c r="D243" t="s">
        <v>209</v>
      </c>
      <c r="E243" t="s">
        <v>15</v>
      </c>
      <c r="F243" t="s">
        <v>94</v>
      </c>
    </row>
    <row r="244" spans="1:6" x14ac:dyDescent="0.25">
      <c r="A244" t="s">
        <v>498</v>
      </c>
      <c r="B244" s="1">
        <v>43407</v>
      </c>
      <c r="C244" s="1" t="str">
        <f>TEXT(Table1[[#This Row],[Order Date]],"mmm-yy")</f>
        <v>Nov-18</v>
      </c>
      <c r="D244" t="s">
        <v>499</v>
      </c>
      <c r="E244" t="s">
        <v>11</v>
      </c>
      <c r="F244" t="s">
        <v>91</v>
      </c>
    </row>
    <row r="245" spans="1:6" x14ac:dyDescent="0.25">
      <c r="A245" t="s">
        <v>500</v>
      </c>
      <c r="B245" s="1">
        <v>43407</v>
      </c>
      <c r="C245" s="1" t="str">
        <f>TEXT(Table1[[#This Row],[Order Date]],"mmm-yy")</f>
        <v>Nov-18</v>
      </c>
      <c r="D245" t="s">
        <v>501</v>
      </c>
      <c r="E245" t="s">
        <v>15</v>
      </c>
      <c r="F245" t="s">
        <v>94</v>
      </c>
    </row>
    <row r="246" spans="1:6" x14ac:dyDescent="0.25">
      <c r="A246" t="s">
        <v>502</v>
      </c>
      <c r="B246" s="1">
        <v>43407</v>
      </c>
      <c r="C246" s="1" t="str">
        <f>TEXT(Table1[[#This Row],[Order Date]],"mmm-yy")</f>
        <v>Nov-18</v>
      </c>
      <c r="D246" t="s">
        <v>503</v>
      </c>
      <c r="E246" t="s">
        <v>47</v>
      </c>
      <c r="F246" t="s">
        <v>48</v>
      </c>
    </row>
    <row r="247" spans="1:6" x14ac:dyDescent="0.25">
      <c r="A247" t="s">
        <v>504</v>
      </c>
      <c r="B247" s="1">
        <v>43407</v>
      </c>
      <c r="C247" s="1" t="str">
        <f>TEXT(Table1[[#This Row],[Order Date]],"mmm-yy")</f>
        <v>Nov-18</v>
      </c>
      <c r="D247" t="s">
        <v>505</v>
      </c>
      <c r="E247" t="s">
        <v>51</v>
      </c>
      <c r="F247" t="s">
        <v>52</v>
      </c>
    </row>
    <row r="248" spans="1:6" x14ac:dyDescent="0.25">
      <c r="A248" t="s">
        <v>506</v>
      </c>
      <c r="B248" s="1">
        <v>43407</v>
      </c>
      <c r="C248" s="1" t="str">
        <f>TEXT(Table1[[#This Row],[Order Date]],"mmm-yy")</f>
        <v>Nov-18</v>
      </c>
      <c r="D248" t="s">
        <v>507</v>
      </c>
      <c r="E248" t="s">
        <v>55</v>
      </c>
      <c r="F248" t="s">
        <v>52</v>
      </c>
    </row>
    <row r="249" spans="1:6" x14ac:dyDescent="0.25">
      <c r="A249" t="s">
        <v>508</v>
      </c>
      <c r="B249" s="1">
        <v>43407</v>
      </c>
      <c r="C249" s="1" t="str">
        <f>TEXT(Table1[[#This Row],[Order Date]],"mmm-yy")</f>
        <v>Nov-18</v>
      </c>
      <c r="D249" t="s">
        <v>464</v>
      </c>
      <c r="E249" t="s">
        <v>58</v>
      </c>
      <c r="F249" t="s">
        <v>59</v>
      </c>
    </row>
    <row r="250" spans="1:6" x14ac:dyDescent="0.25">
      <c r="A250" t="s">
        <v>509</v>
      </c>
      <c r="B250" s="1">
        <v>43408</v>
      </c>
      <c r="C250" s="1" t="str">
        <f>TEXT(Table1[[#This Row],[Order Date]],"mmm-yy")</f>
        <v>Nov-18</v>
      </c>
      <c r="D250" t="s">
        <v>510</v>
      </c>
      <c r="E250" t="s">
        <v>62</v>
      </c>
      <c r="F250" t="s">
        <v>63</v>
      </c>
    </row>
    <row r="251" spans="1:6" x14ac:dyDescent="0.25">
      <c r="A251" t="s">
        <v>511</v>
      </c>
      <c r="B251" s="1">
        <v>43409</v>
      </c>
      <c r="C251" s="1" t="str">
        <f>TEXT(Table1[[#This Row],[Order Date]],"mmm-yy")</f>
        <v>Nov-18</v>
      </c>
      <c r="D251" t="s">
        <v>395</v>
      </c>
      <c r="E251" t="s">
        <v>66</v>
      </c>
      <c r="F251" t="s">
        <v>66</v>
      </c>
    </row>
    <row r="252" spans="1:6" x14ac:dyDescent="0.25">
      <c r="A252" t="s">
        <v>512</v>
      </c>
      <c r="B252" s="1">
        <v>43410</v>
      </c>
      <c r="C252" s="1" t="str">
        <f>TEXT(Table1[[#This Row],[Order Date]],"mmm-yy")</f>
        <v>Nov-18</v>
      </c>
      <c r="D252" t="s">
        <v>513</v>
      </c>
      <c r="E252" t="s">
        <v>69</v>
      </c>
      <c r="F252" t="s">
        <v>70</v>
      </c>
    </row>
    <row r="253" spans="1:6" x14ac:dyDescent="0.25">
      <c r="A253" t="s">
        <v>514</v>
      </c>
      <c r="B253" s="1">
        <v>43411</v>
      </c>
      <c r="C253" s="1" t="str">
        <f>TEXT(Table1[[#This Row],[Order Date]],"mmm-yy")</f>
        <v>Nov-18</v>
      </c>
      <c r="D253" t="s">
        <v>515</v>
      </c>
      <c r="E253" t="s">
        <v>73</v>
      </c>
      <c r="F253" t="s">
        <v>74</v>
      </c>
    </row>
    <row r="254" spans="1:6" x14ac:dyDescent="0.25">
      <c r="A254" t="s">
        <v>516</v>
      </c>
      <c r="B254" s="1">
        <v>43412</v>
      </c>
      <c r="C254" s="1" t="str">
        <f>TEXT(Table1[[#This Row],[Order Date]],"mmm-yy")</f>
        <v>Nov-18</v>
      </c>
      <c r="D254" t="s">
        <v>517</v>
      </c>
      <c r="E254" t="s">
        <v>7</v>
      </c>
      <c r="F254" t="s">
        <v>8</v>
      </c>
    </row>
    <row r="255" spans="1:6" x14ac:dyDescent="0.25">
      <c r="A255" t="s">
        <v>518</v>
      </c>
      <c r="B255" s="1">
        <v>43412</v>
      </c>
      <c r="C255" s="1" t="str">
        <f>TEXT(Table1[[#This Row],[Order Date]],"mmm-yy")</f>
        <v>Nov-18</v>
      </c>
      <c r="D255" t="s">
        <v>308</v>
      </c>
      <c r="E255" t="s">
        <v>11</v>
      </c>
      <c r="F255" t="s">
        <v>12</v>
      </c>
    </row>
    <row r="256" spans="1:6" x14ac:dyDescent="0.25">
      <c r="A256" t="s">
        <v>519</v>
      </c>
      <c r="B256" s="1">
        <v>43412</v>
      </c>
      <c r="C256" s="1" t="str">
        <f>TEXT(Table1[[#This Row],[Order Date]],"mmm-yy")</f>
        <v>Nov-18</v>
      </c>
      <c r="D256" t="s">
        <v>520</v>
      </c>
      <c r="E256" t="s">
        <v>15</v>
      </c>
      <c r="F256" t="s">
        <v>16</v>
      </c>
    </row>
    <row r="257" spans="1:6" x14ac:dyDescent="0.25">
      <c r="A257" t="s">
        <v>521</v>
      </c>
      <c r="B257" s="1">
        <v>43414</v>
      </c>
      <c r="C257" s="1" t="str">
        <f>TEXT(Table1[[#This Row],[Order Date]],"mmm-yy")</f>
        <v>Nov-18</v>
      </c>
      <c r="D257" t="s">
        <v>520</v>
      </c>
      <c r="E257" t="s">
        <v>11</v>
      </c>
      <c r="F257" t="s">
        <v>91</v>
      </c>
    </row>
    <row r="258" spans="1:6" x14ac:dyDescent="0.25">
      <c r="A258" t="s">
        <v>522</v>
      </c>
      <c r="B258" s="1">
        <v>43414</v>
      </c>
      <c r="C258" s="1" t="str">
        <f>TEXT(Table1[[#This Row],[Order Date]],"mmm-yy")</f>
        <v>Nov-18</v>
      </c>
      <c r="D258" t="s">
        <v>523</v>
      </c>
      <c r="E258" t="s">
        <v>15</v>
      </c>
      <c r="F258" t="s">
        <v>94</v>
      </c>
    </row>
    <row r="259" spans="1:6" x14ac:dyDescent="0.25">
      <c r="A259" t="s">
        <v>524</v>
      </c>
      <c r="B259" s="1">
        <v>43417</v>
      </c>
      <c r="C259" s="1" t="str">
        <f>TEXT(Table1[[#This Row],[Order Date]],"mmm-yy")</f>
        <v>Nov-18</v>
      </c>
      <c r="D259" t="s">
        <v>448</v>
      </c>
      <c r="E259" t="s">
        <v>11</v>
      </c>
      <c r="F259" t="s">
        <v>91</v>
      </c>
    </row>
    <row r="260" spans="1:6" x14ac:dyDescent="0.25">
      <c r="A260" t="s">
        <v>525</v>
      </c>
      <c r="B260" s="1">
        <v>43418</v>
      </c>
      <c r="C260" s="1" t="str">
        <f>TEXT(Table1[[#This Row],[Order Date]],"mmm-yy")</f>
        <v>Nov-18</v>
      </c>
      <c r="D260" t="s">
        <v>526</v>
      </c>
      <c r="E260" t="s">
        <v>15</v>
      </c>
      <c r="F260" t="s">
        <v>94</v>
      </c>
    </row>
    <row r="261" spans="1:6" x14ac:dyDescent="0.25">
      <c r="A261" t="s">
        <v>527</v>
      </c>
      <c r="B261" s="1">
        <v>43419</v>
      </c>
      <c r="C261" s="1" t="str">
        <f>TEXT(Table1[[#This Row],[Order Date]],"mmm-yy")</f>
        <v>Nov-18</v>
      </c>
      <c r="D261" t="s">
        <v>340</v>
      </c>
      <c r="E261" t="s">
        <v>35</v>
      </c>
      <c r="F261" t="s">
        <v>36</v>
      </c>
    </row>
    <row r="262" spans="1:6" x14ac:dyDescent="0.25">
      <c r="A262" t="s">
        <v>528</v>
      </c>
      <c r="B262" s="1">
        <v>43419</v>
      </c>
      <c r="C262" s="1" t="str">
        <f>TEXT(Table1[[#This Row],[Order Date]],"mmm-yy")</f>
        <v>Nov-18</v>
      </c>
      <c r="D262" t="s">
        <v>529</v>
      </c>
      <c r="E262" t="s">
        <v>39</v>
      </c>
      <c r="F262" t="s">
        <v>40</v>
      </c>
    </row>
    <row r="263" spans="1:6" x14ac:dyDescent="0.25">
      <c r="A263" t="s">
        <v>530</v>
      </c>
      <c r="B263" s="1">
        <v>43419</v>
      </c>
      <c r="C263" s="1" t="str">
        <f>TEXT(Table1[[#This Row],[Order Date]],"mmm-yy")</f>
        <v>Nov-18</v>
      </c>
      <c r="D263" t="s">
        <v>531</v>
      </c>
      <c r="E263" t="s">
        <v>43</v>
      </c>
      <c r="F263" t="s">
        <v>44</v>
      </c>
    </row>
    <row r="264" spans="1:6" x14ac:dyDescent="0.25">
      <c r="A264" t="s">
        <v>532</v>
      </c>
      <c r="B264" s="1">
        <v>43419</v>
      </c>
      <c r="C264" s="1" t="str">
        <f>TEXT(Table1[[#This Row],[Order Date]],"mmm-yy")</f>
        <v>Nov-18</v>
      </c>
      <c r="D264" t="s">
        <v>533</v>
      </c>
      <c r="E264" t="s">
        <v>47</v>
      </c>
      <c r="F264" t="s">
        <v>48</v>
      </c>
    </row>
    <row r="265" spans="1:6" x14ac:dyDescent="0.25">
      <c r="A265" t="s">
        <v>534</v>
      </c>
      <c r="B265" s="1">
        <v>43419</v>
      </c>
      <c r="C265" s="1" t="str">
        <f>TEXT(Table1[[#This Row],[Order Date]],"mmm-yy")</f>
        <v>Nov-18</v>
      </c>
      <c r="D265" t="s">
        <v>535</v>
      </c>
      <c r="E265" t="s">
        <v>11</v>
      </c>
      <c r="F265" t="s">
        <v>91</v>
      </c>
    </row>
    <row r="266" spans="1:6" x14ac:dyDescent="0.25">
      <c r="A266" t="s">
        <v>536</v>
      </c>
      <c r="B266" s="1">
        <v>43419</v>
      </c>
      <c r="C266" s="1" t="str">
        <f>TEXT(Table1[[#This Row],[Order Date]],"mmm-yy")</f>
        <v>Nov-18</v>
      </c>
      <c r="D266" t="s">
        <v>537</v>
      </c>
      <c r="E266" t="s">
        <v>15</v>
      </c>
      <c r="F266" t="s">
        <v>94</v>
      </c>
    </row>
    <row r="267" spans="1:6" x14ac:dyDescent="0.25">
      <c r="A267" t="s">
        <v>538</v>
      </c>
      <c r="B267" s="1">
        <v>43420</v>
      </c>
      <c r="C267" s="1" t="str">
        <f>TEXT(Table1[[#This Row],[Order Date]],"mmm-yy")</f>
        <v>Nov-18</v>
      </c>
      <c r="D267" t="s">
        <v>539</v>
      </c>
      <c r="E267" t="s">
        <v>58</v>
      </c>
      <c r="F267" t="s">
        <v>59</v>
      </c>
    </row>
    <row r="268" spans="1:6" x14ac:dyDescent="0.25">
      <c r="A268" t="s">
        <v>540</v>
      </c>
      <c r="B268" s="1">
        <v>43421</v>
      </c>
      <c r="C268" s="1" t="str">
        <f>TEXT(Table1[[#This Row],[Order Date]],"mmm-yy")</f>
        <v>Nov-18</v>
      </c>
      <c r="D268" t="s">
        <v>430</v>
      </c>
      <c r="E268" t="s">
        <v>62</v>
      </c>
      <c r="F268" t="s">
        <v>63</v>
      </c>
    </row>
    <row r="269" spans="1:6" x14ac:dyDescent="0.25">
      <c r="A269" t="s">
        <v>541</v>
      </c>
      <c r="B269" s="1">
        <v>43422</v>
      </c>
      <c r="C269" s="1" t="str">
        <f>TEXT(Table1[[#This Row],[Order Date]],"mmm-yy")</f>
        <v>Nov-18</v>
      </c>
      <c r="D269" t="s">
        <v>542</v>
      </c>
      <c r="E269" t="s">
        <v>66</v>
      </c>
      <c r="F269" t="s">
        <v>66</v>
      </c>
    </row>
    <row r="270" spans="1:6" x14ac:dyDescent="0.25">
      <c r="A270" t="s">
        <v>543</v>
      </c>
      <c r="B270" s="1">
        <v>43423</v>
      </c>
      <c r="C270" s="1" t="str">
        <f>TEXT(Table1[[#This Row],[Order Date]],"mmm-yy")</f>
        <v>Nov-18</v>
      </c>
      <c r="D270" t="s">
        <v>544</v>
      </c>
      <c r="E270" t="s">
        <v>69</v>
      </c>
      <c r="F270" t="s">
        <v>70</v>
      </c>
    </row>
    <row r="271" spans="1:6" x14ac:dyDescent="0.25">
      <c r="A271" t="s">
        <v>545</v>
      </c>
      <c r="B271" s="1">
        <v>43424</v>
      </c>
      <c r="C271" s="1" t="str">
        <f>TEXT(Table1[[#This Row],[Order Date]],"mmm-yy")</f>
        <v>Nov-18</v>
      </c>
      <c r="D271" t="s">
        <v>302</v>
      </c>
      <c r="E271" t="s">
        <v>73</v>
      </c>
      <c r="F271" t="s">
        <v>74</v>
      </c>
    </row>
    <row r="272" spans="1:6" x14ac:dyDescent="0.25">
      <c r="A272" t="s">
        <v>546</v>
      </c>
      <c r="B272" s="1">
        <v>43425</v>
      </c>
      <c r="C272" s="1" t="str">
        <f>TEXT(Table1[[#This Row],[Order Date]],"mmm-yy")</f>
        <v>Nov-18</v>
      </c>
      <c r="D272" t="s">
        <v>547</v>
      </c>
      <c r="E272" t="s">
        <v>7</v>
      </c>
      <c r="F272" t="s">
        <v>548</v>
      </c>
    </row>
    <row r="273" spans="1:6" x14ac:dyDescent="0.25">
      <c r="A273" t="s">
        <v>549</v>
      </c>
      <c r="B273" s="1">
        <v>43426</v>
      </c>
      <c r="C273" s="1" t="str">
        <f>TEXT(Table1[[#This Row],[Order Date]],"mmm-yy")</f>
        <v>Nov-18</v>
      </c>
      <c r="D273" t="s">
        <v>550</v>
      </c>
      <c r="E273" t="s">
        <v>11</v>
      </c>
      <c r="F273" t="s">
        <v>91</v>
      </c>
    </row>
    <row r="274" spans="1:6" x14ac:dyDescent="0.25">
      <c r="A274" t="s">
        <v>551</v>
      </c>
      <c r="B274" s="1">
        <v>43427</v>
      </c>
      <c r="C274" s="1" t="str">
        <f>TEXT(Table1[[#This Row],[Order Date]],"mmm-yy")</f>
        <v>Nov-18</v>
      </c>
      <c r="D274" t="s">
        <v>552</v>
      </c>
      <c r="E274" t="s">
        <v>15</v>
      </c>
      <c r="F274" t="s">
        <v>94</v>
      </c>
    </row>
    <row r="275" spans="1:6" x14ac:dyDescent="0.25">
      <c r="A275" t="s">
        <v>553</v>
      </c>
      <c r="B275" s="1">
        <v>43428</v>
      </c>
      <c r="C275" s="1" t="str">
        <f>TEXT(Table1[[#This Row],[Order Date]],"mmm-yy")</f>
        <v>Nov-18</v>
      </c>
      <c r="D275" t="s">
        <v>257</v>
      </c>
      <c r="E275" t="s">
        <v>19</v>
      </c>
      <c r="F275" t="s">
        <v>554</v>
      </c>
    </row>
    <row r="276" spans="1:6" x14ac:dyDescent="0.25">
      <c r="A276" t="s">
        <v>555</v>
      </c>
      <c r="B276" s="1">
        <v>43428</v>
      </c>
      <c r="C276" s="1" t="str">
        <f>TEXT(Table1[[#This Row],[Order Date]],"mmm-yy")</f>
        <v>Nov-18</v>
      </c>
      <c r="D276" t="s">
        <v>556</v>
      </c>
      <c r="E276" t="s">
        <v>39</v>
      </c>
      <c r="F276" t="s">
        <v>557</v>
      </c>
    </row>
    <row r="277" spans="1:6" x14ac:dyDescent="0.25">
      <c r="A277" t="s">
        <v>558</v>
      </c>
      <c r="B277" s="1">
        <v>43428</v>
      </c>
      <c r="C277" s="1" t="str">
        <f>TEXT(Table1[[#This Row],[Order Date]],"mmm-yy")</f>
        <v>Nov-18</v>
      </c>
      <c r="D277" t="s">
        <v>559</v>
      </c>
      <c r="E277" t="s">
        <v>51</v>
      </c>
      <c r="F277" t="s">
        <v>560</v>
      </c>
    </row>
    <row r="278" spans="1:6" x14ac:dyDescent="0.25">
      <c r="A278" t="s">
        <v>561</v>
      </c>
      <c r="B278" s="1">
        <v>43428</v>
      </c>
      <c r="C278" s="1" t="str">
        <f>TEXT(Table1[[#This Row],[Order Date]],"mmm-yy")</f>
        <v>Nov-18</v>
      </c>
      <c r="D278" t="s">
        <v>562</v>
      </c>
      <c r="E278" t="s">
        <v>7</v>
      </c>
      <c r="F278" t="s">
        <v>548</v>
      </c>
    </row>
    <row r="279" spans="1:6" x14ac:dyDescent="0.25">
      <c r="A279" t="s">
        <v>563</v>
      </c>
      <c r="B279" s="1">
        <v>43428</v>
      </c>
      <c r="C279" s="1" t="str">
        <f>TEXT(Table1[[#This Row],[Order Date]],"mmm-yy")</f>
        <v>Nov-18</v>
      </c>
      <c r="D279" t="s">
        <v>564</v>
      </c>
      <c r="E279" t="s">
        <v>11</v>
      </c>
      <c r="F279" t="s">
        <v>91</v>
      </c>
    </row>
    <row r="280" spans="1:6" x14ac:dyDescent="0.25">
      <c r="A280" t="s">
        <v>565</v>
      </c>
      <c r="B280" s="1">
        <v>43428</v>
      </c>
      <c r="C280" s="1" t="str">
        <f>TEXT(Table1[[#This Row],[Order Date]],"mmm-yy")</f>
        <v>Nov-18</v>
      </c>
      <c r="D280" t="s">
        <v>407</v>
      </c>
      <c r="E280" t="s">
        <v>15</v>
      </c>
      <c r="F280" t="s">
        <v>94</v>
      </c>
    </row>
    <row r="281" spans="1:6" x14ac:dyDescent="0.25">
      <c r="A281" t="s">
        <v>566</v>
      </c>
      <c r="B281" s="1">
        <v>43428</v>
      </c>
      <c r="C281" s="1" t="str">
        <f>TEXT(Table1[[#This Row],[Order Date]],"mmm-yy")</f>
        <v>Nov-18</v>
      </c>
      <c r="D281" t="s">
        <v>567</v>
      </c>
      <c r="E281" t="s">
        <v>19</v>
      </c>
      <c r="F281" t="s">
        <v>554</v>
      </c>
    </row>
    <row r="282" spans="1:6" x14ac:dyDescent="0.25">
      <c r="A282" t="s">
        <v>568</v>
      </c>
      <c r="B282" s="1">
        <v>43429</v>
      </c>
      <c r="C282" s="1" t="str">
        <f>TEXT(Table1[[#This Row],[Order Date]],"mmm-yy")</f>
        <v>Nov-18</v>
      </c>
      <c r="D282" t="s">
        <v>96</v>
      </c>
      <c r="E282" t="s">
        <v>39</v>
      </c>
      <c r="F282" t="s">
        <v>557</v>
      </c>
    </row>
    <row r="283" spans="1:6" x14ac:dyDescent="0.25">
      <c r="A283" t="s">
        <v>569</v>
      </c>
      <c r="B283" s="1">
        <v>43430</v>
      </c>
      <c r="C283" s="1" t="str">
        <f>TEXT(Table1[[#This Row],[Order Date]],"mmm-yy")</f>
        <v>Nov-18</v>
      </c>
      <c r="D283" t="s">
        <v>570</v>
      </c>
      <c r="E283" t="s">
        <v>51</v>
      </c>
      <c r="F283" t="s">
        <v>560</v>
      </c>
    </row>
    <row r="284" spans="1:6" x14ac:dyDescent="0.25">
      <c r="A284" t="s">
        <v>571</v>
      </c>
      <c r="B284" s="1">
        <v>43431</v>
      </c>
      <c r="C284" s="1" t="str">
        <f>TEXT(Table1[[#This Row],[Order Date]],"mmm-yy")</f>
        <v>Nov-18</v>
      </c>
      <c r="D284" t="s">
        <v>572</v>
      </c>
      <c r="E284" t="s">
        <v>7</v>
      </c>
      <c r="F284" t="s">
        <v>548</v>
      </c>
    </row>
    <row r="285" spans="1:6" x14ac:dyDescent="0.25">
      <c r="A285" t="s">
        <v>573</v>
      </c>
      <c r="B285" s="1">
        <v>43432</v>
      </c>
      <c r="C285" s="1" t="str">
        <f>TEXT(Table1[[#This Row],[Order Date]],"mmm-yy")</f>
        <v>Nov-18</v>
      </c>
      <c r="D285" t="s">
        <v>574</v>
      </c>
      <c r="E285" t="s">
        <v>11</v>
      </c>
      <c r="F285" t="s">
        <v>91</v>
      </c>
    </row>
    <row r="286" spans="1:6" x14ac:dyDescent="0.25">
      <c r="A286" t="s">
        <v>575</v>
      </c>
      <c r="B286" s="1">
        <v>43432</v>
      </c>
      <c r="C286" s="1" t="str">
        <f>TEXT(Table1[[#This Row],[Order Date]],"mmm-yy")</f>
        <v>Nov-18</v>
      </c>
      <c r="D286" t="s">
        <v>576</v>
      </c>
      <c r="E286" t="s">
        <v>15</v>
      </c>
      <c r="F286" t="s">
        <v>94</v>
      </c>
    </row>
    <row r="287" spans="1:6" x14ac:dyDescent="0.25">
      <c r="A287" t="s">
        <v>577</v>
      </c>
      <c r="B287" s="1">
        <v>43432</v>
      </c>
      <c r="C287" s="1" t="str">
        <f>TEXT(Table1[[#This Row],[Order Date]],"mmm-yy")</f>
        <v>Nov-18</v>
      </c>
      <c r="D287" t="s">
        <v>578</v>
      </c>
      <c r="E287" t="s">
        <v>19</v>
      </c>
      <c r="F287" t="s">
        <v>554</v>
      </c>
    </row>
    <row r="288" spans="1:6" x14ac:dyDescent="0.25">
      <c r="A288" t="s">
        <v>579</v>
      </c>
      <c r="B288" s="1">
        <v>43435</v>
      </c>
      <c r="C288" s="1" t="str">
        <f>TEXT(Table1[[#This Row],[Order Date]],"mmm-yy")</f>
        <v>Dec-18</v>
      </c>
      <c r="D288" t="s">
        <v>580</v>
      </c>
      <c r="E288" t="s">
        <v>39</v>
      </c>
      <c r="F288" t="s">
        <v>557</v>
      </c>
    </row>
    <row r="289" spans="1:6" x14ac:dyDescent="0.25">
      <c r="A289" t="s">
        <v>581</v>
      </c>
      <c r="B289" s="1">
        <v>43436</v>
      </c>
      <c r="C289" s="1" t="str">
        <f>TEXT(Table1[[#This Row],[Order Date]],"mmm-yy")</f>
        <v>Dec-18</v>
      </c>
      <c r="D289" t="s">
        <v>464</v>
      </c>
      <c r="E289" t="s">
        <v>51</v>
      </c>
      <c r="F289" t="s">
        <v>560</v>
      </c>
    </row>
    <row r="290" spans="1:6" x14ac:dyDescent="0.25">
      <c r="A290" t="s">
        <v>582</v>
      </c>
      <c r="B290" s="1">
        <v>43437</v>
      </c>
      <c r="C290" s="1" t="str">
        <f>TEXT(Table1[[#This Row],[Order Date]],"mmm-yy")</f>
        <v>Dec-18</v>
      </c>
      <c r="D290" t="s">
        <v>395</v>
      </c>
      <c r="E290" t="s">
        <v>7</v>
      </c>
      <c r="F290" t="s">
        <v>548</v>
      </c>
    </row>
    <row r="291" spans="1:6" x14ac:dyDescent="0.25">
      <c r="A291" t="s">
        <v>583</v>
      </c>
      <c r="B291" s="1">
        <v>43438</v>
      </c>
      <c r="C291" s="1" t="str">
        <f>TEXT(Table1[[#This Row],[Order Date]],"mmm-yy")</f>
        <v>Dec-18</v>
      </c>
      <c r="D291" t="s">
        <v>584</v>
      </c>
      <c r="E291" t="s">
        <v>11</v>
      </c>
      <c r="F291" t="s">
        <v>91</v>
      </c>
    </row>
    <row r="292" spans="1:6" x14ac:dyDescent="0.25">
      <c r="A292" t="s">
        <v>585</v>
      </c>
      <c r="B292" s="1">
        <v>43438</v>
      </c>
      <c r="C292" s="1" t="str">
        <f>TEXT(Table1[[#This Row],[Order Date]],"mmm-yy")</f>
        <v>Dec-18</v>
      </c>
      <c r="D292" t="s">
        <v>251</v>
      </c>
      <c r="E292" t="s">
        <v>15</v>
      </c>
      <c r="F292" t="s">
        <v>94</v>
      </c>
    </row>
    <row r="293" spans="1:6" x14ac:dyDescent="0.25">
      <c r="A293" t="s">
        <v>586</v>
      </c>
      <c r="B293" s="1">
        <v>43438</v>
      </c>
      <c r="C293" s="1" t="str">
        <f>TEXT(Table1[[#This Row],[Order Date]],"mmm-yy")</f>
        <v>Dec-18</v>
      </c>
      <c r="D293" t="s">
        <v>380</v>
      </c>
      <c r="E293" t="s">
        <v>19</v>
      </c>
      <c r="F293" t="s">
        <v>554</v>
      </c>
    </row>
    <row r="294" spans="1:6" x14ac:dyDescent="0.25">
      <c r="A294" t="s">
        <v>587</v>
      </c>
      <c r="B294" s="1">
        <v>43438</v>
      </c>
      <c r="C294" s="1" t="str">
        <f>TEXT(Table1[[#This Row],[Order Date]],"mmm-yy")</f>
        <v>Dec-18</v>
      </c>
      <c r="D294" t="s">
        <v>588</v>
      </c>
      <c r="E294" t="s">
        <v>39</v>
      </c>
      <c r="F294" t="s">
        <v>557</v>
      </c>
    </row>
    <row r="295" spans="1:6" x14ac:dyDescent="0.25">
      <c r="A295" t="s">
        <v>589</v>
      </c>
      <c r="B295" s="1">
        <v>43438</v>
      </c>
      <c r="C295" s="1" t="str">
        <f>TEXT(Table1[[#This Row],[Order Date]],"mmm-yy")</f>
        <v>Dec-18</v>
      </c>
      <c r="D295" t="s">
        <v>590</v>
      </c>
      <c r="E295" t="s">
        <v>51</v>
      </c>
      <c r="F295" t="s">
        <v>560</v>
      </c>
    </row>
    <row r="296" spans="1:6" x14ac:dyDescent="0.25">
      <c r="A296" t="s">
        <v>591</v>
      </c>
      <c r="B296" s="1">
        <v>43438</v>
      </c>
      <c r="C296" s="1" t="str">
        <f>TEXT(Table1[[#This Row],[Order Date]],"mmm-yy")</f>
        <v>Dec-18</v>
      </c>
      <c r="D296" t="s">
        <v>592</v>
      </c>
      <c r="E296" t="s">
        <v>7</v>
      </c>
      <c r="F296" t="s">
        <v>548</v>
      </c>
    </row>
    <row r="297" spans="1:6" x14ac:dyDescent="0.25">
      <c r="A297" t="s">
        <v>593</v>
      </c>
      <c r="B297" s="1">
        <v>43439</v>
      </c>
      <c r="C297" s="1" t="str">
        <f>TEXT(Table1[[#This Row],[Order Date]],"mmm-yy")</f>
        <v>Dec-18</v>
      </c>
      <c r="D297" t="s">
        <v>320</v>
      </c>
      <c r="E297" t="s">
        <v>11</v>
      </c>
      <c r="F297" t="s">
        <v>91</v>
      </c>
    </row>
    <row r="298" spans="1:6" x14ac:dyDescent="0.25">
      <c r="A298" t="s">
        <v>594</v>
      </c>
      <c r="B298" s="1">
        <v>43440</v>
      </c>
      <c r="C298" s="1" t="str">
        <f>TEXT(Table1[[#This Row],[Order Date]],"mmm-yy")</f>
        <v>Dec-18</v>
      </c>
      <c r="D298" t="s">
        <v>464</v>
      </c>
      <c r="E298" t="s">
        <v>15</v>
      </c>
      <c r="F298" t="s">
        <v>94</v>
      </c>
    </row>
    <row r="299" spans="1:6" x14ac:dyDescent="0.25">
      <c r="A299" t="s">
        <v>595</v>
      </c>
      <c r="B299" s="1">
        <v>43441</v>
      </c>
      <c r="C299" s="1" t="str">
        <f>TEXT(Table1[[#This Row],[Order Date]],"mmm-yy")</f>
        <v>Dec-18</v>
      </c>
      <c r="D299" t="s">
        <v>395</v>
      </c>
      <c r="E299" t="s">
        <v>19</v>
      </c>
      <c r="F299" t="s">
        <v>554</v>
      </c>
    </row>
    <row r="300" spans="1:6" x14ac:dyDescent="0.25">
      <c r="A300" t="s">
        <v>596</v>
      </c>
      <c r="B300" s="1">
        <v>43442</v>
      </c>
      <c r="C300" s="1" t="str">
        <f>TEXT(Table1[[#This Row],[Order Date]],"mmm-yy")</f>
        <v>Dec-18</v>
      </c>
      <c r="D300" t="s">
        <v>597</v>
      </c>
      <c r="E300" t="s">
        <v>39</v>
      </c>
      <c r="F300" t="s">
        <v>557</v>
      </c>
    </row>
    <row r="301" spans="1:6" x14ac:dyDescent="0.25">
      <c r="A301" t="s">
        <v>598</v>
      </c>
      <c r="B301" s="1">
        <v>43443</v>
      </c>
      <c r="C301" s="1" t="str">
        <f>TEXT(Table1[[#This Row],[Order Date]],"mmm-yy")</f>
        <v>Dec-18</v>
      </c>
      <c r="D301" t="s">
        <v>523</v>
      </c>
      <c r="E301" t="s">
        <v>51</v>
      </c>
      <c r="F301" t="s">
        <v>560</v>
      </c>
    </row>
    <row r="302" spans="1:6" x14ac:dyDescent="0.25">
      <c r="A302" t="s">
        <v>599</v>
      </c>
      <c r="B302" s="1">
        <v>43444</v>
      </c>
      <c r="C302" s="1" t="str">
        <f>TEXT(Table1[[#This Row],[Order Date]],"mmm-yy")</f>
        <v>Dec-18</v>
      </c>
      <c r="D302" t="s">
        <v>600</v>
      </c>
      <c r="E302" t="s">
        <v>7</v>
      </c>
      <c r="F302" t="s">
        <v>548</v>
      </c>
    </row>
    <row r="303" spans="1:6" x14ac:dyDescent="0.25">
      <c r="A303" t="s">
        <v>601</v>
      </c>
      <c r="B303" s="1">
        <v>43444</v>
      </c>
      <c r="C303" s="1" t="str">
        <f>TEXT(Table1[[#This Row],[Order Date]],"mmm-yy")</f>
        <v>Dec-18</v>
      </c>
      <c r="D303" t="s">
        <v>602</v>
      </c>
      <c r="E303" t="s">
        <v>11</v>
      </c>
      <c r="F303" t="s">
        <v>91</v>
      </c>
    </row>
    <row r="304" spans="1:6" x14ac:dyDescent="0.25">
      <c r="A304" t="s">
        <v>603</v>
      </c>
      <c r="B304" s="1">
        <v>43444</v>
      </c>
      <c r="C304" s="1" t="str">
        <f>TEXT(Table1[[#This Row],[Order Date]],"mmm-yy")</f>
        <v>Dec-18</v>
      </c>
      <c r="D304" t="s">
        <v>604</v>
      </c>
      <c r="E304" t="s">
        <v>15</v>
      </c>
      <c r="F304" t="s">
        <v>94</v>
      </c>
    </row>
    <row r="305" spans="1:6" x14ac:dyDescent="0.25">
      <c r="A305" t="s">
        <v>605</v>
      </c>
      <c r="B305" s="1">
        <v>43444</v>
      </c>
      <c r="C305" s="1" t="str">
        <f>TEXT(Table1[[#This Row],[Order Date]],"mmm-yy")</f>
        <v>Dec-18</v>
      </c>
      <c r="D305" t="s">
        <v>448</v>
      </c>
      <c r="E305" t="s">
        <v>606</v>
      </c>
      <c r="F305" t="s">
        <v>606</v>
      </c>
    </row>
    <row r="306" spans="1:6" x14ac:dyDescent="0.25">
      <c r="A306" t="s">
        <v>607</v>
      </c>
      <c r="B306" s="1">
        <v>43445</v>
      </c>
      <c r="C306" s="1" t="str">
        <f>TEXT(Table1[[#This Row],[Order Date]],"mmm-yy")</f>
        <v>Dec-18</v>
      </c>
      <c r="D306" t="s">
        <v>608</v>
      </c>
      <c r="E306" t="s">
        <v>15</v>
      </c>
      <c r="F306" t="s">
        <v>606</v>
      </c>
    </row>
    <row r="307" spans="1:6" x14ac:dyDescent="0.25">
      <c r="A307" t="s">
        <v>609</v>
      </c>
      <c r="B307" s="1">
        <v>43445</v>
      </c>
      <c r="C307" s="1" t="str">
        <f>TEXT(Table1[[#This Row],[Order Date]],"mmm-yy")</f>
        <v>Dec-18</v>
      </c>
      <c r="D307" t="s">
        <v>610</v>
      </c>
      <c r="E307" t="s">
        <v>606</v>
      </c>
      <c r="F307" t="s">
        <v>606</v>
      </c>
    </row>
    <row r="308" spans="1:6" x14ac:dyDescent="0.25">
      <c r="A308" t="s">
        <v>611</v>
      </c>
      <c r="B308" s="1">
        <v>43445</v>
      </c>
      <c r="C308" s="1" t="str">
        <f>TEXT(Table1[[#This Row],[Order Date]],"mmm-yy")</f>
        <v>Dec-18</v>
      </c>
      <c r="D308" t="s">
        <v>612</v>
      </c>
      <c r="E308" t="s">
        <v>15</v>
      </c>
      <c r="F308" t="s">
        <v>16</v>
      </c>
    </row>
    <row r="309" spans="1:6" x14ac:dyDescent="0.25">
      <c r="A309" t="s">
        <v>613</v>
      </c>
      <c r="B309" s="1">
        <v>43446</v>
      </c>
      <c r="C309" s="1" t="str">
        <f>TEXT(Table1[[#This Row],[Order Date]],"mmm-yy")</f>
        <v>Dec-18</v>
      </c>
      <c r="D309" t="s">
        <v>614</v>
      </c>
      <c r="E309" t="s">
        <v>606</v>
      </c>
      <c r="F309" t="s">
        <v>606</v>
      </c>
    </row>
    <row r="310" spans="1:6" x14ac:dyDescent="0.25">
      <c r="A310" t="s">
        <v>615</v>
      </c>
      <c r="B310" s="1">
        <v>43447</v>
      </c>
      <c r="C310" s="1" t="str">
        <f>TEXT(Table1[[#This Row],[Order Date]],"mmm-yy")</f>
        <v>Dec-18</v>
      </c>
      <c r="D310" t="s">
        <v>616</v>
      </c>
      <c r="E310" t="s">
        <v>15</v>
      </c>
      <c r="F310" t="s">
        <v>606</v>
      </c>
    </row>
    <row r="311" spans="1:6" x14ac:dyDescent="0.25">
      <c r="A311" t="s">
        <v>617</v>
      </c>
      <c r="B311" s="1">
        <v>43448</v>
      </c>
      <c r="C311" s="1" t="str">
        <f>TEXT(Table1[[#This Row],[Order Date]],"mmm-yy")</f>
        <v>Dec-18</v>
      </c>
      <c r="D311" t="s">
        <v>618</v>
      </c>
      <c r="E311" t="s">
        <v>606</v>
      </c>
      <c r="F311" t="s">
        <v>606</v>
      </c>
    </row>
    <row r="312" spans="1:6" x14ac:dyDescent="0.25">
      <c r="A312" t="s">
        <v>619</v>
      </c>
      <c r="B312" s="1">
        <v>43449</v>
      </c>
      <c r="C312" s="1" t="str">
        <f>TEXT(Table1[[#This Row],[Order Date]],"mmm-yy")</f>
        <v>Dec-18</v>
      </c>
      <c r="D312" t="s">
        <v>620</v>
      </c>
      <c r="E312" t="s">
        <v>15</v>
      </c>
      <c r="F312" t="s">
        <v>16</v>
      </c>
    </row>
    <row r="313" spans="1:6" x14ac:dyDescent="0.25">
      <c r="A313" t="s">
        <v>621</v>
      </c>
      <c r="B313" s="1">
        <v>43450</v>
      </c>
      <c r="C313" s="1" t="str">
        <f>TEXT(Table1[[#This Row],[Order Date]],"mmm-yy")</f>
        <v>Dec-18</v>
      </c>
      <c r="D313" t="s">
        <v>622</v>
      </c>
      <c r="E313" t="s">
        <v>606</v>
      </c>
      <c r="F313" t="s">
        <v>606</v>
      </c>
    </row>
    <row r="314" spans="1:6" x14ac:dyDescent="0.25">
      <c r="A314" t="s">
        <v>623</v>
      </c>
      <c r="B314" s="1">
        <v>43451</v>
      </c>
      <c r="C314" s="1" t="str">
        <f>TEXT(Table1[[#This Row],[Order Date]],"mmm-yy")</f>
        <v>Dec-18</v>
      </c>
      <c r="D314" t="s">
        <v>624</v>
      </c>
      <c r="E314" t="s">
        <v>15</v>
      </c>
      <c r="F314" t="s">
        <v>606</v>
      </c>
    </row>
    <row r="315" spans="1:6" x14ac:dyDescent="0.25">
      <c r="A315" t="s">
        <v>625</v>
      </c>
      <c r="B315" s="1">
        <v>43452</v>
      </c>
      <c r="C315" s="1" t="str">
        <f>TEXT(Table1[[#This Row],[Order Date]],"mmm-yy")</f>
        <v>Dec-18</v>
      </c>
      <c r="D315" t="s">
        <v>626</v>
      </c>
      <c r="E315" t="s">
        <v>606</v>
      </c>
      <c r="F315" t="s">
        <v>606</v>
      </c>
    </row>
    <row r="316" spans="1:6" x14ac:dyDescent="0.25">
      <c r="A316" t="s">
        <v>627</v>
      </c>
      <c r="B316" s="1">
        <v>43453</v>
      </c>
      <c r="C316" s="1" t="str">
        <f>TEXT(Table1[[#This Row],[Order Date]],"mmm-yy")</f>
        <v>Dec-18</v>
      </c>
      <c r="D316" t="s">
        <v>628</v>
      </c>
      <c r="E316" t="s">
        <v>51</v>
      </c>
      <c r="F316" t="s">
        <v>560</v>
      </c>
    </row>
    <row r="317" spans="1:6" x14ac:dyDescent="0.25">
      <c r="A317" t="s">
        <v>629</v>
      </c>
      <c r="B317" s="1">
        <v>43454</v>
      </c>
      <c r="C317" s="1" t="str">
        <f>TEXT(Table1[[#This Row],[Order Date]],"mmm-yy")</f>
        <v>Dec-18</v>
      </c>
      <c r="D317" t="s">
        <v>630</v>
      </c>
      <c r="E317" t="s">
        <v>7</v>
      </c>
      <c r="F317" t="s">
        <v>548</v>
      </c>
    </row>
    <row r="318" spans="1:6" x14ac:dyDescent="0.25">
      <c r="A318" t="s">
        <v>631</v>
      </c>
      <c r="B318" s="1">
        <v>43455</v>
      </c>
      <c r="C318" s="1" t="str">
        <f>TEXT(Table1[[#This Row],[Order Date]],"mmm-yy")</f>
        <v>Dec-18</v>
      </c>
      <c r="D318" t="s">
        <v>108</v>
      </c>
      <c r="E318" t="s">
        <v>11</v>
      </c>
      <c r="F318" t="s">
        <v>91</v>
      </c>
    </row>
    <row r="319" spans="1:6" x14ac:dyDescent="0.25">
      <c r="A319" t="s">
        <v>632</v>
      </c>
      <c r="B319" s="1">
        <v>43456</v>
      </c>
      <c r="C319" s="1" t="str">
        <f>TEXT(Table1[[#This Row],[Order Date]],"mmm-yy")</f>
        <v>Dec-18</v>
      </c>
      <c r="D319" t="s">
        <v>633</v>
      </c>
      <c r="E319" t="s">
        <v>15</v>
      </c>
      <c r="F319" t="s">
        <v>94</v>
      </c>
    </row>
    <row r="320" spans="1:6" x14ac:dyDescent="0.25">
      <c r="A320" t="s">
        <v>634</v>
      </c>
      <c r="B320" s="1">
        <v>43457</v>
      </c>
      <c r="C320" s="1" t="str">
        <f>TEXT(Table1[[#This Row],[Order Date]],"mmm-yy")</f>
        <v>Dec-18</v>
      </c>
      <c r="D320" t="s">
        <v>635</v>
      </c>
      <c r="E320" t="s">
        <v>19</v>
      </c>
      <c r="F320" t="s">
        <v>554</v>
      </c>
    </row>
    <row r="321" spans="1:6" x14ac:dyDescent="0.25">
      <c r="A321" t="s">
        <v>636</v>
      </c>
      <c r="B321" s="1">
        <v>43458</v>
      </c>
      <c r="C321" s="1" t="str">
        <f>TEXT(Table1[[#This Row],[Order Date]],"mmm-yy")</f>
        <v>Dec-18</v>
      </c>
      <c r="D321" t="s">
        <v>637</v>
      </c>
      <c r="E321" t="s">
        <v>39</v>
      </c>
      <c r="F321" t="s">
        <v>557</v>
      </c>
    </row>
    <row r="322" spans="1:6" x14ac:dyDescent="0.25">
      <c r="A322" t="s">
        <v>638</v>
      </c>
      <c r="B322" s="1">
        <v>43459</v>
      </c>
      <c r="C322" s="1" t="str">
        <f>TEXT(Table1[[#This Row],[Order Date]],"mmm-yy")</f>
        <v>Dec-18</v>
      </c>
      <c r="D322" t="s">
        <v>639</v>
      </c>
      <c r="E322" t="s">
        <v>51</v>
      </c>
      <c r="F322" t="s">
        <v>560</v>
      </c>
    </row>
    <row r="323" spans="1:6" x14ac:dyDescent="0.25">
      <c r="A323" t="s">
        <v>640</v>
      </c>
      <c r="B323" s="1">
        <v>43460</v>
      </c>
      <c r="C323" s="1" t="str">
        <f>TEXT(Table1[[#This Row],[Order Date]],"mmm-yy")</f>
        <v>Dec-18</v>
      </c>
      <c r="D323" t="s">
        <v>641</v>
      </c>
      <c r="E323" t="s">
        <v>7</v>
      </c>
      <c r="F323" t="s">
        <v>548</v>
      </c>
    </row>
    <row r="324" spans="1:6" x14ac:dyDescent="0.25">
      <c r="A324" t="s">
        <v>642</v>
      </c>
      <c r="B324" s="1">
        <v>43461</v>
      </c>
      <c r="C324" s="1" t="str">
        <f>TEXT(Table1[[#This Row],[Order Date]],"mmm-yy")</f>
        <v>Dec-18</v>
      </c>
      <c r="D324" t="s">
        <v>643</v>
      </c>
      <c r="E324" t="s">
        <v>11</v>
      </c>
      <c r="F324" t="s">
        <v>91</v>
      </c>
    </row>
    <row r="325" spans="1:6" x14ac:dyDescent="0.25">
      <c r="A325" t="s">
        <v>644</v>
      </c>
      <c r="B325" s="1">
        <v>43462</v>
      </c>
      <c r="C325" s="1" t="str">
        <f>TEXT(Table1[[#This Row],[Order Date]],"mmm-yy")</f>
        <v>Dec-18</v>
      </c>
      <c r="D325" t="s">
        <v>645</v>
      </c>
      <c r="E325" t="s">
        <v>27</v>
      </c>
      <c r="F325" t="s">
        <v>28</v>
      </c>
    </row>
    <row r="326" spans="1:6" x14ac:dyDescent="0.25">
      <c r="A326" t="s">
        <v>646</v>
      </c>
      <c r="B326" s="1">
        <v>43463</v>
      </c>
      <c r="C326" s="1" t="str">
        <f>TEXT(Table1[[#This Row],[Order Date]],"mmm-yy")</f>
        <v>Dec-18</v>
      </c>
      <c r="D326" t="s">
        <v>160</v>
      </c>
      <c r="E326" t="s">
        <v>11</v>
      </c>
      <c r="F326" t="s">
        <v>91</v>
      </c>
    </row>
    <row r="327" spans="1:6" x14ac:dyDescent="0.25">
      <c r="A327" t="s">
        <v>647</v>
      </c>
      <c r="B327" s="1">
        <v>43464</v>
      </c>
      <c r="C327" s="1" t="str">
        <f>TEXT(Table1[[#This Row],[Order Date]],"mmm-yy")</f>
        <v>Dec-18</v>
      </c>
      <c r="D327" t="s">
        <v>648</v>
      </c>
      <c r="E327" t="s">
        <v>15</v>
      </c>
      <c r="F327" t="s">
        <v>94</v>
      </c>
    </row>
    <row r="328" spans="1:6" x14ac:dyDescent="0.25">
      <c r="A328" t="s">
        <v>649</v>
      </c>
      <c r="B328" s="1">
        <v>43465</v>
      </c>
      <c r="C328" s="1" t="str">
        <f>TEXT(Table1[[#This Row],[Order Date]],"mmm-yy")</f>
        <v>Dec-18</v>
      </c>
      <c r="D328" t="s">
        <v>190</v>
      </c>
      <c r="E328" t="s">
        <v>39</v>
      </c>
      <c r="F328" t="s">
        <v>40</v>
      </c>
    </row>
    <row r="329" spans="1:6" x14ac:dyDescent="0.25">
      <c r="A329" t="s">
        <v>650</v>
      </c>
      <c r="B329" s="1">
        <v>43466</v>
      </c>
      <c r="C329" s="1" t="str">
        <f>TEXT(Table1[[#This Row],[Order Date]],"mmm-yy")</f>
        <v>Jan-19</v>
      </c>
      <c r="D329" t="s">
        <v>651</v>
      </c>
      <c r="E329" t="s">
        <v>43</v>
      </c>
      <c r="F329" t="s">
        <v>44</v>
      </c>
    </row>
    <row r="330" spans="1:6" x14ac:dyDescent="0.25">
      <c r="A330" t="s">
        <v>652</v>
      </c>
      <c r="B330" s="1">
        <v>43467</v>
      </c>
      <c r="C330" s="1" t="str">
        <f>TEXT(Table1[[#This Row],[Order Date]],"mmm-yy")</f>
        <v>Jan-19</v>
      </c>
      <c r="D330" t="s">
        <v>653</v>
      </c>
      <c r="E330" t="s">
        <v>47</v>
      </c>
      <c r="F330" t="s">
        <v>48</v>
      </c>
    </row>
    <row r="331" spans="1:6" x14ac:dyDescent="0.25">
      <c r="A331" t="s">
        <v>654</v>
      </c>
      <c r="B331" s="1">
        <v>43468</v>
      </c>
      <c r="C331" s="1" t="str">
        <f>TEXT(Table1[[#This Row],[Order Date]],"mmm-yy")</f>
        <v>Jan-19</v>
      </c>
      <c r="D331" t="s">
        <v>655</v>
      </c>
      <c r="E331" t="s">
        <v>51</v>
      </c>
      <c r="F331" t="s">
        <v>52</v>
      </c>
    </row>
    <row r="332" spans="1:6" x14ac:dyDescent="0.25">
      <c r="A332" t="s">
        <v>656</v>
      </c>
      <c r="B332" s="1">
        <v>43469</v>
      </c>
      <c r="C332" s="1" t="str">
        <f>TEXT(Table1[[#This Row],[Order Date]],"mmm-yy")</f>
        <v>Jan-19</v>
      </c>
      <c r="D332" t="s">
        <v>657</v>
      </c>
      <c r="E332" t="s">
        <v>11</v>
      </c>
      <c r="F332" t="s">
        <v>91</v>
      </c>
    </row>
    <row r="333" spans="1:6" x14ac:dyDescent="0.25">
      <c r="A333" t="s">
        <v>658</v>
      </c>
      <c r="B333" s="1">
        <v>43469</v>
      </c>
      <c r="C333" s="1" t="str">
        <f>TEXT(Table1[[#This Row],[Order Date]],"mmm-yy")</f>
        <v>Jan-19</v>
      </c>
      <c r="D333" t="s">
        <v>659</v>
      </c>
      <c r="E333" t="s">
        <v>15</v>
      </c>
      <c r="F333" t="s">
        <v>94</v>
      </c>
    </row>
    <row r="334" spans="1:6" x14ac:dyDescent="0.25">
      <c r="A334" t="s">
        <v>660</v>
      </c>
      <c r="B334" s="1">
        <v>43469</v>
      </c>
      <c r="C334" s="1" t="str">
        <f>TEXT(Table1[[#This Row],[Order Date]],"mmm-yy")</f>
        <v>Jan-19</v>
      </c>
      <c r="D334" t="s">
        <v>661</v>
      </c>
      <c r="E334" t="s">
        <v>11</v>
      </c>
      <c r="F334" t="s">
        <v>91</v>
      </c>
    </row>
    <row r="335" spans="1:6" x14ac:dyDescent="0.25">
      <c r="A335" t="s">
        <v>662</v>
      </c>
      <c r="B335" s="1">
        <v>43469</v>
      </c>
      <c r="C335" s="1" t="str">
        <f>TEXT(Table1[[#This Row],[Order Date]],"mmm-yy")</f>
        <v>Jan-19</v>
      </c>
      <c r="D335" t="s">
        <v>663</v>
      </c>
      <c r="E335" t="s">
        <v>15</v>
      </c>
      <c r="F335" t="s">
        <v>94</v>
      </c>
    </row>
    <row r="336" spans="1:6" x14ac:dyDescent="0.25">
      <c r="A336" t="s">
        <v>664</v>
      </c>
      <c r="B336" s="1">
        <v>43469</v>
      </c>
      <c r="C336" s="1" t="str">
        <f>TEXT(Table1[[#This Row],[Order Date]],"mmm-yy")</f>
        <v>Jan-19</v>
      </c>
      <c r="D336" t="s">
        <v>665</v>
      </c>
      <c r="E336" t="s">
        <v>69</v>
      </c>
      <c r="F336" t="s">
        <v>70</v>
      </c>
    </row>
    <row r="337" spans="1:6" x14ac:dyDescent="0.25">
      <c r="A337" t="s">
        <v>666</v>
      </c>
      <c r="B337" s="1">
        <v>43470</v>
      </c>
      <c r="C337" s="1" t="str">
        <f>TEXT(Table1[[#This Row],[Order Date]],"mmm-yy")</f>
        <v>Jan-19</v>
      </c>
      <c r="D337" t="s">
        <v>667</v>
      </c>
      <c r="E337" t="s">
        <v>51</v>
      </c>
      <c r="F337" t="s">
        <v>52</v>
      </c>
    </row>
    <row r="338" spans="1:6" x14ac:dyDescent="0.25">
      <c r="A338" t="s">
        <v>668</v>
      </c>
      <c r="B338" s="1">
        <v>43470</v>
      </c>
      <c r="C338" s="1" t="str">
        <f>TEXT(Table1[[#This Row],[Order Date]],"mmm-yy")</f>
        <v>Jan-19</v>
      </c>
      <c r="D338" t="s">
        <v>430</v>
      </c>
      <c r="E338" t="s">
        <v>55</v>
      </c>
      <c r="F338" t="s">
        <v>52</v>
      </c>
    </row>
    <row r="339" spans="1:6" x14ac:dyDescent="0.25">
      <c r="A339" t="s">
        <v>669</v>
      </c>
      <c r="B339" s="1">
        <v>43470</v>
      </c>
      <c r="C339" s="1" t="str">
        <f>TEXT(Table1[[#This Row],[Order Date]],"mmm-yy")</f>
        <v>Jan-19</v>
      </c>
      <c r="D339" t="s">
        <v>661</v>
      </c>
      <c r="E339" t="s">
        <v>58</v>
      </c>
      <c r="F339" t="s">
        <v>59</v>
      </c>
    </row>
    <row r="340" spans="1:6" x14ac:dyDescent="0.25">
      <c r="A340" t="s">
        <v>670</v>
      </c>
      <c r="B340" s="1">
        <v>43470</v>
      </c>
      <c r="C340" s="1" t="str">
        <f>TEXT(Table1[[#This Row],[Order Date]],"mmm-yy")</f>
        <v>Jan-19</v>
      </c>
      <c r="D340" t="s">
        <v>671</v>
      </c>
      <c r="E340" t="s">
        <v>62</v>
      </c>
      <c r="F340" t="s">
        <v>63</v>
      </c>
    </row>
    <row r="341" spans="1:6" x14ac:dyDescent="0.25">
      <c r="A341" t="s">
        <v>672</v>
      </c>
      <c r="B341" s="1">
        <v>43471</v>
      </c>
      <c r="C341" s="1" t="str">
        <f>TEXT(Table1[[#This Row],[Order Date]],"mmm-yy")</f>
        <v>Jan-19</v>
      </c>
      <c r="D341" t="s">
        <v>673</v>
      </c>
      <c r="E341" t="s">
        <v>66</v>
      </c>
      <c r="F341" t="s">
        <v>66</v>
      </c>
    </row>
    <row r="342" spans="1:6" x14ac:dyDescent="0.25">
      <c r="A342" t="s">
        <v>674</v>
      </c>
      <c r="B342" s="1">
        <v>43472</v>
      </c>
      <c r="C342" s="1" t="str">
        <f>TEXT(Table1[[#This Row],[Order Date]],"mmm-yy")</f>
        <v>Jan-19</v>
      </c>
      <c r="D342" t="s">
        <v>675</v>
      </c>
      <c r="E342" t="s">
        <v>69</v>
      </c>
      <c r="F342" t="s">
        <v>70</v>
      </c>
    </row>
    <row r="343" spans="1:6" x14ac:dyDescent="0.25">
      <c r="A343" t="s">
        <v>676</v>
      </c>
      <c r="B343" s="1">
        <v>43473</v>
      </c>
      <c r="C343" s="1" t="str">
        <f>TEXT(Table1[[#This Row],[Order Date]],"mmm-yy")</f>
        <v>Jan-19</v>
      </c>
      <c r="D343" t="s">
        <v>457</v>
      </c>
      <c r="E343" t="s">
        <v>73</v>
      </c>
      <c r="F343" t="s">
        <v>74</v>
      </c>
    </row>
    <row r="344" spans="1:6" x14ac:dyDescent="0.25">
      <c r="A344" t="s">
        <v>677</v>
      </c>
      <c r="B344" s="1">
        <v>43474</v>
      </c>
      <c r="C344" s="1" t="str">
        <f>TEXT(Table1[[#This Row],[Order Date]],"mmm-yy")</f>
        <v>Jan-19</v>
      </c>
      <c r="D344" t="s">
        <v>678</v>
      </c>
      <c r="E344" t="s">
        <v>7</v>
      </c>
      <c r="F344" t="s">
        <v>8</v>
      </c>
    </row>
    <row r="345" spans="1:6" x14ac:dyDescent="0.25">
      <c r="A345" t="s">
        <v>679</v>
      </c>
      <c r="B345" s="1">
        <v>43475</v>
      </c>
      <c r="C345" s="1" t="str">
        <f>TEXT(Table1[[#This Row],[Order Date]],"mmm-yy")</f>
        <v>Jan-19</v>
      </c>
      <c r="D345" t="s">
        <v>680</v>
      </c>
      <c r="E345" t="s">
        <v>11</v>
      </c>
      <c r="F345" t="s">
        <v>12</v>
      </c>
    </row>
    <row r="346" spans="1:6" x14ac:dyDescent="0.25">
      <c r="A346" t="s">
        <v>681</v>
      </c>
      <c r="B346" s="1">
        <v>43476</v>
      </c>
      <c r="C346" s="1" t="str">
        <f>TEXT(Table1[[#This Row],[Order Date]],"mmm-yy")</f>
        <v>Jan-19</v>
      </c>
      <c r="D346" t="s">
        <v>682</v>
      </c>
      <c r="E346" t="s">
        <v>15</v>
      </c>
      <c r="F346" t="s">
        <v>94</v>
      </c>
    </row>
    <row r="347" spans="1:6" x14ac:dyDescent="0.25">
      <c r="A347" t="s">
        <v>683</v>
      </c>
      <c r="B347" s="1">
        <v>43477</v>
      </c>
      <c r="C347" s="1" t="str">
        <f>TEXT(Table1[[#This Row],[Order Date]],"mmm-yy")</f>
        <v>Jan-19</v>
      </c>
      <c r="D347" t="s">
        <v>550</v>
      </c>
      <c r="E347" t="s">
        <v>73</v>
      </c>
      <c r="F347" t="s">
        <v>74</v>
      </c>
    </row>
    <row r="348" spans="1:6" x14ac:dyDescent="0.25">
      <c r="A348" t="s">
        <v>684</v>
      </c>
      <c r="B348" s="1">
        <v>43478</v>
      </c>
      <c r="C348" s="1" t="str">
        <f>TEXT(Table1[[#This Row],[Order Date]],"mmm-yy")</f>
        <v>Jan-19</v>
      </c>
      <c r="D348" t="s">
        <v>685</v>
      </c>
      <c r="E348" t="s">
        <v>7</v>
      </c>
      <c r="F348" t="s">
        <v>8</v>
      </c>
    </row>
    <row r="349" spans="1:6" x14ac:dyDescent="0.25">
      <c r="A349" t="s">
        <v>686</v>
      </c>
      <c r="B349" s="1">
        <v>43478</v>
      </c>
      <c r="C349" s="1" t="str">
        <f>TEXT(Table1[[#This Row],[Order Date]],"mmm-yy")</f>
        <v>Jan-19</v>
      </c>
      <c r="D349" t="s">
        <v>687</v>
      </c>
      <c r="E349" t="s">
        <v>11</v>
      </c>
      <c r="F349" t="s">
        <v>12</v>
      </c>
    </row>
    <row r="350" spans="1:6" x14ac:dyDescent="0.25">
      <c r="A350" t="s">
        <v>688</v>
      </c>
      <c r="B350" s="1">
        <v>43478</v>
      </c>
      <c r="C350" s="1" t="str">
        <f>TEXT(Table1[[#This Row],[Order Date]],"mmm-yy")</f>
        <v>Jan-19</v>
      </c>
      <c r="D350" t="s">
        <v>689</v>
      </c>
      <c r="E350" t="s">
        <v>11</v>
      </c>
      <c r="F350" t="s">
        <v>91</v>
      </c>
    </row>
    <row r="351" spans="1:6" x14ac:dyDescent="0.25">
      <c r="A351" t="s">
        <v>690</v>
      </c>
      <c r="B351" s="1">
        <v>43478</v>
      </c>
      <c r="C351" s="1" t="str">
        <f>TEXT(Table1[[#This Row],[Order Date]],"mmm-yy")</f>
        <v>Jan-19</v>
      </c>
      <c r="D351" t="s">
        <v>160</v>
      </c>
      <c r="E351" t="s">
        <v>15</v>
      </c>
      <c r="F351" t="s">
        <v>94</v>
      </c>
    </row>
    <row r="352" spans="1:6" x14ac:dyDescent="0.25">
      <c r="A352" t="s">
        <v>691</v>
      </c>
      <c r="B352" s="1">
        <v>43478</v>
      </c>
      <c r="C352" s="1" t="str">
        <f>TEXT(Table1[[#This Row],[Order Date]],"mmm-yy")</f>
        <v>Jan-19</v>
      </c>
      <c r="D352" t="s">
        <v>692</v>
      </c>
      <c r="E352" t="s">
        <v>23</v>
      </c>
      <c r="F352" t="s">
        <v>24</v>
      </c>
    </row>
    <row r="353" spans="1:6" x14ac:dyDescent="0.25">
      <c r="A353" t="s">
        <v>693</v>
      </c>
      <c r="B353" s="1">
        <v>43478</v>
      </c>
      <c r="C353" s="1" t="str">
        <f>TEXT(Table1[[#This Row],[Order Date]],"mmm-yy")</f>
        <v>Jan-19</v>
      </c>
      <c r="D353" t="s">
        <v>152</v>
      </c>
      <c r="E353" t="s">
        <v>15</v>
      </c>
      <c r="F353" t="s">
        <v>94</v>
      </c>
    </row>
    <row r="354" spans="1:6" x14ac:dyDescent="0.25">
      <c r="A354" t="s">
        <v>694</v>
      </c>
      <c r="B354" s="1">
        <v>43479</v>
      </c>
      <c r="C354" s="1" t="str">
        <f>TEXT(Table1[[#This Row],[Order Date]],"mmm-yy")</f>
        <v>Jan-19</v>
      </c>
      <c r="D354" t="s">
        <v>204</v>
      </c>
      <c r="E354" t="s">
        <v>73</v>
      </c>
      <c r="F354" t="s">
        <v>74</v>
      </c>
    </row>
    <row r="355" spans="1:6" x14ac:dyDescent="0.25">
      <c r="A355" t="s">
        <v>695</v>
      </c>
      <c r="B355" s="1">
        <v>43479</v>
      </c>
      <c r="C355" s="1" t="str">
        <f>TEXT(Table1[[#This Row],[Order Date]],"mmm-yy")</f>
        <v>Jan-19</v>
      </c>
      <c r="D355" t="s">
        <v>696</v>
      </c>
      <c r="E355" t="s">
        <v>7</v>
      </c>
      <c r="F355" t="s">
        <v>8</v>
      </c>
    </row>
    <row r="356" spans="1:6" x14ac:dyDescent="0.25">
      <c r="A356" t="s">
        <v>697</v>
      </c>
      <c r="B356" s="1">
        <v>43481</v>
      </c>
      <c r="C356" s="1" t="str">
        <f>TEXT(Table1[[#This Row],[Order Date]],"mmm-yy")</f>
        <v>Jan-19</v>
      </c>
      <c r="D356" t="s">
        <v>349</v>
      </c>
      <c r="E356" t="s">
        <v>11</v>
      </c>
      <c r="F356" t="s">
        <v>12</v>
      </c>
    </row>
    <row r="357" spans="1:6" x14ac:dyDescent="0.25">
      <c r="A357" t="s">
        <v>698</v>
      </c>
      <c r="B357" s="1">
        <v>43482</v>
      </c>
      <c r="C357" s="1" t="str">
        <f>TEXT(Table1[[#This Row],[Order Date]],"mmm-yy")</f>
        <v>Jan-19</v>
      </c>
      <c r="D357" t="s">
        <v>190</v>
      </c>
      <c r="E357" t="s">
        <v>11</v>
      </c>
      <c r="F357" t="s">
        <v>91</v>
      </c>
    </row>
    <row r="358" spans="1:6" x14ac:dyDescent="0.25">
      <c r="A358" t="s">
        <v>699</v>
      </c>
      <c r="B358" s="1">
        <v>43483</v>
      </c>
      <c r="C358" s="1" t="str">
        <f>TEXT(Table1[[#This Row],[Order Date]],"mmm-yy")</f>
        <v>Jan-19</v>
      </c>
      <c r="D358" t="s">
        <v>188</v>
      </c>
      <c r="E358" t="s">
        <v>15</v>
      </c>
      <c r="F358" t="s">
        <v>94</v>
      </c>
    </row>
    <row r="359" spans="1:6" x14ac:dyDescent="0.25">
      <c r="A359" t="s">
        <v>700</v>
      </c>
      <c r="B359" s="1">
        <v>43483</v>
      </c>
      <c r="C359" s="1" t="str">
        <f>TEXT(Table1[[#This Row],[Order Date]],"mmm-yy")</f>
        <v>Jan-19</v>
      </c>
      <c r="D359" t="s">
        <v>701</v>
      </c>
      <c r="E359" t="s">
        <v>23</v>
      </c>
      <c r="F359" t="s">
        <v>24</v>
      </c>
    </row>
    <row r="360" spans="1:6" x14ac:dyDescent="0.25">
      <c r="A360" t="s">
        <v>702</v>
      </c>
      <c r="B360" s="1">
        <v>43483</v>
      </c>
      <c r="C360" s="1" t="str">
        <f>TEXT(Table1[[#This Row],[Order Date]],"mmm-yy")</f>
        <v>Jan-19</v>
      </c>
      <c r="D360" t="s">
        <v>703</v>
      </c>
      <c r="E360" t="s">
        <v>15</v>
      </c>
      <c r="F360" t="s">
        <v>94</v>
      </c>
    </row>
    <row r="361" spans="1:6" x14ac:dyDescent="0.25">
      <c r="A361" t="s">
        <v>704</v>
      </c>
      <c r="B361" s="1">
        <v>43483</v>
      </c>
      <c r="C361" s="1" t="str">
        <f>TEXT(Table1[[#This Row],[Order Date]],"mmm-yy")</f>
        <v>Jan-19</v>
      </c>
      <c r="D361" t="s">
        <v>190</v>
      </c>
      <c r="E361" t="s">
        <v>73</v>
      </c>
      <c r="F361" t="s">
        <v>74</v>
      </c>
    </row>
    <row r="362" spans="1:6" x14ac:dyDescent="0.25">
      <c r="A362" t="s">
        <v>705</v>
      </c>
      <c r="B362" s="1">
        <v>43483</v>
      </c>
      <c r="C362" s="1" t="str">
        <f>TEXT(Table1[[#This Row],[Order Date]],"mmm-yy")</f>
        <v>Jan-19</v>
      </c>
      <c r="D362" t="s">
        <v>366</v>
      </c>
      <c r="E362" t="s">
        <v>7</v>
      </c>
      <c r="F362" t="s">
        <v>8</v>
      </c>
    </row>
    <row r="363" spans="1:6" x14ac:dyDescent="0.25">
      <c r="A363" t="s">
        <v>706</v>
      </c>
      <c r="B363" s="1">
        <v>43484</v>
      </c>
      <c r="C363" s="1" t="str">
        <f>TEXT(Table1[[#This Row],[Order Date]],"mmm-yy")</f>
        <v>Jan-19</v>
      </c>
      <c r="D363" t="s">
        <v>707</v>
      </c>
      <c r="E363" t="s">
        <v>11</v>
      </c>
      <c r="F363" t="s">
        <v>12</v>
      </c>
    </row>
    <row r="364" spans="1:6" x14ac:dyDescent="0.25">
      <c r="A364" t="s">
        <v>708</v>
      </c>
      <c r="B364" s="1">
        <v>43484</v>
      </c>
      <c r="C364" s="1" t="str">
        <f>TEXT(Table1[[#This Row],[Order Date]],"mmm-yy")</f>
        <v>Jan-19</v>
      </c>
      <c r="D364" t="s">
        <v>709</v>
      </c>
      <c r="E364" t="s">
        <v>11</v>
      </c>
      <c r="F364" t="s">
        <v>91</v>
      </c>
    </row>
    <row r="365" spans="1:6" x14ac:dyDescent="0.25">
      <c r="A365" t="s">
        <v>710</v>
      </c>
      <c r="B365" s="1">
        <v>43485</v>
      </c>
      <c r="C365" s="1" t="str">
        <f>TEXT(Table1[[#This Row],[Order Date]],"mmm-yy")</f>
        <v>Jan-19</v>
      </c>
      <c r="D365" t="s">
        <v>711</v>
      </c>
      <c r="E365" t="s">
        <v>15</v>
      </c>
      <c r="F365" t="s">
        <v>94</v>
      </c>
    </row>
    <row r="366" spans="1:6" x14ac:dyDescent="0.25">
      <c r="A366" t="s">
        <v>712</v>
      </c>
      <c r="B366" s="1">
        <v>43486</v>
      </c>
      <c r="C366" s="1" t="str">
        <f>TEXT(Table1[[#This Row],[Order Date]],"mmm-yy")</f>
        <v>Jan-19</v>
      </c>
      <c r="D366" t="s">
        <v>713</v>
      </c>
      <c r="E366" t="s">
        <v>23</v>
      </c>
      <c r="F366" t="s">
        <v>24</v>
      </c>
    </row>
    <row r="367" spans="1:6" x14ac:dyDescent="0.25">
      <c r="A367" t="s">
        <v>714</v>
      </c>
      <c r="B367" s="1">
        <v>43486</v>
      </c>
      <c r="C367" s="1" t="str">
        <f>TEXT(Table1[[#This Row],[Order Date]],"mmm-yy")</f>
        <v>Jan-19</v>
      </c>
      <c r="D367" t="s">
        <v>349</v>
      </c>
      <c r="E367" t="s">
        <v>19</v>
      </c>
      <c r="F367" t="s">
        <v>554</v>
      </c>
    </row>
    <row r="368" spans="1:6" x14ac:dyDescent="0.25">
      <c r="A368" t="s">
        <v>715</v>
      </c>
      <c r="B368" s="1">
        <v>43486</v>
      </c>
      <c r="C368" s="1" t="str">
        <f>TEXT(Table1[[#This Row],[Order Date]],"mmm-yy")</f>
        <v>Jan-19</v>
      </c>
      <c r="D368" t="s">
        <v>539</v>
      </c>
      <c r="E368" t="s">
        <v>39</v>
      </c>
      <c r="F368" t="s">
        <v>557</v>
      </c>
    </row>
    <row r="369" spans="1:6" x14ac:dyDescent="0.25">
      <c r="A369" t="s">
        <v>716</v>
      </c>
      <c r="B369" s="1">
        <v>43486</v>
      </c>
      <c r="C369" s="1" t="str">
        <f>TEXT(Table1[[#This Row],[Order Date]],"mmm-yy")</f>
        <v>Jan-19</v>
      </c>
      <c r="D369" t="s">
        <v>717</v>
      </c>
      <c r="E369" t="s">
        <v>51</v>
      </c>
      <c r="F369" t="s">
        <v>560</v>
      </c>
    </row>
    <row r="370" spans="1:6" x14ac:dyDescent="0.25">
      <c r="A370" t="s">
        <v>718</v>
      </c>
      <c r="B370" s="1">
        <v>43486</v>
      </c>
      <c r="C370" s="1" t="str">
        <f>TEXT(Table1[[#This Row],[Order Date]],"mmm-yy")</f>
        <v>Jan-19</v>
      </c>
      <c r="D370" t="s">
        <v>719</v>
      </c>
      <c r="E370" t="s">
        <v>7</v>
      </c>
      <c r="F370" t="s">
        <v>548</v>
      </c>
    </row>
    <row r="371" spans="1:6" x14ac:dyDescent="0.25">
      <c r="A371" t="s">
        <v>720</v>
      </c>
      <c r="B371" s="1">
        <v>43487</v>
      </c>
      <c r="C371" s="1" t="str">
        <f>TEXT(Table1[[#This Row],[Order Date]],"mmm-yy")</f>
        <v>Jan-19</v>
      </c>
      <c r="D371" t="s">
        <v>176</v>
      </c>
      <c r="E371" t="s">
        <v>11</v>
      </c>
      <c r="F371" t="s">
        <v>91</v>
      </c>
    </row>
    <row r="372" spans="1:6" x14ac:dyDescent="0.25">
      <c r="A372" t="s">
        <v>721</v>
      </c>
      <c r="B372" s="1">
        <v>43487</v>
      </c>
      <c r="C372" s="1" t="str">
        <f>TEXT(Table1[[#This Row],[Order Date]],"mmm-yy")</f>
        <v>Jan-19</v>
      </c>
      <c r="D372" t="s">
        <v>182</v>
      </c>
      <c r="E372" t="s">
        <v>15</v>
      </c>
      <c r="F372" t="s">
        <v>94</v>
      </c>
    </row>
    <row r="373" spans="1:6" x14ac:dyDescent="0.25">
      <c r="A373" t="s">
        <v>722</v>
      </c>
      <c r="B373" s="1">
        <v>43488</v>
      </c>
      <c r="C373" s="1" t="str">
        <f>TEXT(Table1[[#This Row],[Order Date]],"mmm-yy")</f>
        <v>Jan-19</v>
      </c>
      <c r="D373" t="s">
        <v>723</v>
      </c>
      <c r="E373" t="s">
        <v>19</v>
      </c>
      <c r="F373" t="s">
        <v>554</v>
      </c>
    </row>
    <row r="374" spans="1:6" x14ac:dyDescent="0.25">
      <c r="A374" t="s">
        <v>724</v>
      </c>
      <c r="B374" s="1">
        <v>43489</v>
      </c>
      <c r="C374" s="1" t="str">
        <f>TEXT(Table1[[#This Row],[Order Date]],"mmm-yy")</f>
        <v>Jan-19</v>
      </c>
      <c r="D374" t="s">
        <v>725</v>
      </c>
      <c r="E374" t="s">
        <v>39</v>
      </c>
      <c r="F374" t="s">
        <v>557</v>
      </c>
    </row>
    <row r="375" spans="1:6" x14ac:dyDescent="0.25">
      <c r="A375" t="s">
        <v>726</v>
      </c>
      <c r="B375" s="1">
        <v>43490</v>
      </c>
      <c r="C375" s="1" t="str">
        <f>TEXT(Table1[[#This Row],[Order Date]],"mmm-yy")</f>
        <v>Jan-19</v>
      </c>
      <c r="D375" t="s">
        <v>727</v>
      </c>
      <c r="E375" t="s">
        <v>19</v>
      </c>
      <c r="F375" t="s">
        <v>554</v>
      </c>
    </row>
    <row r="376" spans="1:6" x14ac:dyDescent="0.25">
      <c r="A376" t="s">
        <v>728</v>
      </c>
      <c r="B376" s="1">
        <v>43490</v>
      </c>
      <c r="C376" s="1" t="str">
        <f>TEXT(Table1[[#This Row],[Order Date]],"mmm-yy")</f>
        <v>Jan-19</v>
      </c>
      <c r="D376" t="s">
        <v>152</v>
      </c>
      <c r="E376" t="s">
        <v>39</v>
      </c>
      <c r="F376" t="s">
        <v>557</v>
      </c>
    </row>
    <row r="377" spans="1:6" x14ac:dyDescent="0.25">
      <c r="A377" t="s">
        <v>729</v>
      </c>
      <c r="B377" s="1">
        <v>43490</v>
      </c>
      <c r="C377" s="1" t="str">
        <f>TEXT(Table1[[#This Row],[Order Date]],"mmm-yy")</f>
        <v>Jan-19</v>
      </c>
      <c r="D377" t="s">
        <v>730</v>
      </c>
      <c r="E377" t="s">
        <v>51</v>
      </c>
      <c r="F377" t="s">
        <v>560</v>
      </c>
    </row>
    <row r="378" spans="1:6" x14ac:dyDescent="0.25">
      <c r="A378" t="s">
        <v>731</v>
      </c>
      <c r="B378" s="1">
        <v>43492</v>
      </c>
      <c r="C378" s="1" t="str">
        <f>TEXT(Table1[[#This Row],[Order Date]],"mmm-yy")</f>
        <v>Jan-19</v>
      </c>
      <c r="D378" t="s">
        <v>200</v>
      </c>
      <c r="E378" t="s">
        <v>7</v>
      </c>
      <c r="F378" t="s">
        <v>548</v>
      </c>
    </row>
    <row r="379" spans="1:6" x14ac:dyDescent="0.25">
      <c r="A379" t="s">
        <v>732</v>
      </c>
      <c r="B379" s="1">
        <v>43492</v>
      </c>
      <c r="C379" s="1" t="str">
        <f>TEXT(Table1[[#This Row],[Order Date]],"mmm-yy")</f>
        <v>Jan-19</v>
      </c>
      <c r="D379" t="s">
        <v>733</v>
      </c>
      <c r="E379" t="s">
        <v>11</v>
      </c>
      <c r="F379" t="s">
        <v>91</v>
      </c>
    </row>
    <row r="380" spans="1:6" x14ac:dyDescent="0.25">
      <c r="A380" t="s">
        <v>734</v>
      </c>
      <c r="B380" s="1">
        <v>43492</v>
      </c>
      <c r="C380" s="1" t="str">
        <f>TEXT(Table1[[#This Row],[Order Date]],"mmm-yy")</f>
        <v>Jan-19</v>
      </c>
      <c r="D380" t="s">
        <v>390</v>
      </c>
      <c r="E380" t="s">
        <v>15</v>
      </c>
      <c r="F380" t="s">
        <v>94</v>
      </c>
    </row>
    <row r="381" spans="1:6" x14ac:dyDescent="0.25">
      <c r="A381" t="s">
        <v>735</v>
      </c>
      <c r="B381" s="1">
        <v>43492</v>
      </c>
      <c r="C381" s="1" t="str">
        <f>TEXT(Table1[[#This Row],[Order Date]],"mmm-yy")</f>
        <v>Jan-19</v>
      </c>
      <c r="D381" t="s">
        <v>247</v>
      </c>
      <c r="E381" t="s">
        <v>19</v>
      </c>
      <c r="F381" t="s">
        <v>554</v>
      </c>
    </row>
    <row r="382" spans="1:6" x14ac:dyDescent="0.25">
      <c r="A382" t="s">
        <v>736</v>
      </c>
      <c r="B382" s="1">
        <v>43493</v>
      </c>
      <c r="C382" s="1" t="str">
        <f>TEXT(Table1[[#This Row],[Order Date]],"mmm-yy")</f>
        <v>Jan-19</v>
      </c>
      <c r="D382" t="s">
        <v>737</v>
      </c>
      <c r="E382" t="s">
        <v>606</v>
      </c>
      <c r="F382" t="s">
        <v>606</v>
      </c>
    </row>
    <row r="383" spans="1:6" x14ac:dyDescent="0.25">
      <c r="A383" t="s">
        <v>738</v>
      </c>
      <c r="B383" s="1">
        <v>43494</v>
      </c>
      <c r="C383" s="1" t="str">
        <f>TEXT(Table1[[#This Row],[Order Date]],"mmm-yy")</f>
        <v>Jan-19</v>
      </c>
      <c r="D383" t="s">
        <v>739</v>
      </c>
      <c r="E383" t="s">
        <v>606</v>
      </c>
      <c r="F383" t="s">
        <v>606</v>
      </c>
    </row>
    <row r="384" spans="1:6" x14ac:dyDescent="0.25">
      <c r="A384" t="s">
        <v>740</v>
      </c>
      <c r="B384" s="1">
        <v>43495</v>
      </c>
      <c r="C384" s="1" t="str">
        <f>TEXT(Table1[[#This Row],[Order Date]],"mmm-yy")</f>
        <v>Jan-19</v>
      </c>
      <c r="D384" t="s">
        <v>741</v>
      </c>
      <c r="E384" t="s">
        <v>606</v>
      </c>
      <c r="F384" t="s">
        <v>606</v>
      </c>
    </row>
    <row r="385" spans="1:6" x14ac:dyDescent="0.25">
      <c r="A385" t="s">
        <v>742</v>
      </c>
      <c r="B385" s="1">
        <v>43495</v>
      </c>
      <c r="C385" s="1" t="str">
        <f>TEXT(Table1[[#This Row],[Order Date]],"mmm-yy")</f>
        <v>Jan-19</v>
      </c>
      <c r="D385" t="s">
        <v>626</v>
      </c>
      <c r="E385" t="s">
        <v>606</v>
      </c>
      <c r="F385" t="s">
        <v>606</v>
      </c>
    </row>
    <row r="386" spans="1:6" x14ac:dyDescent="0.25">
      <c r="A386" t="s">
        <v>743</v>
      </c>
      <c r="B386" s="1">
        <v>43496</v>
      </c>
      <c r="C386" s="1" t="str">
        <f>TEXT(Table1[[#This Row],[Order Date]],"mmm-yy")</f>
        <v>Jan-19</v>
      </c>
      <c r="D386" t="s">
        <v>744</v>
      </c>
      <c r="E386" t="s">
        <v>15</v>
      </c>
      <c r="F386" t="s">
        <v>94</v>
      </c>
    </row>
    <row r="387" spans="1:6" x14ac:dyDescent="0.25">
      <c r="A387" t="s">
        <v>745</v>
      </c>
      <c r="B387" s="1">
        <v>43496</v>
      </c>
      <c r="C387" s="1" t="str">
        <f>TEXT(Table1[[#This Row],[Order Date]],"mmm-yy")</f>
        <v>Jan-19</v>
      </c>
      <c r="D387" t="s">
        <v>247</v>
      </c>
      <c r="E387" t="s">
        <v>19</v>
      </c>
      <c r="F387" t="s">
        <v>554</v>
      </c>
    </row>
    <row r="388" spans="1:6" x14ac:dyDescent="0.25">
      <c r="A388" t="s">
        <v>746</v>
      </c>
      <c r="B388" s="1">
        <v>43496</v>
      </c>
      <c r="C388" s="1" t="str">
        <f>TEXT(Table1[[#This Row],[Order Date]],"mmm-yy")</f>
        <v>Jan-19</v>
      </c>
      <c r="D388" t="s">
        <v>747</v>
      </c>
      <c r="E388" t="s">
        <v>606</v>
      </c>
      <c r="F388" t="s">
        <v>606</v>
      </c>
    </row>
    <row r="389" spans="1:6" x14ac:dyDescent="0.25">
      <c r="A389" t="s">
        <v>748</v>
      </c>
      <c r="B389" s="1">
        <v>43496</v>
      </c>
      <c r="C389" s="1" t="str">
        <f>TEXT(Table1[[#This Row],[Order Date]],"mmm-yy")</f>
        <v>Jan-19</v>
      </c>
      <c r="D389" t="s">
        <v>749</v>
      </c>
      <c r="E389" t="s">
        <v>606</v>
      </c>
      <c r="F389" t="s">
        <v>606</v>
      </c>
    </row>
    <row r="390" spans="1:6" x14ac:dyDescent="0.25">
      <c r="A390" t="s">
        <v>750</v>
      </c>
      <c r="B390" s="1">
        <v>43497</v>
      </c>
      <c r="C390" s="1" t="str">
        <f>TEXT(Table1[[#This Row],[Order Date]],"mmm-yy")</f>
        <v>Feb-19</v>
      </c>
      <c r="D390" t="s">
        <v>174</v>
      </c>
      <c r="E390" t="s">
        <v>606</v>
      </c>
      <c r="F390" t="s">
        <v>606</v>
      </c>
    </row>
    <row r="391" spans="1:6" x14ac:dyDescent="0.25">
      <c r="A391" t="s">
        <v>751</v>
      </c>
      <c r="B391" s="1">
        <v>43498</v>
      </c>
      <c r="C391" s="1" t="str">
        <f>TEXT(Table1[[#This Row],[Order Date]],"mmm-yy")</f>
        <v>Feb-19</v>
      </c>
      <c r="D391" t="s">
        <v>752</v>
      </c>
      <c r="E391" t="s">
        <v>606</v>
      </c>
      <c r="F391" t="s">
        <v>606</v>
      </c>
    </row>
    <row r="392" spans="1:6" x14ac:dyDescent="0.25">
      <c r="A392" t="s">
        <v>753</v>
      </c>
      <c r="B392" s="1">
        <v>43499</v>
      </c>
      <c r="C392" s="1" t="str">
        <f>TEXT(Table1[[#This Row],[Order Date]],"mmm-yy")</f>
        <v>Feb-19</v>
      </c>
      <c r="D392" t="s">
        <v>754</v>
      </c>
      <c r="E392" t="s">
        <v>15</v>
      </c>
      <c r="F392" t="s">
        <v>94</v>
      </c>
    </row>
    <row r="393" spans="1:6" x14ac:dyDescent="0.25">
      <c r="A393" t="s">
        <v>755</v>
      </c>
      <c r="B393" s="1">
        <v>43499</v>
      </c>
      <c r="C393" s="1" t="str">
        <f>TEXT(Table1[[#This Row],[Order Date]],"mmm-yy")</f>
        <v>Feb-19</v>
      </c>
      <c r="D393" t="s">
        <v>517</v>
      </c>
      <c r="E393" t="s">
        <v>19</v>
      </c>
      <c r="F393" t="s">
        <v>554</v>
      </c>
    </row>
    <row r="394" spans="1:6" x14ac:dyDescent="0.25">
      <c r="A394" t="s">
        <v>756</v>
      </c>
      <c r="B394" s="1">
        <v>43499</v>
      </c>
      <c r="C394" s="1" t="str">
        <f>TEXT(Table1[[#This Row],[Order Date]],"mmm-yy")</f>
        <v>Feb-19</v>
      </c>
      <c r="D394" t="s">
        <v>757</v>
      </c>
      <c r="E394" t="s">
        <v>606</v>
      </c>
      <c r="F394" t="s">
        <v>606</v>
      </c>
    </row>
    <row r="395" spans="1:6" x14ac:dyDescent="0.25">
      <c r="A395" t="s">
        <v>758</v>
      </c>
      <c r="B395" s="1">
        <v>43499</v>
      </c>
      <c r="C395" s="1" t="str">
        <f>TEXT(Table1[[#This Row],[Order Date]],"mmm-yy")</f>
        <v>Feb-19</v>
      </c>
      <c r="D395" t="s">
        <v>759</v>
      </c>
      <c r="E395" t="s">
        <v>606</v>
      </c>
      <c r="F395" t="s">
        <v>606</v>
      </c>
    </row>
    <row r="396" spans="1:6" x14ac:dyDescent="0.25">
      <c r="A396" t="s">
        <v>760</v>
      </c>
      <c r="B396" s="1">
        <v>43500</v>
      </c>
      <c r="C396" s="1" t="str">
        <f>TEXT(Table1[[#This Row],[Order Date]],"mmm-yy")</f>
        <v>Feb-19</v>
      </c>
      <c r="D396" t="s">
        <v>761</v>
      </c>
      <c r="E396" t="s">
        <v>606</v>
      </c>
      <c r="F396" t="s">
        <v>606</v>
      </c>
    </row>
    <row r="397" spans="1:6" x14ac:dyDescent="0.25">
      <c r="A397" t="s">
        <v>762</v>
      </c>
      <c r="B397" s="1">
        <v>43500</v>
      </c>
      <c r="C397" s="1" t="str">
        <f>TEXT(Table1[[#This Row],[Order Date]],"mmm-yy")</f>
        <v>Feb-19</v>
      </c>
      <c r="D397" t="s">
        <v>763</v>
      </c>
      <c r="E397" t="s">
        <v>606</v>
      </c>
      <c r="F397" t="s">
        <v>606</v>
      </c>
    </row>
    <row r="398" spans="1:6" x14ac:dyDescent="0.25">
      <c r="A398" t="s">
        <v>764</v>
      </c>
      <c r="B398" s="1">
        <v>43500</v>
      </c>
      <c r="C398" s="1" t="str">
        <f>TEXT(Table1[[#This Row],[Order Date]],"mmm-yy")</f>
        <v>Feb-19</v>
      </c>
      <c r="D398" t="s">
        <v>42</v>
      </c>
      <c r="E398" t="s">
        <v>15</v>
      </c>
      <c r="F398" t="s">
        <v>94</v>
      </c>
    </row>
    <row r="399" spans="1:6" x14ac:dyDescent="0.25">
      <c r="A399" t="s">
        <v>765</v>
      </c>
      <c r="B399" s="1">
        <v>43500</v>
      </c>
      <c r="C399" s="1" t="str">
        <f>TEXT(Table1[[#This Row],[Order Date]],"mmm-yy")</f>
        <v>Feb-19</v>
      </c>
      <c r="D399" t="s">
        <v>766</v>
      </c>
      <c r="E399" t="s">
        <v>19</v>
      </c>
      <c r="F399" t="s">
        <v>554</v>
      </c>
    </row>
    <row r="400" spans="1:6" x14ac:dyDescent="0.25">
      <c r="A400" t="s">
        <v>767</v>
      </c>
      <c r="B400" s="1">
        <v>43501</v>
      </c>
      <c r="C400" s="1" t="str">
        <f>TEXT(Table1[[#This Row],[Order Date]],"mmm-yy")</f>
        <v>Feb-19</v>
      </c>
      <c r="D400" t="s">
        <v>768</v>
      </c>
      <c r="E400" t="s">
        <v>606</v>
      </c>
      <c r="F400" t="s">
        <v>606</v>
      </c>
    </row>
    <row r="401" spans="1:6" x14ac:dyDescent="0.25">
      <c r="A401" t="s">
        <v>769</v>
      </c>
      <c r="B401" s="1">
        <v>43502</v>
      </c>
      <c r="C401" s="1" t="str">
        <f>TEXT(Table1[[#This Row],[Order Date]],"mmm-yy")</f>
        <v>Feb-19</v>
      </c>
      <c r="D401" t="s">
        <v>308</v>
      </c>
      <c r="E401" t="s">
        <v>606</v>
      </c>
      <c r="F401" t="s">
        <v>606</v>
      </c>
    </row>
    <row r="402" spans="1:6" x14ac:dyDescent="0.25">
      <c r="A402" t="s">
        <v>770</v>
      </c>
      <c r="B402" s="1">
        <v>43503</v>
      </c>
      <c r="C402" s="1" t="str">
        <f>TEXT(Table1[[#This Row],[Order Date]],"mmm-yy")</f>
        <v>Feb-19</v>
      </c>
      <c r="D402" t="s">
        <v>771</v>
      </c>
      <c r="E402" t="s">
        <v>606</v>
      </c>
      <c r="F402" t="s">
        <v>606</v>
      </c>
    </row>
    <row r="403" spans="1:6" x14ac:dyDescent="0.25">
      <c r="A403" t="s">
        <v>772</v>
      </c>
      <c r="B403" s="1">
        <v>43504</v>
      </c>
      <c r="C403" s="1" t="str">
        <f>TEXT(Table1[[#This Row],[Order Date]],"mmm-yy")</f>
        <v>Feb-19</v>
      </c>
      <c r="D403" t="s">
        <v>328</v>
      </c>
      <c r="E403" t="s">
        <v>606</v>
      </c>
      <c r="F403" t="s">
        <v>606</v>
      </c>
    </row>
    <row r="404" spans="1:6" x14ac:dyDescent="0.25">
      <c r="A404" t="s">
        <v>773</v>
      </c>
      <c r="B404" s="1">
        <v>43504</v>
      </c>
      <c r="C404" s="1" t="str">
        <f>TEXT(Table1[[#This Row],[Order Date]],"mmm-yy")</f>
        <v>Feb-19</v>
      </c>
      <c r="D404" t="s">
        <v>774</v>
      </c>
      <c r="E404" t="s">
        <v>15</v>
      </c>
      <c r="F404" t="s">
        <v>16</v>
      </c>
    </row>
    <row r="405" spans="1:6" x14ac:dyDescent="0.25">
      <c r="A405" t="s">
        <v>775</v>
      </c>
      <c r="B405" s="1">
        <v>43504</v>
      </c>
      <c r="C405" s="1" t="str">
        <f>TEXT(Table1[[#This Row],[Order Date]],"mmm-yy")</f>
        <v>Feb-19</v>
      </c>
      <c r="D405" t="s">
        <v>776</v>
      </c>
      <c r="E405" t="s">
        <v>19</v>
      </c>
      <c r="F405" t="s">
        <v>20</v>
      </c>
    </row>
    <row r="406" spans="1:6" x14ac:dyDescent="0.25">
      <c r="A406" t="s">
        <v>777</v>
      </c>
      <c r="B406" s="1">
        <v>43504</v>
      </c>
      <c r="C406" s="1" t="str">
        <f>TEXT(Table1[[#This Row],[Order Date]],"mmm-yy")</f>
        <v>Feb-19</v>
      </c>
      <c r="D406" t="s">
        <v>778</v>
      </c>
      <c r="E406" t="s">
        <v>23</v>
      </c>
      <c r="F406" t="s">
        <v>24</v>
      </c>
    </row>
    <row r="407" spans="1:6" x14ac:dyDescent="0.25">
      <c r="A407" t="s">
        <v>779</v>
      </c>
      <c r="B407" s="1">
        <v>43505</v>
      </c>
      <c r="C407" s="1" t="str">
        <f>TEXT(Table1[[#This Row],[Order Date]],"mmm-yy")</f>
        <v>Feb-19</v>
      </c>
      <c r="D407" t="s">
        <v>780</v>
      </c>
      <c r="E407" t="s">
        <v>27</v>
      </c>
      <c r="F407" t="s">
        <v>28</v>
      </c>
    </row>
    <row r="408" spans="1:6" x14ac:dyDescent="0.25">
      <c r="A408" t="s">
        <v>781</v>
      </c>
      <c r="B408" s="1">
        <v>43505</v>
      </c>
      <c r="C408" s="1" t="str">
        <f>TEXT(Table1[[#This Row],[Order Date]],"mmm-yy")</f>
        <v>Feb-19</v>
      </c>
      <c r="D408" t="s">
        <v>308</v>
      </c>
      <c r="E408" t="s">
        <v>31</v>
      </c>
      <c r="F408" t="s">
        <v>32</v>
      </c>
    </row>
    <row r="409" spans="1:6" x14ac:dyDescent="0.25">
      <c r="A409" t="s">
        <v>782</v>
      </c>
      <c r="B409" s="1">
        <v>43505</v>
      </c>
      <c r="C409" s="1" t="str">
        <f>TEXT(Table1[[#This Row],[Order Date]],"mmm-yy")</f>
        <v>Feb-19</v>
      </c>
      <c r="D409" t="s">
        <v>783</v>
      </c>
      <c r="E409" t="s">
        <v>35</v>
      </c>
      <c r="F409" t="s">
        <v>36</v>
      </c>
    </row>
    <row r="410" spans="1:6" x14ac:dyDescent="0.25">
      <c r="A410" t="s">
        <v>784</v>
      </c>
      <c r="B410" s="1">
        <v>43506</v>
      </c>
      <c r="C410" s="1" t="str">
        <f>TEXT(Table1[[#This Row],[Order Date]],"mmm-yy")</f>
        <v>Feb-19</v>
      </c>
      <c r="D410" t="s">
        <v>539</v>
      </c>
      <c r="E410" t="s">
        <v>39</v>
      </c>
      <c r="F410" t="s">
        <v>40</v>
      </c>
    </row>
    <row r="411" spans="1:6" x14ac:dyDescent="0.25">
      <c r="A411" t="s">
        <v>785</v>
      </c>
      <c r="B411" s="1">
        <v>43507</v>
      </c>
      <c r="C411" s="1" t="str">
        <f>TEXT(Table1[[#This Row],[Order Date]],"mmm-yy")</f>
        <v>Feb-19</v>
      </c>
      <c r="D411" t="s">
        <v>786</v>
      </c>
      <c r="E411" t="s">
        <v>43</v>
      </c>
      <c r="F411" t="s">
        <v>44</v>
      </c>
    </row>
    <row r="412" spans="1:6" x14ac:dyDescent="0.25">
      <c r="A412" t="s">
        <v>787</v>
      </c>
      <c r="B412" s="1">
        <v>43508</v>
      </c>
      <c r="C412" s="1" t="str">
        <f>TEXT(Table1[[#This Row],[Order Date]],"mmm-yy")</f>
        <v>Feb-19</v>
      </c>
      <c r="D412" t="s">
        <v>6</v>
      </c>
      <c r="E412" t="s">
        <v>7</v>
      </c>
      <c r="F412" t="s">
        <v>8</v>
      </c>
    </row>
    <row r="413" spans="1:6" x14ac:dyDescent="0.25">
      <c r="A413" t="s">
        <v>788</v>
      </c>
      <c r="B413" s="1">
        <v>43509</v>
      </c>
      <c r="C413" s="1" t="str">
        <f>TEXT(Table1[[#This Row],[Order Date]],"mmm-yy")</f>
        <v>Feb-19</v>
      </c>
      <c r="D413" t="s">
        <v>10</v>
      </c>
      <c r="E413" t="s">
        <v>11</v>
      </c>
      <c r="F413" t="s">
        <v>12</v>
      </c>
    </row>
    <row r="414" spans="1:6" x14ac:dyDescent="0.25">
      <c r="A414" t="s">
        <v>789</v>
      </c>
      <c r="B414" s="1">
        <v>43509</v>
      </c>
      <c r="C414" s="1" t="str">
        <f>TEXT(Table1[[#This Row],[Order Date]],"mmm-yy")</f>
        <v>Feb-19</v>
      </c>
      <c r="D414" t="s">
        <v>14</v>
      </c>
      <c r="E414" t="s">
        <v>15</v>
      </c>
      <c r="F414" t="s">
        <v>16</v>
      </c>
    </row>
    <row r="415" spans="1:6" x14ac:dyDescent="0.25">
      <c r="A415" t="s">
        <v>790</v>
      </c>
      <c r="B415" s="1">
        <v>43509</v>
      </c>
      <c r="C415" s="1" t="str">
        <f>TEXT(Table1[[#This Row],[Order Date]],"mmm-yy")</f>
        <v>Feb-19</v>
      </c>
      <c r="D415" t="s">
        <v>18</v>
      </c>
      <c r="E415" t="s">
        <v>19</v>
      </c>
      <c r="F415" t="s">
        <v>20</v>
      </c>
    </row>
    <row r="416" spans="1:6" x14ac:dyDescent="0.25">
      <c r="A416" t="s">
        <v>791</v>
      </c>
      <c r="B416" s="1">
        <v>43510</v>
      </c>
      <c r="C416" s="1" t="str">
        <f>TEXT(Table1[[#This Row],[Order Date]],"mmm-yy")</f>
        <v>Feb-19</v>
      </c>
      <c r="D416" t="s">
        <v>22</v>
      </c>
      <c r="E416" t="s">
        <v>23</v>
      </c>
      <c r="F416" t="s">
        <v>24</v>
      </c>
    </row>
    <row r="417" spans="1:6" x14ac:dyDescent="0.25">
      <c r="A417" t="s">
        <v>792</v>
      </c>
      <c r="B417" s="1">
        <v>43510</v>
      </c>
      <c r="C417" s="1" t="str">
        <f>TEXT(Table1[[#This Row],[Order Date]],"mmm-yy")</f>
        <v>Feb-19</v>
      </c>
      <c r="D417" t="s">
        <v>26</v>
      </c>
      <c r="E417" t="s">
        <v>27</v>
      </c>
      <c r="F417" t="s">
        <v>28</v>
      </c>
    </row>
    <row r="418" spans="1:6" x14ac:dyDescent="0.25">
      <c r="A418" t="s">
        <v>793</v>
      </c>
      <c r="B418" s="1">
        <v>43510</v>
      </c>
      <c r="C418" s="1" t="str">
        <f>TEXT(Table1[[#This Row],[Order Date]],"mmm-yy")</f>
        <v>Feb-19</v>
      </c>
      <c r="D418" t="s">
        <v>30</v>
      </c>
      <c r="E418" t="s">
        <v>31</v>
      </c>
      <c r="F418" t="s">
        <v>32</v>
      </c>
    </row>
    <row r="419" spans="1:6" x14ac:dyDescent="0.25">
      <c r="A419" t="s">
        <v>794</v>
      </c>
      <c r="B419" s="1">
        <v>43510</v>
      </c>
      <c r="C419" s="1" t="str">
        <f>TEXT(Table1[[#This Row],[Order Date]],"mmm-yy")</f>
        <v>Feb-19</v>
      </c>
      <c r="D419" t="s">
        <v>34</v>
      </c>
      <c r="E419" t="s">
        <v>35</v>
      </c>
      <c r="F419" t="s">
        <v>36</v>
      </c>
    </row>
    <row r="420" spans="1:6" x14ac:dyDescent="0.25">
      <c r="A420" t="s">
        <v>795</v>
      </c>
      <c r="B420" s="1">
        <v>43511</v>
      </c>
      <c r="C420" s="1" t="str">
        <f>TEXT(Table1[[#This Row],[Order Date]],"mmm-yy")</f>
        <v>Feb-19</v>
      </c>
      <c r="D420" t="s">
        <v>38</v>
      </c>
      <c r="E420" t="s">
        <v>39</v>
      </c>
      <c r="F420" t="s">
        <v>40</v>
      </c>
    </row>
    <row r="421" spans="1:6" x14ac:dyDescent="0.25">
      <c r="A421" t="s">
        <v>796</v>
      </c>
      <c r="B421" s="1">
        <v>43512</v>
      </c>
      <c r="C421" s="1" t="str">
        <f>TEXT(Table1[[#This Row],[Order Date]],"mmm-yy")</f>
        <v>Feb-19</v>
      </c>
      <c r="D421" t="s">
        <v>42</v>
      </c>
      <c r="E421" t="s">
        <v>43</v>
      </c>
      <c r="F421" t="s">
        <v>44</v>
      </c>
    </row>
    <row r="422" spans="1:6" x14ac:dyDescent="0.25">
      <c r="A422" t="s">
        <v>797</v>
      </c>
      <c r="B422" s="1">
        <v>43513</v>
      </c>
      <c r="C422" s="1" t="str">
        <f>TEXT(Table1[[#This Row],[Order Date]],"mmm-yy")</f>
        <v>Feb-19</v>
      </c>
      <c r="D422" t="s">
        <v>46</v>
      </c>
      <c r="E422" t="s">
        <v>47</v>
      </c>
      <c r="F422" t="s">
        <v>48</v>
      </c>
    </row>
    <row r="423" spans="1:6" x14ac:dyDescent="0.25">
      <c r="A423" t="s">
        <v>798</v>
      </c>
      <c r="B423" s="1">
        <v>43514</v>
      </c>
      <c r="C423" s="1" t="str">
        <f>TEXT(Table1[[#This Row],[Order Date]],"mmm-yy")</f>
        <v>Feb-19</v>
      </c>
      <c r="D423" t="s">
        <v>50</v>
      </c>
      <c r="E423" t="s">
        <v>51</v>
      </c>
      <c r="F423" t="s">
        <v>52</v>
      </c>
    </row>
    <row r="424" spans="1:6" x14ac:dyDescent="0.25">
      <c r="A424" t="s">
        <v>799</v>
      </c>
      <c r="B424" s="1">
        <v>43515</v>
      </c>
      <c r="C424" s="1" t="str">
        <f>TEXT(Table1[[#This Row],[Order Date]],"mmm-yy")</f>
        <v>Feb-19</v>
      </c>
      <c r="D424" t="s">
        <v>54</v>
      </c>
      <c r="E424" t="s">
        <v>55</v>
      </c>
      <c r="F424" t="s">
        <v>52</v>
      </c>
    </row>
    <row r="425" spans="1:6" x14ac:dyDescent="0.25">
      <c r="A425" t="s">
        <v>800</v>
      </c>
      <c r="B425" s="1">
        <v>43515</v>
      </c>
      <c r="C425" s="1" t="str">
        <f>TEXT(Table1[[#This Row],[Order Date]],"mmm-yy")</f>
        <v>Feb-19</v>
      </c>
      <c r="D425" t="s">
        <v>57</v>
      </c>
      <c r="E425" t="s">
        <v>58</v>
      </c>
      <c r="F425" t="s">
        <v>59</v>
      </c>
    </row>
    <row r="426" spans="1:6" x14ac:dyDescent="0.25">
      <c r="A426" t="s">
        <v>801</v>
      </c>
      <c r="B426" s="1">
        <v>43515</v>
      </c>
      <c r="C426" s="1" t="str">
        <f>TEXT(Table1[[#This Row],[Order Date]],"mmm-yy")</f>
        <v>Feb-19</v>
      </c>
      <c r="D426" t="s">
        <v>61</v>
      </c>
      <c r="E426" t="s">
        <v>62</v>
      </c>
      <c r="F426" t="s">
        <v>63</v>
      </c>
    </row>
    <row r="427" spans="1:6" x14ac:dyDescent="0.25">
      <c r="A427" t="s">
        <v>802</v>
      </c>
      <c r="B427" s="1">
        <v>43515</v>
      </c>
      <c r="C427" s="1" t="str">
        <f>TEXT(Table1[[#This Row],[Order Date]],"mmm-yy")</f>
        <v>Feb-19</v>
      </c>
      <c r="D427" t="s">
        <v>65</v>
      </c>
      <c r="E427" t="s">
        <v>66</v>
      </c>
      <c r="F427" t="s">
        <v>66</v>
      </c>
    </row>
    <row r="428" spans="1:6" x14ac:dyDescent="0.25">
      <c r="A428" t="s">
        <v>803</v>
      </c>
      <c r="B428" s="1">
        <v>43516</v>
      </c>
      <c r="C428" s="1" t="str">
        <f>TEXT(Table1[[#This Row],[Order Date]],"mmm-yy")</f>
        <v>Feb-19</v>
      </c>
      <c r="D428" t="s">
        <v>68</v>
      </c>
      <c r="E428" t="s">
        <v>69</v>
      </c>
      <c r="F428" t="s">
        <v>70</v>
      </c>
    </row>
    <row r="429" spans="1:6" x14ac:dyDescent="0.25">
      <c r="A429" t="s">
        <v>804</v>
      </c>
      <c r="B429" s="1">
        <v>43516</v>
      </c>
      <c r="C429" s="1" t="str">
        <f>TEXT(Table1[[#This Row],[Order Date]],"mmm-yy")</f>
        <v>Feb-19</v>
      </c>
      <c r="D429" t="s">
        <v>72</v>
      </c>
      <c r="E429" t="s">
        <v>73</v>
      </c>
      <c r="F429" t="s">
        <v>74</v>
      </c>
    </row>
    <row r="430" spans="1:6" x14ac:dyDescent="0.25">
      <c r="A430" t="s">
        <v>805</v>
      </c>
      <c r="B430" s="1">
        <v>43516</v>
      </c>
      <c r="C430" s="1" t="str">
        <f>TEXT(Table1[[#This Row],[Order Date]],"mmm-yy")</f>
        <v>Feb-19</v>
      </c>
      <c r="D430" t="s">
        <v>76</v>
      </c>
      <c r="E430" t="s">
        <v>7</v>
      </c>
      <c r="F430" t="s">
        <v>8</v>
      </c>
    </row>
    <row r="431" spans="1:6" x14ac:dyDescent="0.25">
      <c r="A431" t="s">
        <v>806</v>
      </c>
      <c r="B431" s="1">
        <v>43517</v>
      </c>
      <c r="C431" s="1" t="str">
        <f>TEXT(Table1[[#This Row],[Order Date]],"mmm-yy")</f>
        <v>Feb-19</v>
      </c>
      <c r="D431" t="s">
        <v>78</v>
      </c>
      <c r="E431" t="s">
        <v>11</v>
      </c>
      <c r="F431" t="s">
        <v>12</v>
      </c>
    </row>
    <row r="432" spans="1:6" x14ac:dyDescent="0.25">
      <c r="A432" t="s">
        <v>807</v>
      </c>
      <c r="B432" s="1">
        <v>43518</v>
      </c>
      <c r="C432" s="1" t="str">
        <f>TEXT(Table1[[#This Row],[Order Date]],"mmm-yy")</f>
        <v>Feb-19</v>
      </c>
      <c r="D432" t="s">
        <v>80</v>
      </c>
      <c r="E432" t="s">
        <v>15</v>
      </c>
      <c r="F432" t="s">
        <v>16</v>
      </c>
    </row>
    <row r="433" spans="1:6" x14ac:dyDescent="0.25">
      <c r="A433" t="s">
        <v>808</v>
      </c>
      <c r="B433" s="1">
        <v>43518</v>
      </c>
      <c r="C433" s="1" t="str">
        <f>TEXT(Table1[[#This Row],[Order Date]],"mmm-yy")</f>
        <v>Feb-19</v>
      </c>
      <c r="D433" t="s">
        <v>82</v>
      </c>
      <c r="E433" t="s">
        <v>19</v>
      </c>
      <c r="F433" t="s">
        <v>20</v>
      </c>
    </row>
    <row r="434" spans="1:6" x14ac:dyDescent="0.25">
      <c r="A434" t="s">
        <v>809</v>
      </c>
      <c r="B434" s="1">
        <v>43518</v>
      </c>
      <c r="C434" s="1" t="str">
        <f>TEXT(Table1[[#This Row],[Order Date]],"mmm-yy")</f>
        <v>Feb-19</v>
      </c>
      <c r="D434" t="s">
        <v>84</v>
      </c>
      <c r="E434" t="s">
        <v>23</v>
      </c>
      <c r="F434" t="s">
        <v>24</v>
      </c>
    </row>
    <row r="435" spans="1:6" x14ac:dyDescent="0.25">
      <c r="A435" t="s">
        <v>810</v>
      </c>
      <c r="B435" s="1">
        <v>43519</v>
      </c>
      <c r="C435" s="1" t="str">
        <f>TEXT(Table1[[#This Row],[Order Date]],"mmm-yy")</f>
        <v>Feb-19</v>
      </c>
      <c r="D435" t="s">
        <v>86</v>
      </c>
      <c r="E435" t="s">
        <v>27</v>
      </c>
      <c r="F435" t="s">
        <v>28</v>
      </c>
    </row>
    <row r="436" spans="1:6" x14ac:dyDescent="0.25">
      <c r="A436" t="s">
        <v>811</v>
      </c>
      <c r="B436" s="1">
        <v>43519</v>
      </c>
      <c r="C436" s="1" t="str">
        <f>TEXT(Table1[[#This Row],[Order Date]],"mmm-yy")</f>
        <v>Feb-19</v>
      </c>
      <c r="D436" t="s">
        <v>88</v>
      </c>
      <c r="E436" t="s">
        <v>31</v>
      </c>
      <c r="F436" t="s">
        <v>32</v>
      </c>
    </row>
    <row r="437" spans="1:6" x14ac:dyDescent="0.25">
      <c r="A437" t="s">
        <v>812</v>
      </c>
      <c r="B437" s="1">
        <v>43519</v>
      </c>
      <c r="C437" s="1" t="str">
        <f>TEXT(Table1[[#This Row],[Order Date]],"mmm-yy")</f>
        <v>Feb-19</v>
      </c>
      <c r="D437" t="s">
        <v>90</v>
      </c>
      <c r="E437" t="s">
        <v>11</v>
      </c>
      <c r="F437" t="s">
        <v>91</v>
      </c>
    </row>
    <row r="438" spans="1:6" x14ac:dyDescent="0.25">
      <c r="A438" t="s">
        <v>813</v>
      </c>
      <c r="B438" s="1">
        <v>43519</v>
      </c>
      <c r="C438" s="1" t="str">
        <f>TEXT(Table1[[#This Row],[Order Date]],"mmm-yy")</f>
        <v>Feb-19</v>
      </c>
      <c r="D438" t="s">
        <v>93</v>
      </c>
      <c r="E438" t="s">
        <v>15</v>
      </c>
      <c r="F438" t="s">
        <v>94</v>
      </c>
    </row>
    <row r="439" spans="1:6" x14ac:dyDescent="0.25">
      <c r="A439" t="s">
        <v>814</v>
      </c>
      <c r="B439" s="1">
        <v>43520</v>
      </c>
      <c r="C439" s="1" t="str">
        <f>TEXT(Table1[[#This Row],[Order Date]],"mmm-yy")</f>
        <v>Feb-19</v>
      </c>
      <c r="D439" t="s">
        <v>96</v>
      </c>
      <c r="E439" t="s">
        <v>43</v>
      </c>
      <c r="F439" t="s">
        <v>44</v>
      </c>
    </row>
    <row r="440" spans="1:6" x14ac:dyDescent="0.25">
      <c r="A440" t="s">
        <v>815</v>
      </c>
      <c r="B440" s="1">
        <v>43521</v>
      </c>
      <c r="C440" s="1" t="str">
        <f>TEXT(Table1[[#This Row],[Order Date]],"mmm-yy")</f>
        <v>Feb-19</v>
      </c>
      <c r="D440" t="s">
        <v>98</v>
      </c>
      <c r="E440" t="s">
        <v>47</v>
      </c>
      <c r="F440" t="s">
        <v>48</v>
      </c>
    </row>
    <row r="441" spans="1:6" x14ac:dyDescent="0.25">
      <c r="A441" t="s">
        <v>816</v>
      </c>
      <c r="B441" s="1">
        <v>43522</v>
      </c>
      <c r="C441" s="1" t="str">
        <f>TEXT(Table1[[#This Row],[Order Date]],"mmm-yy")</f>
        <v>Feb-19</v>
      </c>
      <c r="D441" t="s">
        <v>100</v>
      </c>
      <c r="E441" t="s">
        <v>51</v>
      </c>
      <c r="F441" t="s">
        <v>52</v>
      </c>
    </row>
    <row r="442" spans="1:6" x14ac:dyDescent="0.25">
      <c r="A442" t="s">
        <v>817</v>
      </c>
      <c r="B442" s="1">
        <v>43523</v>
      </c>
      <c r="C442" s="1" t="str">
        <f>TEXT(Table1[[#This Row],[Order Date]],"mmm-yy")</f>
        <v>Feb-19</v>
      </c>
      <c r="D442" t="s">
        <v>102</v>
      </c>
      <c r="E442" t="s">
        <v>55</v>
      </c>
      <c r="F442" t="s">
        <v>52</v>
      </c>
    </row>
    <row r="443" spans="1:6" x14ac:dyDescent="0.25">
      <c r="A443" t="s">
        <v>818</v>
      </c>
      <c r="B443" s="1">
        <v>43524</v>
      </c>
      <c r="C443" s="1" t="str">
        <f>TEXT(Table1[[#This Row],[Order Date]],"mmm-yy")</f>
        <v>Feb-19</v>
      </c>
      <c r="D443" t="s">
        <v>104</v>
      </c>
      <c r="E443" t="s">
        <v>58</v>
      </c>
      <c r="F443" t="s">
        <v>59</v>
      </c>
    </row>
    <row r="444" spans="1:6" x14ac:dyDescent="0.25">
      <c r="A444" t="s">
        <v>819</v>
      </c>
      <c r="B444" s="1">
        <v>43525</v>
      </c>
      <c r="C444" s="1" t="str">
        <f>TEXT(Table1[[#This Row],[Order Date]],"mmm-yy")</f>
        <v>Mar-19</v>
      </c>
      <c r="D444" t="s">
        <v>106</v>
      </c>
      <c r="E444" t="s">
        <v>62</v>
      </c>
      <c r="F444" t="s">
        <v>63</v>
      </c>
    </row>
    <row r="445" spans="1:6" x14ac:dyDescent="0.25">
      <c r="A445" t="s">
        <v>820</v>
      </c>
      <c r="B445" s="1">
        <v>43526</v>
      </c>
      <c r="C445" s="1" t="str">
        <f>TEXT(Table1[[#This Row],[Order Date]],"mmm-yy")</f>
        <v>Mar-19</v>
      </c>
      <c r="D445" t="s">
        <v>108</v>
      </c>
      <c r="E445" t="s">
        <v>66</v>
      </c>
      <c r="F445" t="s">
        <v>66</v>
      </c>
    </row>
    <row r="446" spans="1:6" x14ac:dyDescent="0.25">
      <c r="A446" t="s">
        <v>821</v>
      </c>
      <c r="B446" s="1">
        <v>43527</v>
      </c>
      <c r="C446" s="1" t="str">
        <f>TEXT(Table1[[#This Row],[Order Date]],"mmm-yy")</f>
        <v>Mar-19</v>
      </c>
      <c r="D446" t="s">
        <v>110</v>
      </c>
      <c r="E446" t="s">
        <v>69</v>
      </c>
      <c r="F446" t="s">
        <v>70</v>
      </c>
    </row>
    <row r="447" spans="1:6" x14ac:dyDescent="0.25">
      <c r="A447" t="s">
        <v>822</v>
      </c>
      <c r="B447" s="1">
        <v>43528</v>
      </c>
      <c r="C447" s="1" t="str">
        <f>TEXT(Table1[[#This Row],[Order Date]],"mmm-yy")</f>
        <v>Mar-19</v>
      </c>
      <c r="D447" t="s">
        <v>112</v>
      </c>
      <c r="E447" t="s">
        <v>11</v>
      </c>
      <c r="F447" t="s">
        <v>91</v>
      </c>
    </row>
    <row r="448" spans="1:6" x14ac:dyDescent="0.25">
      <c r="A448" t="s">
        <v>823</v>
      </c>
      <c r="B448" s="1">
        <v>43528</v>
      </c>
      <c r="C448" s="1" t="str">
        <f>TEXT(Table1[[#This Row],[Order Date]],"mmm-yy")</f>
        <v>Mar-19</v>
      </c>
      <c r="D448" t="s">
        <v>114</v>
      </c>
      <c r="E448" t="s">
        <v>15</v>
      </c>
      <c r="F448" t="s">
        <v>94</v>
      </c>
    </row>
    <row r="449" spans="1:6" x14ac:dyDescent="0.25">
      <c r="A449" t="s">
        <v>824</v>
      </c>
      <c r="B449" s="1">
        <v>43528</v>
      </c>
      <c r="C449" s="1" t="str">
        <f>TEXT(Table1[[#This Row],[Order Date]],"mmm-yy")</f>
        <v>Mar-19</v>
      </c>
      <c r="D449" t="s">
        <v>116</v>
      </c>
      <c r="E449" t="s">
        <v>11</v>
      </c>
      <c r="F449" t="s">
        <v>12</v>
      </c>
    </row>
    <row r="450" spans="1:6" x14ac:dyDescent="0.25">
      <c r="A450" t="s">
        <v>825</v>
      </c>
      <c r="B450" s="1">
        <v>43529</v>
      </c>
      <c r="C450" s="1" t="str">
        <f>TEXT(Table1[[#This Row],[Order Date]],"mmm-yy")</f>
        <v>Mar-19</v>
      </c>
      <c r="D450" t="s">
        <v>118</v>
      </c>
      <c r="E450" t="s">
        <v>15</v>
      </c>
      <c r="F450" t="s">
        <v>16</v>
      </c>
    </row>
    <row r="451" spans="1:6" x14ac:dyDescent="0.25">
      <c r="A451" t="s">
        <v>826</v>
      </c>
      <c r="B451" s="1">
        <v>43530</v>
      </c>
      <c r="C451" s="1" t="str">
        <f>TEXT(Table1[[#This Row],[Order Date]],"mmm-yy")</f>
        <v>Mar-19</v>
      </c>
      <c r="D451" t="s">
        <v>120</v>
      </c>
      <c r="E451" t="s">
        <v>19</v>
      </c>
      <c r="F451" t="s">
        <v>20</v>
      </c>
    </row>
    <row r="452" spans="1:6" x14ac:dyDescent="0.25">
      <c r="A452" t="s">
        <v>827</v>
      </c>
      <c r="B452" s="1">
        <v>43531</v>
      </c>
      <c r="C452" s="1" t="str">
        <f>TEXT(Table1[[#This Row],[Order Date]],"mmm-yy")</f>
        <v>Mar-19</v>
      </c>
      <c r="D452" t="s">
        <v>122</v>
      </c>
      <c r="E452" t="s">
        <v>23</v>
      </c>
      <c r="F452" t="s">
        <v>24</v>
      </c>
    </row>
    <row r="453" spans="1:6" x14ac:dyDescent="0.25">
      <c r="A453" t="s">
        <v>828</v>
      </c>
      <c r="B453" s="1">
        <v>43532</v>
      </c>
      <c r="C453" s="1" t="str">
        <f>TEXT(Table1[[#This Row],[Order Date]],"mmm-yy")</f>
        <v>Mar-19</v>
      </c>
      <c r="D453" t="s">
        <v>124</v>
      </c>
      <c r="E453" t="s">
        <v>27</v>
      </c>
      <c r="F453" t="s">
        <v>28</v>
      </c>
    </row>
    <row r="454" spans="1:6" x14ac:dyDescent="0.25">
      <c r="A454" t="s">
        <v>829</v>
      </c>
      <c r="B454" s="1">
        <v>43533</v>
      </c>
      <c r="C454" s="1" t="str">
        <f>TEXT(Table1[[#This Row],[Order Date]],"mmm-yy")</f>
        <v>Mar-19</v>
      </c>
      <c r="D454" t="s">
        <v>126</v>
      </c>
      <c r="E454" t="s">
        <v>31</v>
      </c>
      <c r="F454" t="s">
        <v>32</v>
      </c>
    </row>
    <row r="455" spans="1:6" x14ac:dyDescent="0.25">
      <c r="A455" t="s">
        <v>830</v>
      </c>
      <c r="B455" s="1">
        <v>43534</v>
      </c>
      <c r="C455" s="1" t="str">
        <f>TEXT(Table1[[#This Row],[Order Date]],"mmm-yy")</f>
        <v>Mar-19</v>
      </c>
      <c r="D455" t="s">
        <v>128</v>
      </c>
      <c r="E455" t="s">
        <v>11</v>
      </c>
      <c r="F455" t="s">
        <v>91</v>
      </c>
    </row>
    <row r="456" spans="1:6" x14ac:dyDescent="0.25">
      <c r="A456" t="s">
        <v>831</v>
      </c>
      <c r="B456" s="1">
        <v>43534</v>
      </c>
      <c r="C456" s="1" t="str">
        <f>TEXT(Table1[[#This Row],[Order Date]],"mmm-yy")</f>
        <v>Mar-19</v>
      </c>
      <c r="D456" t="s">
        <v>130</v>
      </c>
      <c r="E456" t="s">
        <v>15</v>
      </c>
      <c r="F456" t="s">
        <v>94</v>
      </c>
    </row>
    <row r="457" spans="1:6" x14ac:dyDescent="0.25">
      <c r="A457" t="s">
        <v>832</v>
      </c>
      <c r="B457" s="1">
        <v>43534</v>
      </c>
      <c r="C457" s="1" t="str">
        <f>TEXT(Table1[[#This Row],[Order Date]],"mmm-yy")</f>
        <v>Mar-19</v>
      </c>
      <c r="D457" t="s">
        <v>132</v>
      </c>
      <c r="E457" t="s">
        <v>43</v>
      </c>
      <c r="F457" t="s">
        <v>44</v>
      </c>
    </row>
    <row r="458" spans="1:6" x14ac:dyDescent="0.25">
      <c r="A458" t="s">
        <v>833</v>
      </c>
      <c r="B458" s="1">
        <v>43534</v>
      </c>
      <c r="C458" s="1" t="str">
        <f>TEXT(Table1[[#This Row],[Order Date]],"mmm-yy")</f>
        <v>Mar-19</v>
      </c>
      <c r="D458" t="s">
        <v>134</v>
      </c>
      <c r="E458" t="s">
        <v>47</v>
      </c>
      <c r="F458" t="s">
        <v>48</v>
      </c>
    </row>
    <row r="459" spans="1:6" x14ac:dyDescent="0.25">
      <c r="A459" t="s">
        <v>834</v>
      </c>
      <c r="B459" s="1">
        <v>43535</v>
      </c>
      <c r="C459" s="1" t="str">
        <f>TEXT(Table1[[#This Row],[Order Date]],"mmm-yy")</f>
        <v>Mar-19</v>
      </c>
      <c r="D459" t="s">
        <v>136</v>
      </c>
      <c r="E459" t="s">
        <v>51</v>
      </c>
      <c r="F459" t="s">
        <v>52</v>
      </c>
    </row>
    <row r="460" spans="1:6" x14ac:dyDescent="0.25">
      <c r="A460" t="s">
        <v>835</v>
      </c>
      <c r="B460" s="1">
        <v>43536</v>
      </c>
      <c r="C460" s="1" t="str">
        <f>TEXT(Table1[[#This Row],[Order Date]],"mmm-yy")</f>
        <v>Mar-19</v>
      </c>
      <c r="D460" t="s">
        <v>138</v>
      </c>
      <c r="E460" t="s">
        <v>55</v>
      </c>
      <c r="F460" t="s">
        <v>52</v>
      </c>
    </row>
    <row r="461" spans="1:6" x14ac:dyDescent="0.25">
      <c r="A461" t="s">
        <v>836</v>
      </c>
      <c r="B461" s="1">
        <v>43537</v>
      </c>
      <c r="C461" s="1" t="str">
        <f>TEXT(Table1[[#This Row],[Order Date]],"mmm-yy")</f>
        <v>Mar-19</v>
      </c>
      <c r="D461" t="s">
        <v>140</v>
      </c>
      <c r="E461" t="s">
        <v>11</v>
      </c>
      <c r="F461" t="s">
        <v>91</v>
      </c>
    </row>
    <row r="462" spans="1:6" x14ac:dyDescent="0.25">
      <c r="A462" t="s">
        <v>837</v>
      </c>
      <c r="B462" s="1">
        <v>43538</v>
      </c>
      <c r="C462" s="1" t="str">
        <f>TEXT(Table1[[#This Row],[Order Date]],"mmm-yy")</f>
        <v>Mar-19</v>
      </c>
      <c r="D462" t="s">
        <v>142</v>
      </c>
      <c r="E462" t="s">
        <v>15</v>
      </c>
      <c r="F462" t="s">
        <v>94</v>
      </c>
    </row>
    <row r="463" spans="1:6" x14ac:dyDescent="0.25">
      <c r="A463" t="s">
        <v>838</v>
      </c>
      <c r="B463" s="1">
        <v>43539</v>
      </c>
      <c r="C463" s="1" t="str">
        <f>TEXT(Table1[[#This Row],[Order Date]],"mmm-yy")</f>
        <v>Mar-19</v>
      </c>
      <c r="D463" t="s">
        <v>144</v>
      </c>
      <c r="E463" t="s">
        <v>66</v>
      </c>
      <c r="F463" t="s">
        <v>66</v>
      </c>
    </row>
    <row r="464" spans="1:6" x14ac:dyDescent="0.25">
      <c r="A464" t="s">
        <v>839</v>
      </c>
      <c r="B464" s="1">
        <v>43539</v>
      </c>
      <c r="C464" s="1" t="str">
        <f>TEXT(Table1[[#This Row],[Order Date]],"mmm-yy")</f>
        <v>Mar-19</v>
      </c>
      <c r="D464" t="s">
        <v>146</v>
      </c>
      <c r="E464" t="s">
        <v>69</v>
      </c>
      <c r="F464" t="s">
        <v>70</v>
      </c>
    </row>
    <row r="465" spans="1:6" x14ac:dyDescent="0.25">
      <c r="A465" t="s">
        <v>840</v>
      </c>
      <c r="B465" s="1">
        <v>43540</v>
      </c>
      <c r="C465" s="1" t="str">
        <f>TEXT(Table1[[#This Row],[Order Date]],"mmm-yy")</f>
        <v>Mar-19</v>
      </c>
      <c r="D465" t="s">
        <v>841</v>
      </c>
      <c r="E465" t="s">
        <v>11</v>
      </c>
      <c r="F465" t="s">
        <v>91</v>
      </c>
    </row>
    <row r="466" spans="1:6" x14ac:dyDescent="0.25">
      <c r="A466" t="s">
        <v>842</v>
      </c>
      <c r="B466" s="1">
        <v>43540</v>
      </c>
      <c r="C466" s="1" t="str">
        <f>TEXT(Table1[[#This Row],[Order Date]],"mmm-yy")</f>
        <v>Mar-19</v>
      </c>
      <c r="D466" t="s">
        <v>150</v>
      </c>
      <c r="E466" t="s">
        <v>15</v>
      </c>
      <c r="F466" t="s">
        <v>94</v>
      </c>
    </row>
    <row r="467" spans="1:6" x14ac:dyDescent="0.25">
      <c r="A467" t="s">
        <v>843</v>
      </c>
      <c r="B467" s="1">
        <v>43540</v>
      </c>
      <c r="C467" s="1" t="str">
        <f>TEXT(Table1[[#This Row],[Order Date]],"mmm-yy")</f>
        <v>Mar-19</v>
      </c>
      <c r="D467" t="s">
        <v>152</v>
      </c>
      <c r="E467" t="s">
        <v>11</v>
      </c>
      <c r="F467" t="s">
        <v>12</v>
      </c>
    </row>
    <row r="468" spans="1:6" x14ac:dyDescent="0.25">
      <c r="A468" t="s">
        <v>844</v>
      </c>
      <c r="B468" s="1">
        <v>43540</v>
      </c>
      <c r="C468" s="1" t="str">
        <f>TEXT(Table1[[#This Row],[Order Date]],"mmm-yy")</f>
        <v>Mar-19</v>
      </c>
      <c r="D468" t="s">
        <v>154</v>
      </c>
      <c r="E468" t="s">
        <v>15</v>
      </c>
      <c r="F468" t="s">
        <v>16</v>
      </c>
    </row>
    <row r="469" spans="1:6" x14ac:dyDescent="0.25">
      <c r="A469" t="s">
        <v>845</v>
      </c>
      <c r="B469" s="1">
        <v>43540</v>
      </c>
      <c r="C469" s="1" t="str">
        <f>TEXT(Table1[[#This Row],[Order Date]],"mmm-yy")</f>
        <v>Mar-19</v>
      </c>
      <c r="D469" t="s">
        <v>156</v>
      </c>
      <c r="E469" t="s">
        <v>19</v>
      </c>
      <c r="F469" t="s">
        <v>20</v>
      </c>
    </row>
    <row r="470" spans="1:6" x14ac:dyDescent="0.25">
      <c r="A470" t="s">
        <v>846</v>
      </c>
      <c r="B470" s="1">
        <v>43541</v>
      </c>
      <c r="C470" s="1" t="str">
        <f>TEXT(Table1[[#This Row],[Order Date]],"mmm-yy")</f>
        <v>Mar-19</v>
      </c>
      <c r="D470" t="s">
        <v>158</v>
      </c>
      <c r="E470" t="s">
        <v>23</v>
      </c>
      <c r="F470" t="s">
        <v>24</v>
      </c>
    </row>
    <row r="471" spans="1:6" x14ac:dyDescent="0.25">
      <c r="A471" t="s">
        <v>847</v>
      </c>
      <c r="B471" s="1">
        <v>43542</v>
      </c>
      <c r="C471" s="1" t="str">
        <f>TEXT(Table1[[#This Row],[Order Date]],"mmm-yy")</f>
        <v>Mar-19</v>
      </c>
      <c r="D471" t="s">
        <v>160</v>
      </c>
      <c r="E471" t="s">
        <v>27</v>
      </c>
      <c r="F471" t="s">
        <v>28</v>
      </c>
    </row>
    <row r="472" spans="1:6" x14ac:dyDescent="0.25">
      <c r="A472" t="s">
        <v>848</v>
      </c>
      <c r="B472" s="1">
        <v>43543</v>
      </c>
      <c r="C472" s="1" t="str">
        <f>TEXT(Table1[[#This Row],[Order Date]],"mmm-yy")</f>
        <v>Mar-19</v>
      </c>
      <c r="D472" t="s">
        <v>162</v>
      </c>
      <c r="E472" t="s">
        <v>31</v>
      </c>
      <c r="F472" t="s">
        <v>32</v>
      </c>
    </row>
    <row r="473" spans="1:6" x14ac:dyDescent="0.25">
      <c r="A473" t="s">
        <v>849</v>
      </c>
      <c r="B473" s="1">
        <v>43544</v>
      </c>
      <c r="C473" s="1" t="str">
        <f>TEXT(Table1[[#This Row],[Order Date]],"mmm-yy")</f>
        <v>Mar-19</v>
      </c>
      <c r="D473" t="s">
        <v>164</v>
      </c>
      <c r="E473" t="s">
        <v>11</v>
      </c>
      <c r="F473" t="s">
        <v>91</v>
      </c>
    </row>
    <row r="474" spans="1:6" x14ac:dyDescent="0.25">
      <c r="A474" t="s">
        <v>850</v>
      </c>
      <c r="B474" s="1">
        <v>43545</v>
      </c>
      <c r="C474" s="1" t="str">
        <f>TEXT(Table1[[#This Row],[Order Date]],"mmm-yy")</f>
        <v>Mar-19</v>
      </c>
      <c r="D474" t="s">
        <v>166</v>
      </c>
      <c r="E474" t="s">
        <v>15</v>
      </c>
      <c r="F474" t="s">
        <v>94</v>
      </c>
    </row>
    <row r="475" spans="1:6" x14ac:dyDescent="0.25">
      <c r="A475" t="s">
        <v>851</v>
      </c>
      <c r="B475" s="1">
        <v>43545</v>
      </c>
      <c r="C475" s="1" t="str">
        <f>TEXT(Table1[[#This Row],[Order Date]],"mmm-yy")</f>
        <v>Mar-19</v>
      </c>
      <c r="D475" t="s">
        <v>6</v>
      </c>
      <c r="E475" t="s">
        <v>7</v>
      </c>
      <c r="F475" t="s">
        <v>8</v>
      </c>
    </row>
    <row r="476" spans="1:6" x14ac:dyDescent="0.25">
      <c r="A476" t="s">
        <v>852</v>
      </c>
      <c r="B476" s="1">
        <v>43545</v>
      </c>
      <c r="C476" s="1" t="str">
        <f>TEXT(Table1[[#This Row],[Order Date]],"mmm-yy")</f>
        <v>Mar-19</v>
      </c>
      <c r="D476" t="s">
        <v>10</v>
      </c>
      <c r="E476" t="s">
        <v>11</v>
      </c>
      <c r="F476" t="s">
        <v>12</v>
      </c>
    </row>
    <row r="477" spans="1:6" x14ac:dyDescent="0.25">
      <c r="A477" t="s">
        <v>853</v>
      </c>
      <c r="B477" s="1">
        <v>43545</v>
      </c>
      <c r="C477" s="1" t="str">
        <f>TEXT(Table1[[#This Row],[Order Date]],"mmm-yy")</f>
        <v>Mar-19</v>
      </c>
      <c r="D477" t="s">
        <v>14</v>
      </c>
      <c r="E477" t="s">
        <v>15</v>
      </c>
      <c r="F477" t="s">
        <v>16</v>
      </c>
    </row>
    <row r="478" spans="1:6" x14ac:dyDescent="0.25">
      <c r="A478" t="s">
        <v>854</v>
      </c>
      <c r="B478" s="1">
        <v>43546</v>
      </c>
      <c r="C478" s="1" t="str">
        <f>TEXT(Table1[[#This Row],[Order Date]],"mmm-yy")</f>
        <v>Mar-19</v>
      </c>
      <c r="D478" t="s">
        <v>18</v>
      </c>
      <c r="E478" t="s">
        <v>19</v>
      </c>
      <c r="F478" t="s">
        <v>20</v>
      </c>
    </row>
    <row r="479" spans="1:6" x14ac:dyDescent="0.25">
      <c r="A479" t="s">
        <v>855</v>
      </c>
      <c r="B479" s="1">
        <v>43546</v>
      </c>
      <c r="C479" s="1" t="str">
        <f>TEXT(Table1[[#This Row],[Order Date]],"mmm-yy")</f>
        <v>Mar-19</v>
      </c>
      <c r="D479" t="s">
        <v>22</v>
      </c>
      <c r="E479" t="s">
        <v>23</v>
      </c>
      <c r="F479" t="s">
        <v>24</v>
      </c>
    </row>
    <row r="480" spans="1:6" x14ac:dyDescent="0.25">
      <c r="A480" t="s">
        <v>856</v>
      </c>
      <c r="B480" s="1">
        <v>43546</v>
      </c>
      <c r="C480" s="1" t="str">
        <f>TEXT(Table1[[#This Row],[Order Date]],"mmm-yy")</f>
        <v>Mar-19</v>
      </c>
      <c r="D480" t="s">
        <v>26</v>
      </c>
      <c r="E480" t="s">
        <v>27</v>
      </c>
      <c r="F480" t="s">
        <v>28</v>
      </c>
    </row>
    <row r="481" spans="1:6" x14ac:dyDescent="0.25">
      <c r="A481" t="s">
        <v>857</v>
      </c>
      <c r="B481" s="1">
        <v>43546</v>
      </c>
      <c r="C481" s="1" t="str">
        <f>TEXT(Table1[[#This Row],[Order Date]],"mmm-yy")</f>
        <v>Mar-19</v>
      </c>
      <c r="D481" t="s">
        <v>30</v>
      </c>
      <c r="E481" t="s">
        <v>31</v>
      </c>
      <c r="F481" t="s">
        <v>32</v>
      </c>
    </row>
    <row r="482" spans="1:6" x14ac:dyDescent="0.25">
      <c r="A482" t="s">
        <v>858</v>
      </c>
      <c r="B482" s="1">
        <v>43546</v>
      </c>
      <c r="C482" s="1" t="str">
        <f>TEXT(Table1[[#This Row],[Order Date]],"mmm-yy")</f>
        <v>Mar-19</v>
      </c>
      <c r="D482" t="s">
        <v>34</v>
      </c>
      <c r="E482" t="s">
        <v>35</v>
      </c>
      <c r="F482" t="s">
        <v>36</v>
      </c>
    </row>
    <row r="483" spans="1:6" x14ac:dyDescent="0.25">
      <c r="A483" t="s">
        <v>859</v>
      </c>
      <c r="B483" s="1">
        <v>43547</v>
      </c>
      <c r="C483" s="1" t="str">
        <f>TEXT(Table1[[#This Row],[Order Date]],"mmm-yy")</f>
        <v>Mar-19</v>
      </c>
      <c r="D483" t="s">
        <v>38</v>
      </c>
      <c r="E483" t="s">
        <v>39</v>
      </c>
      <c r="F483" t="s">
        <v>40</v>
      </c>
    </row>
    <row r="484" spans="1:6" x14ac:dyDescent="0.25">
      <c r="A484" t="s">
        <v>860</v>
      </c>
      <c r="B484" s="1">
        <v>43548</v>
      </c>
      <c r="C484" s="1" t="str">
        <f>TEXT(Table1[[#This Row],[Order Date]],"mmm-yy")</f>
        <v>Mar-19</v>
      </c>
      <c r="D484" t="s">
        <v>42</v>
      </c>
      <c r="E484" t="s">
        <v>43</v>
      </c>
      <c r="F484" t="s">
        <v>44</v>
      </c>
    </row>
    <row r="485" spans="1:6" x14ac:dyDescent="0.25">
      <c r="A485" t="s">
        <v>861</v>
      </c>
      <c r="B485" s="1">
        <v>43549</v>
      </c>
      <c r="C485" s="1" t="str">
        <f>TEXT(Table1[[#This Row],[Order Date]],"mmm-yy")</f>
        <v>Mar-19</v>
      </c>
      <c r="D485" t="s">
        <v>46</v>
      </c>
      <c r="E485" t="s">
        <v>47</v>
      </c>
      <c r="F485" t="s">
        <v>48</v>
      </c>
    </row>
    <row r="486" spans="1:6" x14ac:dyDescent="0.25">
      <c r="A486" t="s">
        <v>862</v>
      </c>
      <c r="B486" s="1">
        <v>43550</v>
      </c>
      <c r="C486" s="1" t="str">
        <f>TEXT(Table1[[#This Row],[Order Date]],"mmm-yy")</f>
        <v>Mar-19</v>
      </c>
      <c r="D486" t="s">
        <v>50</v>
      </c>
      <c r="E486" t="s">
        <v>51</v>
      </c>
      <c r="F486" t="s">
        <v>52</v>
      </c>
    </row>
    <row r="487" spans="1:6" x14ac:dyDescent="0.25">
      <c r="A487" t="s">
        <v>863</v>
      </c>
      <c r="B487" s="1">
        <v>43550</v>
      </c>
      <c r="C487" s="1" t="str">
        <f>TEXT(Table1[[#This Row],[Order Date]],"mmm-yy")</f>
        <v>Mar-19</v>
      </c>
      <c r="D487" t="s">
        <v>54</v>
      </c>
      <c r="E487" t="s">
        <v>55</v>
      </c>
      <c r="F487" t="s">
        <v>52</v>
      </c>
    </row>
    <row r="488" spans="1:6" x14ac:dyDescent="0.25">
      <c r="A488" t="s">
        <v>864</v>
      </c>
      <c r="B488" s="1">
        <v>43550</v>
      </c>
      <c r="C488" s="1" t="str">
        <f>TEXT(Table1[[#This Row],[Order Date]],"mmm-yy")</f>
        <v>Mar-19</v>
      </c>
      <c r="D488" t="s">
        <v>57</v>
      </c>
      <c r="E488" t="s">
        <v>58</v>
      </c>
      <c r="F488" t="s">
        <v>59</v>
      </c>
    </row>
    <row r="489" spans="1:6" x14ac:dyDescent="0.25">
      <c r="A489" t="s">
        <v>865</v>
      </c>
      <c r="B489" s="1">
        <v>43550</v>
      </c>
      <c r="C489" s="1" t="str">
        <f>TEXT(Table1[[#This Row],[Order Date]],"mmm-yy")</f>
        <v>Mar-19</v>
      </c>
      <c r="D489" t="s">
        <v>61</v>
      </c>
      <c r="E489" t="s">
        <v>62</v>
      </c>
      <c r="F489" t="s">
        <v>63</v>
      </c>
    </row>
    <row r="490" spans="1:6" x14ac:dyDescent="0.25">
      <c r="A490" t="s">
        <v>866</v>
      </c>
      <c r="B490" s="1">
        <v>43550</v>
      </c>
      <c r="C490" s="1" t="str">
        <f>TEXT(Table1[[#This Row],[Order Date]],"mmm-yy")</f>
        <v>Mar-19</v>
      </c>
      <c r="D490" t="s">
        <v>65</v>
      </c>
      <c r="E490" t="s">
        <v>66</v>
      </c>
      <c r="F490" t="s">
        <v>66</v>
      </c>
    </row>
    <row r="491" spans="1:6" x14ac:dyDescent="0.25">
      <c r="A491" t="s">
        <v>867</v>
      </c>
      <c r="B491" s="1">
        <v>43551</v>
      </c>
      <c r="C491" s="1" t="str">
        <f>TEXT(Table1[[#This Row],[Order Date]],"mmm-yy")</f>
        <v>Mar-19</v>
      </c>
      <c r="D491" t="s">
        <v>68</v>
      </c>
      <c r="E491" t="s">
        <v>69</v>
      </c>
      <c r="F491" t="s">
        <v>70</v>
      </c>
    </row>
    <row r="492" spans="1:6" x14ac:dyDescent="0.25">
      <c r="A492" t="s">
        <v>868</v>
      </c>
      <c r="B492" s="1">
        <v>43551</v>
      </c>
      <c r="C492" s="1" t="str">
        <f>TEXT(Table1[[#This Row],[Order Date]],"mmm-yy")</f>
        <v>Mar-19</v>
      </c>
      <c r="D492" t="s">
        <v>72</v>
      </c>
      <c r="E492" t="s">
        <v>73</v>
      </c>
      <c r="F492" t="s">
        <v>74</v>
      </c>
    </row>
    <row r="493" spans="1:6" x14ac:dyDescent="0.25">
      <c r="A493" t="s">
        <v>869</v>
      </c>
      <c r="B493" s="1">
        <v>43551</v>
      </c>
      <c r="C493" s="1" t="str">
        <f>TEXT(Table1[[#This Row],[Order Date]],"mmm-yy")</f>
        <v>Mar-19</v>
      </c>
      <c r="D493" t="s">
        <v>76</v>
      </c>
      <c r="E493" t="s">
        <v>7</v>
      </c>
      <c r="F493" t="s">
        <v>8</v>
      </c>
    </row>
    <row r="494" spans="1:6" x14ac:dyDescent="0.25">
      <c r="A494" t="s">
        <v>870</v>
      </c>
      <c r="B494" s="1">
        <v>43551</v>
      </c>
      <c r="C494" s="1" t="str">
        <f>TEXT(Table1[[#This Row],[Order Date]],"mmm-yy")</f>
        <v>Mar-19</v>
      </c>
      <c r="D494" t="s">
        <v>78</v>
      </c>
      <c r="E494" t="s">
        <v>11</v>
      </c>
      <c r="F494" t="s">
        <v>12</v>
      </c>
    </row>
    <row r="495" spans="1:6" x14ac:dyDescent="0.25">
      <c r="A495" t="s">
        <v>871</v>
      </c>
      <c r="B495" s="1">
        <v>43551</v>
      </c>
      <c r="C495" s="1" t="str">
        <f>TEXT(Table1[[#This Row],[Order Date]],"mmm-yy")</f>
        <v>Mar-19</v>
      </c>
      <c r="D495" t="s">
        <v>80</v>
      </c>
      <c r="E495" t="s">
        <v>15</v>
      </c>
      <c r="F495" t="s">
        <v>16</v>
      </c>
    </row>
    <row r="496" spans="1:6" x14ac:dyDescent="0.25">
      <c r="A496" t="s">
        <v>872</v>
      </c>
      <c r="B496" s="1">
        <v>43552</v>
      </c>
      <c r="C496" s="1" t="str">
        <f>TEXT(Table1[[#This Row],[Order Date]],"mmm-yy")</f>
        <v>Mar-19</v>
      </c>
      <c r="D496" t="s">
        <v>82</v>
      </c>
      <c r="E496" t="s">
        <v>19</v>
      </c>
      <c r="F496" t="s">
        <v>20</v>
      </c>
    </row>
    <row r="497" spans="1:6" x14ac:dyDescent="0.25">
      <c r="A497" t="s">
        <v>873</v>
      </c>
      <c r="B497" s="1">
        <v>43552</v>
      </c>
      <c r="C497" s="1" t="str">
        <f>TEXT(Table1[[#This Row],[Order Date]],"mmm-yy")</f>
        <v>Mar-19</v>
      </c>
      <c r="D497" t="s">
        <v>84</v>
      </c>
      <c r="E497" t="s">
        <v>23</v>
      </c>
      <c r="F497" t="s">
        <v>24</v>
      </c>
    </row>
    <row r="498" spans="1:6" x14ac:dyDescent="0.25">
      <c r="A498" t="s">
        <v>874</v>
      </c>
      <c r="B498" s="1">
        <v>43552</v>
      </c>
      <c r="C498" s="1" t="str">
        <f>TEXT(Table1[[#This Row],[Order Date]],"mmm-yy")</f>
        <v>Mar-19</v>
      </c>
      <c r="D498" t="s">
        <v>86</v>
      </c>
      <c r="E498" t="s">
        <v>27</v>
      </c>
      <c r="F498" t="s">
        <v>28</v>
      </c>
    </row>
    <row r="499" spans="1:6" x14ac:dyDescent="0.25">
      <c r="A499" t="s">
        <v>875</v>
      </c>
      <c r="B499" s="1">
        <v>43553</v>
      </c>
      <c r="C499" s="1" t="str">
        <f>TEXT(Table1[[#This Row],[Order Date]],"mmm-yy")</f>
        <v>Mar-19</v>
      </c>
      <c r="D499" t="s">
        <v>88</v>
      </c>
      <c r="E499" t="s">
        <v>31</v>
      </c>
      <c r="F499" t="s">
        <v>32</v>
      </c>
    </row>
    <row r="500" spans="1:6" x14ac:dyDescent="0.25">
      <c r="A500" t="s">
        <v>876</v>
      </c>
      <c r="B500" s="1">
        <v>43554</v>
      </c>
      <c r="C500" s="1" t="str">
        <f>TEXT(Table1[[#This Row],[Order Date]],"mmm-yy")</f>
        <v>Mar-19</v>
      </c>
      <c r="D500" t="s">
        <v>90</v>
      </c>
      <c r="E500" t="s">
        <v>11</v>
      </c>
      <c r="F500" t="s">
        <v>91</v>
      </c>
    </row>
    <row r="501" spans="1:6" x14ac:dyDescent="0.25">
      <c r="A501" t="s">
        <v>877</v>
      </c>
      <c r="B501" s="1">
        <v>43555</v>
      </c>
      <c r="C501" s="1" t="str">
        <f>TEXT(Table1[[#This Row],[Order Date]],"mmm-yy")</f>
        <v>Mar-19</v>
      </c>
      <c r="D501" t="s">
        <v>93</v>
      </c>
      <c r="E501" t="s">
        <v>15</v>
      </c>
      <c r="F501" t="s">
        <v>94</v>
      </c>
    </row>
  </sheetData>
  <conditionalFormatting sqref="A1:A1048576">
    <cfRule type="duplicateValues" dxfId="6" priority="3"/>
  </conditionalFormatting>
  <conditionalFormatting sqref="A2:A501">
    <cfRule type="duplicateValues" dxfId="5" priority="1"/>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5753E-C039-4C3A-A613-CAC7D942554B}">
  <sheetPr codeName="Sheet2"/>
  <dimension ref="A1:F1501"/>
  <sheetViews>
    <sheetView workbookViewId="0"/>
  </sheetViews>
  <sheetFormatPr defaultRowHeight="15" x14ac:dyDescent="0.25"/>
  <cols>
    <col min="1" max="1" width="10.5703125" customWidth="1"/>
    <col min="2" max="2" width="10.28515625" customWidth="1"/>
    <col min="4" max="4" width="10.85546875" customWidth="1"/>
    <col min="5" max="5" width="11" customWidth="1"/>
    <col min="6" max="6" width="16.28515625" bestFit="1" customWidth="1"/>
  </cols>
  <sheetData>
    <row r="1" spans="1:6" x14ac:dyDescent="0.25">
      <c r="A1" t="s">
        <v>0</v>
      </c>
      <c r="B1" t="s">
        <v>878</v>
      </c>
      <c r="C1" t="s">
        <v>879</v>
      </c>
      <c r="D1" t="s">
        <v>880</v>
      </c>
      <c r="E1" t="s">
        <v>881</v>
      </c>
      <c r="F1" t="s">
        <v>882</v>
      </c>
    </row>
    <row r="2" spans="1:6" x14ac:dyDescent="0.25">
      <c r="A2" t="s">
        <v>5</v>
      </c>
      <c r="B2">
        <v>1275</v>
      </c>
      <c r="C2">
        <v>-1148</v>
      </c>
      <c r="D2">
        <v>7</v>
      </c>
      <c r="E2" t="s">
        <v>883</v>
      </c>
      <c r="F2" t="s">
        <v>884</v>
      </c>
    </row>
    <row r="3" spans="1:6" x14ac:dyDescent="0.25">
      <c r="A3" t="s">
        <v>5</v>
      </c>
      <c r="B3">
        <v>66</v>
      </c>
      <c r="C3">
        <v>-12</v>
      </c>
      <c r="D3">
        <v>5</v>
      </c>
      <c r="E3" t="s">
        <v>885</v>
      </c>
      <c r="F3" t="s">
        <v>886</v>
      </c>
    </row>
    <row r="4" spans="1:6" x14ac:dyDescent="0.25">
      <c r="A4" t="s">
        <v>5</v>
      </c>
      <c r="B4">
        <v>8</v>
      </c>
      <c r="C4">
        <v>-2</v>
      </c>
      <c r="D4">
        <v>3</v>
      </c>
      <c r="E4" t="s">
        <v>885</v>
      </c>
      <c r="F4" t="s">
        <v>887</v>
      </c>
    </row>
    <row r="5" spans="1:6" x14ac:dyDescent="0.25">
      <c r="A5" t="s">
        <v>5</v>
      </c>
      <c r="B5">
        <v>80</v>
      </c>
      <c r="C5">
        <v>-56</v>
      </c>
      <c r="D5">
        <v>4</v>
      </c>
      <c r="E5" t="s">
        <v>888</v>
      </c>
      <c r="F5" t="s">
        <v>889</v>
      </c>
    </row>
    <row r="6" spans="1:6" x14ac:dyDescent="0.25">
      <c r="A6" t="s">
        <v>9</v>
      </c>
      <c r="B6">
        <v>168</v>
      </c>
      <c r="C6">
        <v>-111</v>
      </c>
      <c r="D6">
        <v>2</v>
      </c>
      <c r="E6" t="s">
        <v>888</v>
      </c>
      <c r="F6" t="s">
        <v>890</v>
      </c>
    </row>
    <row r="7" spans="1:6" x14ac:dyDescent="0.25">
      <c r="A7" t="s">
        <v>9</v>
      </c>
      <c r="B7">
        <v>424</v>
      </c>
      <c r="C7">
        <v>-272</v>
      </c>
      <c r="D7">
        <v>5</v>
      </c>
      <c r="E7" t="s">
        <v>888</v>
      </c>
      <c r="F7" t="s">
        <v>890</v>
      </c>
    </row>
    <row r="8" spans="1:6" x14ac:dyDescent="0.25">
      <c r="A8" t="s">
        <v>9</v>
      </c>
      <c r="B8">
        <v>2617</v>
      </c>
      <c r="C8">
        <v>1151</v>
      </c>
      <c r="D8">
        <v>4</v>
      </c>
      <c r="E8" t="s">
        <v>888</v>
      </c>
      <c r="F8" t="s">
        <v>890</v>
      </c>
    </row>
    <row r="9" spans="1:6" x14ac:dyDescent="0.25">
      <c r="A9" t="s">
        <v>9</v>
      </c>
      <c r="B9">
        <v>561</v>
      </c>
      <c r="C9">
        <v>212</v>
      </c>
      <c r="D9">
        <v>3</v>
      </c>
      <c r="E9" t="s">
        <v>885</v>
      </c>
      <c r="F9" t="s">
        <v>891</v>
      </c>
    </row>
    <row r="10" spans="1:6" x14ac:dyDescent="0.25">
      <c r="A10" t="s">
        <v>9</v>
      </c>
      <c r="B10">
        <v>119</v>
      </c>
      <c r="C10">
        <v>-5</v>
      </c>
      <c r="D10">
        <v>8</v>
      </c>
      <c r="E10" t="s">
        <v>885</v>
      </c>
      <c r="F10" t="s">
        <v>891</v>
      </c>
    </row>
    <row r="11" spans="1:6" x14ac:dyDescent="0.25">
      <c r="A11" t="s">
        <v>13</v>
      </c>
      <c r="B11">
        <v>1355</v>
      </c>
      <c r="C11">
        <v>-60</v>
      </c>
      <c r="D11">
        <v>5</v>
      </c>
      <c r="E11" t="s">
        <v>885</v>
      </c>
      <c r="F11" t="s">
        <v>892</v>
      </c>
    </row>
    <row r="12" spans="1:6" x14ac:dyDescent="0.25">
      <c r="A12" t="s">
        <v>13</v>
      </c>
      <c r="B12">
        <v>24</v>
      </c>
      <c r="C12">
        <v>-30</v>
      </c>
      <c r="D12">
        <v>1</v>
      </c>
      <c r="E12" t="s">
        <v>883</v>
      </c>
      <c r="F12" t="s">
        <v>893</v>
      </c>
    </row>
    <row r="13" spans="1:6" x14ac:dyDescent="0.25">
      <c r="A13" t="s">
        <v>13</v>
      </c>
      <c r="B13">
        <v>193</v>
      </c>
      <c r="C13">
        <v>-166</v>
      </c>
      <c r="D13">
        <v>3</v>
      </c>
      <c r="E13" t="s">
        <v>885</v>
      </c>
      <c r="F13" t="s">
        <v>891</v>
      </c>
    </row>
    <row r="14" spans="1:6" x14ac:dyDescent="0.25">
      <c r="A14" t="s">
        <v>13</v>
      </c>
      <c r="B14">
        <v>180</v>
      </c>
      <c r="C14">
        <v>5</v>
      </c>
      <c r="D14">
        <v>3</v>
      </c>
      <c r="E14" t="s">
        <v>885</v>
      </c>
      <c r="F14" t="s">
        <v>892</v>
      </c>
    </row>
    <row r="15" spans="1:6" x14ac:dyDescent="0.25">
      <c r="A15" t="s">
        <v>13</v>
      </c>
      <c r="B15">
        <v>116</v>
      </c>
      <c r="C15">
        <v>16</v>
      </c>
      <c r="D15">
        <v>4</v>
      </c>
      <c r="E15" t="s">
        <v>885</v>
      </c>
      <c r="F15" t="s">
        <v>886</v>
      </c>
    </row>
    <row r="16" spans="1:6" x14ac:dyDescent="0.25">
      <c r="A16" t="s">
        <v>13</v>
      </c>
      <c r="B16">
        <v>107</v>
      </c>
      <c r="C16">
        <v>36</v>
      </c>
      <c r="D16">
        <v>6</v>
      </c>
      <c r="E16" t="s">
        <v>885</v>
      </c>
      <c r="F16" t="s">
        <v>886</v>
      </c>
    </row>
    <row r="17" spans="1:6" x14ac:dyDescent="0.25">
      <c r="A17" t="s">
        <v>13</v>
      </c>
      <c r="B17">
        <v>12</v>
      </c>
      <c r="C17">
        <v>1</v>
      </c>
      <c r="D17">
        <v>2</v>
      </c>
      <c r="E17" t="s">
        <v>885</v>
      </c>
      <c r="F17" t="s">
        <v>887</v>
      </c>
    </row>
    <row r="18" spans="1:6" x14ac:dyDescent="0.25">
      <c r="A18" t="s">
        <v>13</v>
      </c>
      <c r="B18">
        <v>38</v>
      </c>
      <c r="C18">
        <v>18</v>
      </c>
      <c r="D18">
        <v>1</v>
      </c>
      <c r="E18" t="s">
        <v>885</v>
      </c>
      <c r="F18" t="s">
        <v>894</v>
      </c>
    </row>
    <row r="19" spans="1:6" x14ac:dyDescent="0.25">
      <c r="A19" t="s">
        <v>17</v>
      </c>
      <c r="B19">
        <v>65</v>
      </c>
      <c r="C19">
        <v>17</v>
      </c>
      <c r="D19">
        <v>2</v>
      </c>
      <c r="E19" t="s">
        <v>885</v>
      </c>
      <c r="F19" t="s">
        <v>895</v>
      </c>
    </row>
    <row r="20" spans="1:6" x14ac:dyDescent="0.25">
      <c r="A20" t="s">
        <v>17</v>
      </c>
      <c r="B20">
        <v>157</v>
      </c>
      <c r="C20">
        <v>5</v>
      </c>
      <c r="D20">
        <v>9</v>
      </c>
      <c r="E20" t="s">
        <v>885</v>
      </c>
      <c r="F20" t="s">
        <v>891</v>
      </c>
    </row>
    <row r="21" spans="1:6" x14ac:dyDescent="0.25">
      <c r="A21" t="s">
        <v>21</v>
      </c>
      <c r="B21">
        <v>75</v>
      </c>
      <c r="C21">
        <v>0</v>
      </c>
      <c r="D21">
        <v>7</v>
      </c>
      <c r="E21" t="s">
        <v>885</v>
      </c>
      <c r="F21" t="s">
        <v>891</v>
      </c>
    </row>
    <row r="22" spans="1:6" x14ac:dyDescent="0.25">
      <c r="A22" t="s">
        <v>25</v>
      </c>
      <c r="B22">
        <v>87</v>
      </c>
      <c r="C22">
        <v>4</v>
      </c>
      <c r="D22">
        <v>2</v>
      </c>
      <c r="E22" t="s">
        <v>885</v>
      </c>
      <c r="F22" t="s">
        <v>896</v>
      </c>
    </row>
    <row r="23" spans="1:6" x14ac:dyDescent="0.25">
      <c r="A23" t="s">
        <v>29</v>
      </c>
      <c r="B23">
        <v>50</v>
      </c>
      <c r="C23">
        <v>15</v>
      </c>
      <c r="D23">
        <v>4</v>
      </c>
      <c r="E23" t="s">
        <v>885</v>
      </c>
      <c r="F23" t="s">
        <v>897</v>
      </c>
    </row>
    <row r="24" spans="1:6" x14ac:dyDescent="0.25">
      <c r="A24" t="s">
        <v>33</v>
      </c>
      <c r="B24">
        <v>1364</v>
      </c>
      <c r="C24">
        <v>-1864</v>
      </c>
      <c r="D24">
        <v>5</v>
      </c>
      <c r="E24" t="s">
        <v>883</v>
      </c>
      <c r="F24" t="s">
        <v>898</v>
      </c>
    </row>
    <row r="25" spans="1:6" x14ac:dyDescent="0.25">
      <c r="A25" t="s">
        <v>33</v>
      </c>
      <c r="B25">
        <v>476</v>
      </c>
      <c r="C25">
        <v>0</v>
      </c>
      <c r="D25">
        <v>3</v>
      </c>
      <c r="E25" t="s">
        <v>883</v>
      </c>
      <c r="F25" t="s">
        <v>893</v>
      </c>
    </row>
    <row r="26" spans="1:6" x14ac:dyDescent="0.25">
      <c r="A26" t="s">
        <v>33</v>
      </c>
      <c r="B26">
        <v>257</v>
      </c>
      <c r="C26">
        <v>23</v>
      </c>
      <c r="D26">
        <v>5</v>
      </c>
      <c r="E26" t="s">
        <v>885</v>
      </c>
      <c r="F26" t="s">
        <v>887</v>
      </c>
    </row>
    <row r="27" spans="1:6" x14ac:dyDescent="0.25">
      <c r="A27" t="s">
        <v>33</v>
      </c>
      <c r="B27">
        <v>856</v>
      </c>
      <c r="C27">
        <v>385</v>
      </c>
      <c r="D27">
        <v>6</v>
      </c>
      <c r="E27" t="s">
        <v>888</v>
      </c>
      <c r="F27" t="s">
        <v>899</v>
      </c>
    </row>
    <row r="28" spans="1:6" x14ac:dyDescent="0.25">
      <c r="A28" t="s">
        <v>37</v>
      </c>
      <c r="B28">
        <v>485</v>
      </c>
      <c r="C28">
        <v>29</v>
      </c>
      <c r="D28">
        <v>4</v>
      </c>
      <c r="E28" t="s">
        <v>888</v>
      </c>
      <c r="F28" t="s">
        <v>889</v>
      </c>
    </row>
    <row r="29" spans="1:6" x14ac:dyDescent="0.25">
      <c r="A29" t="s">
        <v>37</v>
      </c>
      <c r="B29">
        <v>25</v>
      </c>
      <c r="C29">
        <v>-5</v>
      </c>
      <c r="D29">
        <v>4</v>
      </c>
      <c r="E29" t="s">
        <v>885</v>
      </c>
      <c r="F29" t="s">
        <v>891</v>
      </c>
    </row>
    <row r="30" spans="1:6" x14ac:dyDescent="0.25">
      <c r="A30" t="s">
        <v>41</v>
      </c>
      <c r="B30">
        <v>1076</v>
      </c>
      <c r="C30">
        <v>-38</v>
      </c>
      <c r="D30">
        <v>4</v>
      </c>
      <c r="E30" t="s">
        <v>888</v>
      </c>
      <c r="F30" t="s">
        <v>899</v>
      </c>
    </row>
    <row r="31" spans="1:6" x14ac:dyDescent="0.25">
      <c r="A31" t="s">
        <v>41</v>
      </c>
      <c r="B31">
        <v>107</v>
      </c>
      <c r="C31">
        <v>-54</v>
      </c>
      <c r="D31">
        <v>4</v>
      </c>
      <c r="E31" t="s">
        <v>885</v>
      </c>
      <c r="F31" t="s">
        <v>886</v>
      </c>
    </row>
    <row r="32" spans="1:6" x14ac:dyDescent="0.25">
      <c r="A32" t="s">
        <v>41</v>
      </c>
      <c r="B32">
        <v>68</v>
      </c>
      <c r="C32">
        <v>-55</v>
      </c>
      <c r="D32">
        <v>5</v>
      </c>
      <c r="E32" t="s">
        <v>888</v>
      </c>
      <c r="F32" t="s">
        <v>900</v>
      </c>
    </row>
    <row r="33" spans="1:6" x14ac:dyDescent="0.25">
      <c r="A33" t="s">
        <v>41</v>
      </c>
      <c r="B33">
        <v>781</v>
      </c>
      <c r="C33">
        <v>-594</v>
      </c>
      <c r="D33">
        <v>6</v>
      </c>
      <c r="E33" t="s">
        <v>888</v>
      </c>
      <c r="F33" t="s">
        <v>899</v>
      </c>
    </row>
    <row r="34" spans="1:6" x14ac:dyDescent="0.25">
      <c r="A34" t="s">
        <v>41</v>
      </c>
      <c r="B34">
        <v>43</v>
      </c>
      <c r="C34">
        <v>0</v>
      </c>
      <c r="D34">
        <v>3</v>
      </c>
      <c r="E34" t="s">
        <v>885</v>
      </c>
      <c r="F34" t="s">
        <v>891</v>
      </c>
    </row>
    <row r="35" spans="1:6" x14ac:dyDescent="0.25">
      <c r="A35" t="s">
        <v>41</v>
      </c>
      <c r="B35">
        <v>30</v>
      </c>
      <c r="C35">
        <v>-5</v>
      </c>
      <c r="D35">
        <v>2</v>
      </c>
      <c r="E35" t="s">
        <v>883</v>
      </c>
      <c r="F35" t="s">
        <v>901</v>
      </c>
    </row>
    <row r="36" spans="1:6" x14ac:dyDescent="0.25">
      <c r="A36" t="s">
        <v>45</v>
      </c>
      <c r="B36">
        <v>160</v>
      </c>
      <c r="C36">
        <v>-59</v>
      </c>
      <c r="D36">
        <v>2</v>
      </c>
      <c r="E36" t="s">
        <v>885</v>
      </c>
      <c r="F36" t="s">
        <v>891</v>
      </c>
    </row>
    <row r="37" spans="1:6" x14ac:dyDescent="0.25">
      <c r="A37" t="s">
        <v>49</v>
      </c>
      <c r="B37">
        <v>259</v>
      </c>
      <c r="C37">
        <v>-55</v>
      </c>
      <c r="D37">
        <v>2</v>
      </c>
      <c r="E37" t="s">
        <v>883</v>
      </c>
      <c r="F37" t="s">
        <v>893</v>
      </c>
    </row>
    <row r="38" spans="1:6" x14ac:dyDescent="0.25">
      <c r="A38" t="s">
        <v>53</v>
      </c>
      <c r="B38">
        <v>1603</v>
      </c>
      <c r="C38">
        <v>0</v>
      </c>
      <c r="D38">
        <v>9</v>
      </c>
      <c r="E38" t="s">
        <v>885</v>
      </c>
      <c r="F38" t="s">
        <v>891</v>
      </c>
    </row>
    <row r="39" spans="1:6" x14ac:dyDescent="0.25">
      <c r="A39" t="s">
        <v>56</v>
      </c>
      <c r="B39">
        <v>494</v>
      </c>
      <c r="C39">
        <v>54</v>
      </c>
      <c r="D39">
        <v>4</v>
      </c>
      <c r="E39" t="s">
        <v>883</v>
      </c>
      <c r="F39" t="s">
        <v>884</v>
      </c>
    </row>
    <row r="40" spans="1:6" x14ac:dyDescent="0.25">
      <c r="A40" t="s">
        <v>56</v>
      </c>
      <c r="B40">
        <v>98</v>
      </c>
      <c r="C40">
        <v>-12</v>
      </c>
      <c r="D40">
        <v>2</v>
      </c>
      <c r="E40" t="s">
        <v>888</v>
      </c>
      <c r="F40" t="s">
        <v>889</v>
      </c>
    </row>
    <row r="41" spans="1:6" x14ac:dyDescent="0.25">
      <c r="A41" t="s">
        <v>60</v>
      </c>
      <c r="B41">
        <v>68</v>
      </c>
      <c r="C41">
        <v>20</v>
      </c>
      <c r="D41">
        <v>5</v>
      </c>
      <c r="E41" t="s">
        <v>885</v>
      </c>
      <c r="F41" t="s">
        <v>887</v>
      </c>
    </row>
    <row r="42" spans="1:6" x14ac:dyDescent="0.25">
      <c r="A42" t="s">
        <v>64</v>
      </c>
      <c r="B42">
        <v>42</v>
      </c>
      <c r="C42">
        <v>12</v>
      </c>
      <c r="D42">
        <v>5</v>
      </c>
      <c r="E42" t="s">
        <v>885</v>
      </c>
      <c r="F42" t="s">
        <v>887</v>
      </c>
    </row>
    <row r="43" spans="1:6" x14ac:dyDescent="0.25">
      <c r="A43" t="s">
        <v>64</v>
      </c>
      <c r="B43">
        <v>116</v>
      </c>
      <c r="C43">
        <v>-56</v>
      </c>
      <c r="D43">
        <v>5</v>
      </c>
      <c r="E43" t="s">
        <v>885</v>
      </c>
      <c r="F43" t="s">
        <v>886</v>
      </c>
    </row>
    <row r="44" spans="1:6" x14ac:dyDescent="0.25">
      <c r="A44" t="s">
        <v>64</v>
      </c>
      <c r="B44">
        <v>22</v>
      </c>
      <c r="C44">
        <v>-2</v>
      </c>
      <c r="D44">
        <v>3</v>
      </c>
      <c r="E44" t="s">
        <v>885</v>
      </c>
      <c r="F44" t="s">
        <v>887</v>
      </c>
    </row>
    <row r="45" spans="1:6" x14ac:dyDescent="0.25">
      <c r="A45" t="s">
        <v>64</v>
      </c>
      <c r="B45">
        <v>14</v>
      </c>
      <c r="C45">
        <v>-2</v>
      </c>
      <c r="D45">
        <v>3</v>
      </c>
      <c r="E45" t="s">
        <v>885</v>
      </c>
      <c r="F45" t="s">
        <v>887</v>
      </c>
    </row>
    <row r="46" spans="1:6" x14ac:dyDescent="0.25">
      <c r="A46" t="s">
        <v>67</v>
      </c>
      <c r="B46">
        <v>305</v>
      </c>
      <c r="C46">
        <v>-270</v>
      </c>
      <c r="D46">
        <v>5</v>
      </c>
      <c r="E46" t="s">
        <v>888</v>
      </c>
      <c r="F46" t="s">
        <v>889</v>
      </c>
    </row>
    <row r="47" spans="1:6" x14ac:dyDescent="0.25">
      <c r="A47" t="s">
        <v>71</v>
      </c>
      <c r="B47">
        <v>362</v>
      </c>
      <c r="C47">
        <v>127</v>
      </c>
      <c r="D47">
        <v>1</v>
      </c>
      <c r="E47" t="s">
        <v>883</v>
      </c>
      <c r="F47" t="s">
        <v>884</v>
      </c>
    </row>
    <row r="48" spans="1:6" x14ac:dyDescent="0.25">
      <c r="A48" t="s">
        <v>71</v>
      </c>
      <c r="B48">
        <v>12</v>
      </c>
      <c r="C48">
        <v>0</v>
      </c>
      <c r="D48">
        <v>2</v>
      </c>
      <c r="E48" t="s">
        <v>885</v>
      </c>
      <c r="F48" t="s">
        <v>887</v>
      </c>
    </row>
    <row r="49" spans="1:6" x14ac:dyDescent="0.25">
      <c r="A49" t="s">
        <v>75</v>
      </c>
      <c r="B49">
        <v>353</v>
      </c>
      <c r="C49">
        <v>90</v>
      </c>
      <c r="D49">
        <v>8</v>
      </c>
      <c r="E49" t="s">
        <v>885</v>
      </c>
      <c r="F49" t="s">
        <v>891</v>
      </c>
    </row>
    <row r="50" spans="1:6" x14ac:dyDescent="0.25">
      <c r="A50" t="s">
        <v>77</v>
      </c>
      <c r="B50">
        <v>193</v>
      </c>
      <c r="C50">
        <v>46</v>
      </c>
      <c r="D50">
        <v>1</v>
      </c>
      <c r="E50" t="s">
        <v>888</v>
      </c>
      <c r="F50" t="s">
        <v>899</v>
      </c>
    </row>
    <row r="51" spans="1:6" x14ac:dyDescent="0.25">
      <c r="A51" t="s">
        <v>79</v>
      </c>
      <c r="B51">
        <v>233</v>
      </c>
      <c r="C51">
        <v>-10</v>
      </c>
      <c r="D51">
        <v>5</v>
      </c>
      <c r="E51" t="s">
        <v>888</v>
      </c>
      <c r="F51" t="s">
        <v>889</v>
      </c>
    </row>
    <row r="52" spans="1:6" x14ac:dyDescent="0.25">
      <c r="A52" t="s">
        <v>79</v>
      </c>
      <c r="B52">
        <v>228</v>
      </c>
      <c r="C52">
        <v>63</v>
      </c>
      <c r="D52">
        <v>3</v>
      </c>
      <c r="E52" t="s">
        <v>888</v>
      </c>
      <c r="F52" t="s">
        <v>889</v>
      </c>
    </row>
    <row r="53" spans="1:6" x14ac:dyDescent="0.25">
      <c r="A53" t="s">
        <v>79</v>
      </c>
      <c r="B53">
        <v>333</v>
      </c>
      <c r="C53">
        <v>-15</v>
      </c>
      <c r="D53">
        <v>3</v>
      </c>
      <c r="E53" t="s">
        <v>888</v>
      </c>
      <c r="F53" t="s">
        <v>890</v>
      </c>
    </row>
    <row r="54" spans="1:6" x14ac:dyDescent="0.25">
      <c r="A54" t="s">
        <v>81</v>
      </c>
      <c r="B54">
        <v>534</v>
      </c>
      <c r="C54">
        <v>0</v>
      </c>
      <c r="D54">
        <v>3</v>
      </c>
      <c r="E54" t="s">
        <v>885</v>
      </c>
      <c r="F54" t="s">
        <v>891</v>
      </c>
    </row>
    <row r="55" spans="1:6" x14ac:dyDescent="0.25">
      <c r="A55" t="s">
        <v>83</v>
      </c>
      <c r="B55">
        <v>53</v>
      </c>
      <c r="C55">
        <v>1</v>
      </c>
      <c r="D55">
        <v>4</v>
      </c>
      <c r="E55" t="s">
        <v>885</v>
      </c>
      <c r="F55" t="s">
        <v>886</v>
      </c>
    </row>
    <row r="56" spans="1:6" x14ac:dyDescent="0.25">
      <c r="A56" t="s">
        <v>83</v>
      </c>
      <c r="B56">
        <v>158</v>
      </c>
      <c r="C56">
        <v>69</v>
      </c>
      <c r="D56">
        <v>3</v>
      </c>
      <c r="E56" t="s">
        <v>885</v>
      </c>
      <c r="F56" t="s">
        <v>886</v>
      </c>
    </row>
    <row r="57" spans="1:6" x14ac:dyDescent="0.25">
      <c r="A57" t="s">
        <v>83</v>
      </c>
      <c r="B57">
        <v>149</v>
      </c>
      <c r="C57">
        <v>-87</v>
      </c>
      <c r="D57">
        <v>4</v>
      </c>
      <c r="E57" t="s">
        <v>885</v>
      </c>
      <c r="F57" t="s">
        <v>891</v>
      </c>
    </row>
    <row r="58" spans="1:6" x14ac:dyDescent="0.25">
      <c r="A58" t="s">
        <v>83</v>
      </c>
      <c r="B58">
        <v>105</v>
      </c>
      <c r="C58">
        <v>20</v>
      </c>
      <c r="D58">
        <v>2</v>
      </c>
      <c r="E58" t="s">
        <v>885</v>
      </c>
      <c r="F58" t="s">
        <v>886</v>
      </c>
    </row>
    <row r="59" spans="1:6" x14ac:dyDescent="0.25">
      <c r="A59" t="s">
        <v>85</v>
      </c>
      <c r="B59">
        <v>26</v>
      </c>
      <c r="C59">
        <v>12</v>
      </c>
      <c r="D59">
        <v>3</v>
      </c>
      <c r="E59" t="s">
        <v>885</v>
      </c>
      <c r="F59" t="s">
        <v>887</v>
      </c>
    </row>
    <row r="60" spans="1:6" x14ac:dyDescent="0.25">
      <c r="A60" t="s">
        <v>87</v>
      </c>
      <c r="B60">
        <v>97</v>
      </c>
      <c r="C60">
        <v>29</v>
      </c>
      <c r="D60">
        <v>2</v>
      </c>
      <c r="E60" t="s">
        <v>885</v>
      </c>
      <c r="F60" t="s">
        <v>887</v>
      </c>
    </row>
    <row r="61" spans="1:6" x14ac:dyDescent="0.25">
      <c r="A61" t="s">
        <v>87</v>
      </c>
      <c r="B61">
        <v>59</v>
      </c>
      <c r="C61">
        <v>30</v>
      </c>
      <c r="D61">
        <v>3</v>
      </c>
      <c r="E61" t="s">
        <v>885</v>
      </c>
      <c r="F61" t="s">
        <v>897</v>
      </c>
    </row>
    <row r="62" spans="1:6" x14ac:dyDescent="0.25">
      <c r="A62" t="s">
        <v>87</v>
      </c>
      <c r="B62">
        <v>635</v>
      </c>
      <c r="C62">
        <v>-349</v>
      </c>
      <c r="D62">
        <v>5</v>
      </c>
      <c r="E62" t="s">
        <v>885</v>
      </c>
      <c r="F62" t="s">
        <v>891</v>
      </c>
    </row>
    <row r="63" spans="1:6" x14ac:dyDescent="0.25">
      <c r="A63" t="s">
        <v>89</v>
      </c>
      <c r="B63">
        <v>46</v>
      </c>
      <c r="C63">
        <v>-14</v>
      </c>
      <c r="D63">
        <v>1</v>
      </c>
      <c r="E63" t="s">
        <v>888</v>
      </c>
      <c r="F63" t="s">
        <v>890</v>
      </c>
    </row>
    <row r="64" spans="1:6" x14ac:dyDescent="0.25">
      <c r="A64" t="s">
        <v>89</v>
      </c>
      <c r="B64">
        <v>1103</v>
      </c>
      <c r="C64">
        <v>-276</v>
      </c>
      <c r="D64">
        <v>3</v>
      </c>
      <c r="E64" t="s">
        <v>883</v>
      </c>
      <c r="F64" t="s">
        <v>893</v>
      </c>
    </row>
    <row r="65" spans="1:6" x14ac:dyDescent="0.25">
      <c r="A65" t="s">
        <v>92</v>
      </c>
      <c r="B65">
        <v>55</v>
      </c>
      <c r="C65">
        <v>-39</v>
      </c>
      <c r="D65">
        <v>4</v>
      </c>
      <c r="E65" t="s">
        <v>885</v>
      </c>
      <c r="F65" t="s">
        <v>886</v>
      </c>
    </row>
    <row r="66" spans="1:6" x14ac:dyDescent="0.25">
      <c r="A66" t="s">
        <v>95</v>
      </c>
      <c r="B66">
        <v>45</v>
      </c>
      <c r="C66">
        <v>13</v>
      </c>
      <c r="D66">
        <v>4</v>
      </c>
      <c r="E66" t="s">
        <v>885</v>
      </c>
      <c r="F66" t="s">
        <v>902</v>
      </c>
    </row>
    <row r="67" spans="1:6" x14ac:dyDescent="0.25">
      <c r="A67" t="s">
        <v>95</v>
      </c>
      <c r="B67">
        <v>24</v>
      </c>
      <c r="C67">
        <v>-9</v>
      </c>
      <c r="D67">
        <v>4</v>
      </c>
      <c r="E67" t="s">
        <v>885</v>
      </c>
      <c r="F67" t="s">
        <v>891</v>
      </c>
    </row>
    <row r="68" spans="1:6" x14ac:dyDescent="0.25">
      <c r="A68" t="s">
        <v>95</v>
      </c>
      <c r="B68">
        <v>35</v>
      </c>
      <c r="C68">
        <v>-8</v>
      </c>
      <c r="D68">
        <v>2</v>
      </c>
      <c r="E68" t="s">
        <v>883</v>
      </c>
      <c r="F68" t="s">
        <v>901</v>
      </c>
    </row>
    <row r="69" spans="1:6" x14ac:dyDescent="0.25">
      <c r="A69" t="s">
        <v>97</v>
      </c>
      <c r="B69">
        <v>1560</v>
      </c>
      <c r="C69">
        <v>421</v>
      </c>
      <c r="D69">
        <v>3</v>
      </c>
      <c r="E69" t="s">
        <v>885</v>
      </c>
      <c r="F69" t="s">
        <v>892</v>
      </c>
    </row>
    <row r="70" spans="1:6" x14ac:dyDescent="0.25">
      <c r="A70" t="s">
        <v>99</v>
      </c>
      <c r="B70">
        <v>133</v>
      </c>
      <c r="C70">
        <v>12</v>
      </c>
      <c r="D70">
        <v>5</v>
      </c>
      <c r="E70" t="s">
        <v>885</v>
      </c>
      <c r="F70" t="s">
        <v>886</v>
      </c>
    </row>
    <row r="71" spans="1:6" x14ac:dyDescent="0.25">
      <c r="A71" t="s">
        <v>99</v>
      </c>
      <c r="B71">
        <v>114</v>
      </c>
      <c r="C71">
        <v>-39</v>
      </c>
      <c r="D71">
        <v>5</v>
      </c>
      <c r="E71" t="s">
        <v>885</v>
      </c>
      <c r="F71" t="s">
        <v>894</v>
      </c>
    </row>
    <row r="72" spans="1:6" x14ac:dyDescent="0.25">
      <c r="A72" t="s">
        <v>99</v>
      </c>
      <c r="B72">
        <v>143</v>
      </c>
      <c r="C72">
        <v>-129</v>
      </c>
      <c r="D72">
        <v>2</v>
      </c>
      <c r="E72" t="s">
        <v>888</v>
      </c>
      <c r="F72" t="s">
        <v>890</v>
      </c>
    </row>
    <row r="73" spans="1:6" x14ac:dyDescent="0.25">
      <c r="A73" t="s">
        <v>99</v>
      </c>
      <c r="B73">
        <v>40</v>
      </c>
      <c r="C73">
        <v>-7</v>
      </c>
      <c r="D73">
        <v>3</v>
      </c>
      <c r="E73" t="s">
        <v>885</v>
      </c>
      <c r="F73" t="s">
        <v>886</v>
      </c>
    </row>
    <row r="74" spans="1:6" x14ac:dyDescent="0.25">
      <c r="A74" t="s">
        <v>99</v>
      </c>
      <c r="B74">
        <v>34</v>
      </c>
      <c r="C74">
        <v>-22</v>
      </c>
      <c r="D74">
        <v>4</v>
      </c>
      <c r="E74" t="s">
        <v>885</v>
      </c>
      <c r="F74" t="s">
        <v>895</v>
      </c>
    </row>
    <row r="75" spans="1:6" x14ac:dyDescent="0.25">
      <c r="A75" t="s">
        <v>99</v>
      </c>
      <c r="B75">
        <v>42</v>
      </c>
      <c r="C75">
        <v>-26</v>
      </c>
      <c r="D75">
        <v>2</v>
      </c>
      <c r="E75" t="s">
        <v>885</v>
      </c>
      <c r="F75" t="s">
        <v>894</v>
      </c>
    </row>
    <row r="76" spans="1:6" x14ac:dyDescent="0.25">
      <c r="A76" t="s">
        <v>101</v>
      </c>
      <c r="B76">
        <v>89</v>
      </c>
      <c r="C76">
        <v>-89</v>
      </c>
      <c r="D76">
        <v>2</v>
      </c>
      <c r="E76" t="s">
        <v>883</v>
      </c>
      <c r="F76" t="s">
        <v>901</v>
      </c>
    </row>
    <row r="77" spans="1:6" x14ac:dyDescent="0.25">
      <c r="A77" t="s">
        <v>103</v>
      </c>
      <c r="B77">
        <v>19</v>
      </c>
      <c r="C77">
        <v>-2</v>
      </c>
      <c r="D77">
        <v>2</v>
      </c>
      <c r="E77" t="s">
        <v>885</v>
      </c>
      <c r="F77" t="s">
        <v>897</v>
      </c>
    </row>
    <row r="78" spans="1:6" x14ac:dyDescent="0.25">
      <c r="A78" t="s">
        <v>105</v>
      </c>
      <c r="B78">
        <v>249</v>
      </c>
      <c r="C78">
        <v>-130</v>
      </c>
      <c r="D78">
        <v>4</v>
      </c>
      <c r="E78" t="s">
        <v>888</v>
      </c>
      <c r="F78" t="s">
        <v>890</v>
      </c>
    </row>
    <row r="79" spans="1:6" x14ac:dyDescent="0.25">
      <c r="A79" t="s">
        <v>105</v>
      </c>
      <c r="B79">
        <v>711</v>
      </c>
      <c r="C79">
        <v>-8</v>
      </c>
      <c r="D79">
        <v>4</v>
      </c>
      <c r="E79" t="s">
        <v>885</v>
      </c>
      <c r="F79" t="s">
        <v>891</v>
      </c>
    </row>
    <row r="80" spans="1:6" x14ac:dyDescent="0.25">
      <c r="A80" t="s">
        <v>105</v>
      </c>
      <c r="B80">
        <v>496</v>
      </c>
      <c r="C80">
        <v>-79</v>
      </c>
      <c r="D80">
        <v>2</v>
      </c>
      <c r="E80" t="s">
        <v>885</v>
      </c>
      <c r="F80" t="s">
        <v>892</v>
      </c>
    </row>
    <row r="81" spans="1:6" x14ac:dyDescent="0.25">
      <c r="A81" t="s">
        <v>107</v>
      </c>
      <c r="B81">
        <v>389</v>
      </c>
      <c r="C81">
        <v>-83</v>
      </c>
      <c r="D81">
        <v>3</v>
      </c>
      <c r="E81" t="s">
        <v>883</v>
      </c>
      <c r="F81" t="s">
        <v>893</v>
      </c>
    </row>
    <row r="82" spans="1:6" x14ac:dyDescent="0.25">
      <c r="A82" t="s">
        <v>109</v>
      </c>
      <c r="B82">
        <v>40</v>
      </c>
      <c r="C82">
        <v>16</v>
      </c>
      <c r="D82">
        <v>3</v>
      </c>
      <c r="E82" t="s">
        <v>885</v>
      </c>
      <c r="F82" t="s">
        <v>887</v>
      </c>
    </row>
    <row r="83" spans="1:6" x14ac:dyDescent="0.25">
      <c r="A83" t="s">
        <v>109</v>
      </c>
      <c r="B83">
        <v>23</v>
      </c>
      <c r="C83">
        <v>2</v>
      </c>
      <c r="D83">
        <v>2</v>
      </c>
      <c r="E83" t="s">
        <v>885</v>
      </c>
      <c r="F83" t="s">
        <v>902</v>
      </c>
    </row>
    <row r="84" spans="1:6" x14ac:dyDescent="0.25">
      <c r="A84" t="s">
        <v>109</v>
      </c>
      <c r="B84">
        <v>382</v>
      </c>
      <c r="C84">
        <v>30</v>
      </c>
      <c r="D84">
        <v>3</v>
      </c>
      <c r="E84" t="s">
        <v>885</v>
      </c>
      <c r="F84" t="s">
        <v>891</v>
      </c>
    </row>
    <row r="85" spans="1:6" x14ac:dyDescent="0.25">
      <c r="A85" t="s">
        <v>111</v>
      </c>
      <c r="B85">
        <v>637</v>
      </c>
      <c r="C85">
        <v>113</v>
      </c>
      <c r="D85">
        <v>5</v>
      </c>
      <c r="E85" t="s">
        <v>885</v>
      </c>
      <c r="F85" t="s">
        <v>891</v>
      </c>
    </row>
    <row r="86" spans="1:6" x14ac:dyDescent="0.25">
      <c r="A86" t="s">
        <v>113</v>
      </c>
      <c r="B86">
        <v>117</v>
      </c>
      <c r="C86">
        <v>14</v>
      </c>
      <c r="D86">
        <v>3</v>
      </c>
      <c r="E86" t="s">
        <v>885</v>
      </c>
      <c r="F86" t="s">
        <v>896</v>
      </c>
    </row>
    <row r="87" spans="1:6" x14ac:dyDescent="0.25">
      <c r="A87" t="s">
        <v>115</v>
      </c>
      <c r="B87">
        <v>182</v>
      </c>
      <c r="C87">
        <v>-11</v>
      </c>
      <c r="D87">
        <v>3</v>
      </c>
      <c r="E87" t="s">
        <v>883</v>
      </c>
      <c r="F87" t="s">
        <v>884</v>
      </c>
    </row>
    <row r="88" spans="1:6" x14ac:dyDescent="0.25">
      <c r="A88" t="s">
        <v>115</v>
      </c>
      <c r="B88">
        <v>880</v>
      </c>
      <c r="C88">
        <v>97</v>
      </c>
      <c r="D88">
        <v>8</v>
      </c>
      <c r="E88" t="s">
        <v>883</v>
      </c>
      <c r="F88" t="s">
        <v>901</v>
      </c>
    </row>
    <row r="89" spans="1:6" x14ac:dyDescent="0.25">
      <c r="A89" t="s">
        <v>115</v>
      </c>
      <c r="B89">
        <v>154</v>
      </c>
      <c r="C89">
        <v>39</v>
      </c>
      <c r="D89">
        <v>3</v>
      </c>
      <c r="E89" t="s">
        <v>885</v>
      </c>
      <c r="F89" t="s">
        <v>887</v>
      </c>
    </row>
    <row r="90" spans="1:6" x14ac:dyDescent="0.25">
      <c r="A90" t="s">
        <v>115</v>
      </c>
      <c r="B90">
        <v>816</v>
      </c>
      <c r="C90">
        <v>-96</v>
      </c>
      <c r="D90">
        <v>3</v>
      </c>
      <c r="E90" t="s">
        <v>888</v>
      </c>
      <c r="F90" t="s">
        <v>899</v>
      </c>
    </row>
    <row r="91" spans="1:6" x14ac:dyDescent="0.25">
      <c r="A91" t="s">
        <v>117</v>
      </c>
      <c r="B91">
        <v>1629</v>
      </c>
      <c r="C91">
        <v>-153</v>
      </c>
      <c r="D91">
        <v>3</v>
      </c>
      <c r="E91" t="s">
        <v>888</v>
      </c>
      <c r="F91" t="s">
        <v>890</v>
      </c>
    </row>
    <row r="92" spans="1:6" x14ac:dyDescent="0.25">
      <c r="A92" t="s">
        <v>119</v>
      </c>
      <c r="B92">
        <v>68</v>
      </c>
      <c r="C92">
        <v>-62</v>
      </c>
      <c r="D92">
        <v>2</v>
      </c>
      <c r="E92" t="s">
        <v>885</v>
      </c>
      <c r="F92" t="s">
        <v>892</v>
      </c>
    </row>
    <row r="93" spans="1:6" x14ac:dyDescent="0.25">
      <c r="A93" t="s">
        <v>119</v>
      </c>
      <c r="B93">
        <v>314</v>
      </c>
      <c r="C93">
        <v>-239</v>
      </c>
      <c r="D93">
        <v>13</v>
      </c>
      <c r="E93" t="s">
        <v>885</v>
      </c>
      <c r="F93" t="s">
        <v>887</v>
      </c>
    </row>
    <row r="94" spans="1:6" x14ac:dyDescent="0.25">
      <c r="A94" t="s">
        <v>119</v>
      </c>
      <c r="B94">
        <v>122</v>
      </c>
      <c r="C94">
        <v>-47</v>
      </c>
      <c r="D94">
        <v>4</v>
      </c>
      <c r="E94" t="s">
        <v>885</v>
      </c>
      <c r="F94" t="s">
        <v>891</v>
      </c>
    </row>
    <row r="95" spans="1:6" x14ac:dyDescent="0.25">
      <c r="A95" t="s">
        <v>121</v>
      </c>
      <c r="B95">
        <v>22</v>
      </c>
      <c r="C95">
        <v>-6</v>
      </c>
      <c r="D95">
        <v>1</v>
      </c>
      <c r="E95" t="s">
        <v>883</v>
      </c>
      <c r="F95" t="s">
        <v>901</v>
      </c>
    </row>
    <row r="96" spans="1:6" x14ac:dyDescent="0.25">
      <c r="A96" t="s">
        <v>123</v>
      </c>
      <c r="B96">
        <v>434</v>
      </c>
      <c r="C96">
        <v>26</v>
      </c>
      <c r="D96">
        <v>11</v>
      </c>
      <c r="E96" t="s">
        <v>885</v>
      </c>
      <c r="F96" t="s">
        <v>896</v>
      </c>
    </row>
    <row r="97" spans="1:6" x14ac:dyDescent="0.25">
      <c r="A97" t="s">
        <v>125</v>
      </c>
      <c r="B97">
        <v>1061</v>
      </c>
      <c r="C97">
        <v>-36</v>
      </c>
      <c r="D97">
        <v>8</v>
      </c>
      <c r="E97" t="s">
        <v>883</v>
      </c>
      <c r="F97" t="s">
        <v>884</v>
      </c>
    </row>
    <row r="98" spans="1:6" x14ac:dyDescent="0.25">
      <c r="A98" t="s">
        <v>125</v>
      </c>
      <c r="B98">
        <v>50</v>
      </c>
      <c r="C98">
        <v>-44</v>
      </c>
      <c r="D98">
        <v>2</v>
      </c>
      <c r="E98" t="s">
        <v>885</v>
      </c>
      <c r="F98" t="s">
        <v>887</v>
      </c>
    </row>
    <row r="99" spans="1:6" x14ac:dyDescent="0.25">
      <c r="A99" t="s">
        <v>125</v>
      </c>
      <c r="B99">
        <v>37</v>
      </c>
      <c r="C99">
        <v>-23</v>
      </c>
      <c r="D99">
        <v>4</v>
      </c>
      <c r="E99" t="s">
        <v>885</v>
      </c>
      <c r="F99" t="s">
        <v>896</v>
      </c>
    </row>
    <row r="100" spans="1:6" x14ac:dyDescent="0.25">
      <c r="A100" t="s">
        <v>125</v>
      </c>
      <c r="B100">
        <v>263</v>
      </c>
      <c r="C100">
        <v>-63</v>
      </c>
      <c r="D100">
        <v>2</v>
      </c>
      <c r="E100" t="s">
        <v>888</v>
      </c>
      <c r="F100" t="s">
        <v>889</v>
      </c>
    </row>
    <row r="101" spans="1:6" x14ac:dyDescent="0.25">
      <c r="A101" t="s">
        <v>125</v>
      </c>
      <c r="B101">
        <v>36</v>
      </c>
      <c r="C101">
        <v>-7</v>
      </c>
      <c r="D101">
        <v>1</v>
      </c>
      <c r="E101" t="s">
        <v>888</v>
      </c>
      <c r="F101" t="s">
        <v>889</v>
      </c>
    </row>
    <row r="102" spans="1:6" x14ac:dyDescent="0.25">
      <c r="A102" t="s">
        <v>127</v>
      </c>
      <c r="B102">
        <v>76</v>
      </c>
      <c r="C102">
        <v>-92</v>
      </c>
      <c r="D102">
        <v>8</v>
      </c>
      <c r="E102" t="s">
        <v>883</v>
      </c>
      <c r="F102" t="s">
        <v>901</v>
      </c>
    </row>
    <row r="103" spans="1:6" x14ac:dyDescent="0.25">
      <c r="A103" t="s">
        <v>129</v>
      </c>
      <c r="B103">
        <v>273</v>
      </c>
      <c r="C103">
        <v>-87</v>
      </c>
      <c r="D103">
        <v>4</v>
      </c>
      <c r="E103" t="s">
        <v>888</v>
      </c>
      <c r="F103" t="s">
        <v>890</v>
      </c>
    </row>
    <row r="104" spans="1:6" x14ac:dyDescent="0.25">
      <c r="A104" t="s">
        <v>129</v>
      </c>
      <c r="B104">
        <v>86</v>
      </c>
      <c r="C104">
        <v>0</v>
      </c>
      <c r="D104">
        <v>4</v>
      </c>
      <c r="E104" t="s">
        <v>885</v>
      </c>
      <c r="F104" t="s">
        <v>895</v>
      </c>
    </row>
    <row r="105" spans="1:6" x14ac:dyDescent="0.25">
      <c r="A105" t="s">
        <v>129</v>
      </c>
      <c r="B105">
        <v>133</v>
      </c>
      <c r="C105">
        <v>-42</v>
      </c>
      <c r="D105">
        <v>1</v>
      </c>
      <c r="E105" t="s">
        <v>888</v>
      </c>
      <c r="F105" t="s">
        <v>899</v>
      </c>
    </row>
    <row r="106" spans="1:6" x14ac:dyDescent="0.25">
      <c r="A106" t="s">
        <v>129</v>
      </c>
      <c r="B106">
        <v>183</v>
      </c>
      <c r="C106">
        <v>-66</v>
      </c>
      <c r="D106">
        <v>5</v>
      </c>
      <c r="E106" t="s">
        <v>888</v>
      </c>
      <c r="F106" t="s">
        <v>890</v>
      </c>
    </row>
    <row r="107" spans="1:6" x14ac:dyDescent="0.25">
      <c r="A107" t="s">
        <v>131</v>
      </c>
      <c r="B107">
        <v>20</v>
      </c>
      <c r="C107">
        <v>-8</v>
      </c>
      <c r="D107">
        <v>2</v>
      </c>
      <c r="E107" t="s">
        <v>885</v>
      </c>
      <c r="F107" t="s">
        <v>891</v>
      </c>
    </row>
    <row r="108" spans="1:6" x14ac:dyDescent="0.25">
      <c r="A108" t="s">
        <v>133</v>
      </c>
      <c r="B108">
        <v>42</v>
      </c>
      <c r="C108">
        <v>-6</v>
      </c>
      <c r="D108">
        <v>4</v>
      </c>
      <c r="E108" t="s">
        <v>885</v>
      </c>
      <c r="F108" t="s">
        <v>891</v>
      </c>
    </row>
    <row r="109" spans="1:6" x14ac:dyDescent="0.25">
      <c r="A109" t="s">
        <v>135</v>
      </c>
      <c r="B109">
        <v>100</v>
      </c>
      <c r="C109">
        <v>-23</v>
      </c>
      <c r="D109">
        <v>1</v>
      </c>
      <c r="E109" t="s">
        <v>888</v>
      </c>
      <c r="F109" t="s">
        <v>890</v>
      </c>
    </row>
    <row r="110" spans="1:6" x14ac:dyDescent="0.25">
      <c r="A110" t="s">
        <v>135</v>
      </c>
      <c r="B110">
        <v>30</v>
      </c>
      <c r="C110">
        <v>13</v>
      </c>
      <c r="D110">
        <v>1</v>
      </c>
      <c r="E110" t="s">
        <v>885</v>
      </c>
      <c r="F110" t="s">
        <v>895</v>
      </c>
    </row>
    <row r="111" spans="1:6" x14ac:dyDescent="0.25">
      <c r="A111" t="s">
        <v>135</v>
      </c>
      <c r="B111">
        <v>55</v>
      </c>
      <c r="C111">
        <v>-26</v>
      </c>
      <c r="D111">
        <v>4</v>
      </c>
      <c r="E111" t="s">
        <v>885</v>
      </c>
      <c r="F111" t="s">
        <v>891</v>
      </c>
    </row>
    <row r="112" spans="1:6" x14ac:dyDescent="0.25">
      <c r="A112" t="s">
        <v>135</v>
      </c>
      <c r="B112">
        <v>130</v>
      </c>
      <c r="C112">
        <v>-41</v>
      </c>
      <c r="D112">
        <v>4</v>
      </c>
      <c r="E112" t="s">
        <v>885</v>
      </c>
      <c r="F112" t="s">
        <v>891</v>
      </c>
    </row>
    <row r="113" spans="1:6" x14ac:dyDescent="0.25">
      <c r="A113" t="s">
        <v>137</v>
      </c>
      <c r="B113">
        <v>27</v>
      </c>
      <c r="C113">
        <v>-25</v>
      </c>
      <c r="D113">
        <v>2</v>
      </c>
      <c r="E113" t="s">
        <v>885</v>
      </c>
      <c r="F113" t="s">
        <v>886</v>
      </c>
    </row>
    <row r="114" spans="1:6" x14ac:dyDescent="0.25">
      <c r="A114" t="s">
        <v>139</v>
      </c>
      <c r="B114">
        <v>245</v>
      </c>
      <c r="C114">
        <v>-78</v>
      </c>
      <c r="D114">
        <v>2</v>
      </c>
      <c r="E114" t="s">
        <v>888</v>
      </c>
      <c r="F114" t="s">
        <v>899</v>
      </c>
    </row>
    <row r="115" spans="1:6" x14ac:dyDescent="0.25">
      <c r="A115" t="s">
        <v>139</v>
      </c>
      <c r="B115">
        <v>211</v>
      </c>
      <c r="C115">
        <v>-105</v>
      </c>
      <c r="D115">
        <v>2</v>
      </c>
      <c r="E115" t="s">
        <v>885</v>
      </c>
      <c r="F115" t="s">
        <v>891</v>
      </c>
    </row>
    <row r="116" spans="1:6" x14ac:dyDescent="0.25">
      <c r="A116" t="s">
        <v>139</v>
      </c>
      <c r="B116">
        <v>31</v>
      </c>
      <c r="C116">
        <v>-2</v>
      </c>
      <c r="D116">
        <v>2</v>
      </c>
      <c r="E116" t="s">
        <v>885</v>
      </c>
      <c r="F116" t="s">
        <v>891</v>
      </c>
    </row>
    <row r="117" spans="1:6" x14ac:dyDescent="0.25">
      <c r="A117" t="s">
        <v>139</v>
      </c>
      <c r="B117">
        <v>28</v>
      </c>
      <c r="C117">
        <v>-26</v>
      </c>
      <c r="D117">
        <v>2</v>
      </c>
      <c r="E117" t="s">
        <v>885</v>
      </c>
      <c r="F117" t="s">
        <v>886</v>
      </c>
    </row>
    <row r="118" spans="1:6" x14ac:dyDescent="0.25">
      <c r="A118" t="s">
        <v>139</v>
      </c>
      <c r="B118">
        <v>512</v>
      </c>
      <c r="C118">
        <v>-225</v>
      </c>
      <c r="D118">
        <v>5</v>
      </c>
      <c r="E118" t="s">
        <v>885</v>
      </c>
      <c r="F118" t="s">
        <v>891</v>
      </c>
    </row>
    <row r="119" spans="1:6" x14ac:dyDescent="0.25">
      <c r="A119" t="s">
        <v>139</v>
      </c>
      <c r="B119">
        <v>925</v>
      </c>
      <c r="C119">
        <v>-447</v>
      </c>
      <c r="D119">
        <v>5</v>
      </c>
      <c r="E119" t="s">
        <v>888</v>
      </c>
      <c r="F119" t="s">
        <v>889</v>
      </c>
    </row>
    <row r="120" spans="1:6" x14ac:dyDescent="0.25">
      <c r="A120" t="s">
        <v>139</v>
      </c>
      <c r="B120">
        <v>238</v>
      </c>
      <c r="C120">
        <v>20</v>
      </c>
      <c r="D120">
        <v>2</v>
      </c>
      <c r="E120" t="s">
        <v>885</v>
      </c>
      <c r="F120" t="s">
        <v>891</v>
      </c>
    </row>
    <row r="121" spans="1:6" x14ac:dyDescent="0.25">
      <c r="A121" t="s">
        <v>139</v>
      </c>
      <c r="B121">
        <v>351</v>
      </c>
      <c r="C121">
        <v>-47</v>
      </c>
      <c r="D121">
        <v>8</v>
      </c>
      <c r="E121" t="s">
        <v>888</v>
      </c>
      <c r="F121" t="s">
        <v>890</v>
      </c>
    </row>
    <row r="122" spans="1:6" x14ac:dyDescent="0.25">
      <c r="A122" t="s">
        <v>139</v>
      </c>
      <c r="B122">
        <v>269</v>
      </c>
      <c r="C122">
        <v>111</v>
      </c>
      <c r="D122">
        <v>3</v>
      </c>
      <c r="E122" t="s">
        <v>885</v>
      </c>
      <c r="F122" t="s">
        <v>892</v>
      </c>
    </row>
    <row r="123" spans="1:6" x14ac:dyDescent="0.25">
      <c r="A123" t="s">
        <v>141</v>
      </c>
      <c r="B123">
        <v>200</v>
      </c>
      <c r="C123">
        <v>-60</v>
      </c>
      <c r="D123">
        <v>4</v>
      </c>
      <c r="E123" t="s">
        <v>883</v>
      </c>
      <c r="F123" t="s">
        <v>884</v>
      </c>
    </row>
    <row r="124" spans="1:6" x14ac:dyDescent="0.25">
      <c r="A124" t="s">
        <v>141</v>
      </c>
      <c r="B124">
        <v>44</v>
      </c>
      <c r="C124">
        <v>-8</v>
      </c>
      <c r="D124">
        <v>3</v>
      </c>
      <c r="E124" t="s">
        <v>885</v>
      </c>
      <c r="F124" t="s">
        <v>886</v>
      </c>
    </row>
    <row r="125" spans="1:6" x14ac:dyDescent="0.25">
      <c r="A125" t="s">
        <v>141</v>
      </c>
      <c r="B125">
        <v>7</v>
      </c>
      <c r="C125">
        <v>0</v>
      </c>
      <c r="D125">
        <v>1</v>
      </c>
      <c r="E125" t="s">
        <v>885</v>
      </c>
      <c r="F125" t="s">
        <v>897</v>
      </c>
    </row>
    <row r="126" spans="1:6" x14ac:dyDescent="0.25">
      <c r="A126" t="s">
        <v>141</v>
      </c>
      <c r="B126">
        <v>11</v>
      </c>
      <c r="C126">
        <v>-4</v>
      </c>
      <c r="D126">
        <v>2</v>
      </c>
      <c r="E126" t="s">
        <v>885</v>
      </c>
      <c r="F126" t="s">
        <v>902</v>
      </c>
    </row>
    <row r="127" spans="1:6" x14ac:dyDescent="0.25">
      <c r="A127" t="s">
        <v>141</v>
      </c>
      <c r="B127">
        <v>16</v>
      </c>
      <c r="C127">
        <v>-10</v>
      </c>
      <c r="D127">
        <v>2</v>
      </c>
      <c r="E127" t="s">
        <v>885</v>
      </c>
      <c r="F127" t="s">
        <v>895</v>
      </c>
    </row>
    <row r="128" spans="1:6" x14ac:dyDescent="0.25">
      <c r="A128" t="s">
        <v>141</v>
      </c>
      <c r="B128">
        <v>172</v>
      </c>
      <c r="C128">
        <v>-103</v>
      </c>
      <c r="D128">
        <v>3</v>
      </c>
      <c r="E128" t="s">
        <v>883</v>
      </c>
      <c r="F128" t="s">
        <v>893</v>
      </c>
    </row>
    <row r="129" spans="1:6" x14ac:dyDescent="0.25">
      <c r="A129" t="s">
        <v>141</v>
      </c>
      <c r="B129">
        <v>49</v>
      </c>
      <c r="C129">
        <v>3</v>
      </c>
      <c r="D129">
        <v>1</v>
      </c>
      <c r="E129" t="s">
        <v>885</v>
      </c>
      <c r="F129" t="s">
        <v>896</v>
      </c>
    </row>
    <row r="130" spans="1:6" x14ac:dyDescent="0.25">
      <c r="A130" t="s">
        <v>141</v>
      </c>
      <c r="B130">
        <v>823</v>
      </c>
      <c r="C130">
        <v>-18</v>
      </c>
      <c r="D130">
        <v>7</v>
      </c>
      <c r="E130" t="s">
        <v>883</v>
      </c>
      <c r="F130" t="s">
        <v>893</v>
      </c>
    </row>
    <row r="131" spans="1:6" x14ac:dyDescent="0.25">
      <c r="A131" t="s">
        <v>141</v>
      </c>
      <c r="B131">
        <v>23</v>
      </c>
      <c r="C131">
        <v>4</v>
      </c>
      <c r="D131">
        <v>1</v>
      </c>
      <c r="E131" t="s">
        <v>885</v>
      </c>
      <c r="F131" t="s">
        <v>891</v>
      </c>
    </row>
    <row r="132" spans="1:6" x14ac:dyDescent="0.25">
      <c r="A132" t="s">
        <v>141</v>
      </c>
      <c r="B132">
        <v>457</v>
      </c>
      <c r="C132">
        <v>-41</v>
      </c>
      <c r="D132">
        <v>4</v>
      </c>
      <c r="E132" t="s">
        <v>885</v>
      </c>
      <c r="F132" t="s">
        <v>891</v>
      </c>
    </row>
    <row r="133" spans="1:6" x14ac:dyDescent="0.25">
      <c r="A133" t="s">
        <v>143</v>
      </c>
      <c r="B133">
        <v>24</v>
      </c>
      <c r="C133">
        <v>-21</v>
      </c>
      <c r="D133">
        <v>7</v>
      </c>
      <c r="E133" t="s">
        <v>885</v>
      </c>
      <c r="F133" t="s">
        <v>902</v>
      </c>
    </row>
    <row r="134" spans="1:6" x14ac:dyDescent="0.25">
      <c r="A134" t="s">
        <v>143</v>
      </c>
      <c r="B134">
        <v>25</v>
      </c>
      <c r="C134">
        <v>-2</v>
      </c>
      <c r="D134">
        <v>5</v>
      </c>
      <c r="E134" t="s">
        <v>885</v>
      </c>
      <c r="F134" t="s">
        <v>887</v>
      </c>
    </row>
    <row r="135" spans="1:6" x14ac:dyDescent="0.25">
      <c r="A135" t="s">
        <v>143</v>
      </c>
      <c r="B135">
        <v>174</v>
      </c>
      <c r="C135">
        <v>-70</v>
      </c>
      <c r="D135">
        <v>3</v>
      </c>
      <c r="E135" t="s">
        <v>888</v>
      </c>
      <c r="F135" t="s">
        <v>900</v>
      </c>
    </row>
    <row r="136" spans="1:6" x14ac:dyDescent="0.25">
      <c r="A136" t="s">
        <v>143</v>
      </c>
      <c r="B136">
        <v>206</v>
      </c>
      <c r="C136">
        <v>-206</v>
      </c>
      <c r="D136">
        <v>3</v>
      </c>
      <c r="E136" t="s">
        <v>885</v>
      </c>
      <c r="F136" t="s">
        <v>891</v>
      </c>
    </row>
    <row r="137" spans="1:6" x14ac:dyDescent="0.25">
      <c r="A137" t="s">
        <v>143</v>
      </c>
      <c r="B137">
        <v>21</v>
      </c>
      <c r="C137">
        <v>-13</v>
      </c>
      <c r="D137">
        <v>3</v>
      </c>
      <c r="E137" t="s">
        <v>885</v>
      </c>
      <c r="F137" t="s">
        <v>897</v>
      </c>
    </row>
    <row r="138" spans="1:6" x14ac:dyDescent="0.25">
      <c r="A138" t="s">
        <v>143</v>
      </c>
      <c r="B138">
        <v>34</v>
      </c>
      <c r="C138">
        <v>-6</v>
      </c>
      <c r="D138">
        <v>4</v>
      </c>
      <c r="E138" t="s">
        <v>885</v>
      </c>
      <c r="F138" t="s">
        <v>897</v>
      </c>
    </row>
    <row r="139" spans="1:6" x14ac:dyDescent="0.25">
      <c r="A139" t="s">
        <v>143</v>
      </c>
      <c r="B139">
        <v>9</v>
      </c>
      <c r="C139">
        <v>-6</v>
      </c>
      <c r="D139">
        <v>2</v>
      </c>
      <c r="E139" t="s">
        <v>885</v>
      </c>
      <c r="F139" t="s">
        <v>887</v>
      </c>
    </row>
    <row r="140" spans="1:6" x14ac:dyDescent="0.25">
      <c r="A140" t="s">
        <v>145</v>
      </c>
      <c r="B140">
        <v>1279</v>
      </c>
      <c r="C140">
        <v>-640</v>
      </c>
      <c r="D140">
        <v>8</v>
      </c>
      <c r="E140" t="s">
        <v>888</v>
      </c>
      <c r="F140" t="s">
        <v>899</v>
      </c>
    </row>
    <row r="141" spans="1:6" x14ac:dyDescent="0.25">
      <c r="A141" t="s">
        <v>145</v>
      </c>
      <c r="B141">
        <v>28</v>
      </c>
      <c r="C141">
        <v>-3</v>
      </c>
      <c r="D141">
        <v>2</v>
      </c>
      <c r="E141" t="s">
        <v>885</v>
      </c>
      <c r="F141" t="s">
        <v>891</v>
      </c>
    </row>
    <row r="142" spans="1:6" x14ac:dyDescent="0.25">
      <c r="A142" t="s">
        <v>145</v>
      </c>
      <c r="B142">
        <v>427</v>
      </c>
      <c r="C142">
        <v>-50</v>
      </c>
      <c r="D142">
        <v>7</v>
      </c>
      <c r="E142" t="s">
        <v>888</v>
      </c>
      <c r="F142" t="s">
        <v>890</v>
      </c>
    </row>
    <row r="143" spans="1:6" x14ac:dyDescent="0.25">
      <c r="A143" t="s">
        <v>145</v>
      </c>
      <c r="B143">
        <v>168</v>
      </c>
      <c r="C143">
        <v>-10</v>
      </c>
      <c r="D143">
        <v>3</v>
      </c>
      <c r="E143" t="s">
        <v>888</v>
      </c>
      <c r="F143" t="s">
        <v>900</v>
      </c>
    </row>
    <row r="144" spans="1:6" x14ac:dyDescent="0.25">
      <c r="A144" t="s">
        <v>145</v>
      </c>
      <c r="B144">
        <v>1327</v>
      </c>
      <c r="C144">
        <v>318</v>
      </c>
      <c r="D144">
        <v>8</v>
      </c>
      <c r="E144" t="s">
        <v>883</v>
      </c>
      <c r="F144" t="s">
        <v>893</v>
      </c>
    </row>
    <row r="145" spans="1:6" x14ac:dyDescent="0.25">
      <c r="A145" t="s">
        <v>145</v>
      </c>
      <c r="B145">
        <v>195</v>
      </c>
      <c r="C145">
        <v>-117</v>
      </c>
      <c r="D145">
        <v>5</v>
      </c>
      <c r="E145" t="s">
        <v>888</v>
      </c>
      <c r="F145" t="s">
        <v>890</v>
      </c>
    </row>
    <row r="146" spans="1:6" x14ac:dyDescent="0.25">
      <c r="A146" t="s">
        <v>145</v>
      </c>
      <c r="B146">
        <v>115</v>
      </c>
      <c r="C146">
        <v>25</v>
      </c>
      <c r="D146">
        <v>1</v>
      </c>
      <c r="E146" t="s">
        <v>888</v>
      </c>
      <c r="F146" t="s">
        <v>900</v>
      </c>
    </row>
    <row r="147" spans="1:6" x14ac:dyDescent="0.25">
      <c r="A147" t="s">
        <v>145</v>
      </c>
      <c r="B147">
        <v>668</v>
      </c>
      <c r="C147">
        <v>-31</v>
      </c>
      <c r="D147">
        <v>3</v>
      </c>
      <c r="E147" t="s">
        <v>888</v>
      </c>
      <c r="F147" t="s">
        <v>899</v>
      </c>
    </row>
    <row r="148" spans="1:6" x14ac:dyDescent="0.25">
      <c r="A148" t="s">
        <v>145</v>
      </c>
      <c r="B148">
        <v>227</v>
      </c>
      <c r="C148">
        <v>102</v>
      </c>
      <c r="D148">
        <v>8</v>
      </c>
      <c r="E148" t="s">
        <v>888</v>
      </c>
      <c r="F148" t="s">
        <v>900</v>
      </c>
    </row>
    <row r="149" spans="1:6" x14ac:dyDescent="0.25">
      <c r="A149" t="s">
        <v>147</v>
      </c>
      <c r="B149">
        <v>34</v>
      </c>
      <c r="C149">
        <v>12</v>
      </c>
      <c r="D149">
        <v>3</v>
      </c>
      <c r="E149" t="s">
        <v>885</v>
      </c>
      <c r="F149" t="s">
        <v>887</v>
      </c>
    </row>
    <row r="150" spans="1:6" x14ac:dyDescent="0.25">
      <c r="A150" t="s">
        <v>147</v>
      </c>
      <c r="B150">
        <v>229</v>
      </c>
      <c r="C150">
        <v>-23</v>
      </c>
      <c r="D150">
        <v>2</v>
      </c>
      <c r="E150" t="s">
        <v>885</v>
      </c>
      <c r="F150" t="s">
        <v>891</v>
      </c>
    </row>
    <row r="151" spans="1:6" x14ac:dyDescent="0.25">
      <c r="A151" t="s">
        <v>147</v>
      </c>
      <c r="B151">
        <v>54</v>
      </c>
      <c r="C151">
        <v>-3</v>
      </c>
      <c r="D151">
        <v>3</v>
      </c>
      <c r="E151" t="s">
        <v>885</v>
      </c>
      <c r="F151" t="s">
        <v>891</v>
      </c>
    </row>
    <row r="152" spans="1:6" x14ac:dyDescent="0.25">
      <c r="A152" t="s">
        <v>147</v>
      </c>
      <c r="B152">
        <v>269</v>
      </c>
      <c r="C152">
        <v>-86</v>
      </c>
      <c r="D152">
        <v>2</v>
      </c>
      <c r="E152" t="s">
        <v>888</v>
      </c>
      <c r="F152" t="s">
        <v>889</v>
      </c>
    </row>
    <row r="153" spans="1:6" x14ac:dyDescent="0.25">
      <c r="A153" t="s">
        <v>147</v>
      </c>
      <c r="B153">
        <v>122</v>
      </c>
      <c r="C153">
        <v>-21</v>
      </c>
      <c r="D153">
        <v>3</v>
      </c>
      <c r="E153" t="s">
        <v>883</v>
      </c>
      <c r="F153" t="s">
        <v>901</v>
      </c>
    </row>
    <row r="154" spans="1:6" x14ac:dyDescent="0.25">
      <c r="A154" t="s">
        <v>147</v>
      </c>
      <c r="B154">
        <v>105</v>
      </c>
      <c r="C154">
        <v>46</v>
      </c>
      <c r="D154">
        <v>2</v>
      </c>
      <c r="E154" t="s">
        <v>885</v>
      </c>
      <c r="F154" t="s">
        <v>886</v>
      </c>
    </row>
    <row r="155" spans="1:6" x14ac:dyDescent="0.25">
      <c r="A155" t="s">
        <v>147</v>
      </c>
      <c r="B155">
        <v>450</v>
      </c>
      <c r="C155">
        <v>-90</v>
      </c>
      <c r="D155">
        <v>3</v>
      </c>
      <c r="E155" t="s">
        <v>888</v>
      </c>
      <c r="F155" t="s">
        <v>899</v>
      </c>
    </row>
    <row r="156" spans="1:6" x14ac:dyDescent="0.25">
      <c r="A156" t="s">
        <v>147</v>
      </c>
      <c r="B156">
        <v>121</v>
      </c>
      <c r="C156">
        <v>-17</v>
      </c>
      <c r="D156">
        <v>3</v>
      </c>
      <c r="E156" t="s">
        <v>883</v>
      </c>
      <c r="F156" t="s">
        <v>901</v>
      </c>
    </row>
    <row r="157" spans="1:6" x14ac:dyDescent="0.25">
      <c r="A157" t="s">
        <v>149</v>
      </c>
      <c r="B157">
        <v>44</v>
      </c>
      <c r="C157">
        <v>-26</v>
      </c>
      <c r="D157">
        <v>3</v>
      </c>
      <c r="E157" t="s">
        <v>885</v>
      </c>
      <c r="F157" t="s">
        <v>887</v>
      </c>
    </row>
    <row r="158" spans="1:6" x14ac:dyDescent="0.25">
      <c r="A158" t="s">
        <v>149</v>
      </c>
      <c r="B158">
        <v>7</v>
      </c>
      <c r="C158">
        <v>-4</v>
      </c>
      <c r="D158">
        <v>3</v>
      </c>
      <c r="E158" t="s">
        <v>885</v>
      </c>
      <c r="F158" t="s">
        <v>887</v>
      </c>
    </row>
    <row r="159" spans="1:6" x14ac:dyDescent="0.25">
      <c r="A159" t="s">
        <v>149</v>
      </c>
      <c r="B159">
        <v>396</v>
      </c>
      <c r="C159">
        <v>-31</v>
      </c>
      <c r="D159">
        <v>9</v>
      </c>
      <c r="E159" t="s">
        <v>885</v>
      </c>
      <c r="F159" t="s">
        <v>891</v>
      </c>
    </row>
    <row r="160" spans="1:6" x14ac:dyDescent="0.25">
      <c r="A160" t="s">
        <v>149</v>
      </c>
      <c r="B160">
        <v>97</v>
      </c>
      <c r="C160">
        <v>-62</v>
      </c>
      <c r="D160">
        <v>2</v>
      </c>
      <c r="E160" t="s">
        <v>885</v>
      </c>
      <c r="F160" t="s">
        <v>892</v>
      </c>
    </row>
    <row r="161" spans="1:6" x14ac:dyDescent="0.25">
      <c r="A161" t="s">
        <v>149</v>
      </c>
      <c r="B161">
        <v>110</v>
      </c>
      <c r="C161">
        <v>-68</v>
      </c>
      <c r="D161">
        <v>4</v>
      </c>
      <c r="E161" t="s">
        <v>885</v>
      </c>
      <c r="F161" t="s">
        <v>891</v>
      </c>
    </row>
    <row r="162" spans="1:6" x14ac:dyDescent="0.25">
      <c r="A162" t="s">
        <v>149</v>
      </c>
      <c r="B162">
        <v>312</v>
      </c>
      <c r="C162">
        <v>-312</v>
      </c>
      <c r="D162">
        <v>7</v>
      </c>
      <c r="E162" t="s">
        <v>883</v>
      </c>
      <c r="F162" t="s">
        <v>893</v>
      </c>
    </row>
    <row r="163" spans="1:6" x14ac:dyDescent="0.25">
      <c r="A163" t="s">
        <v>149</v>
      </c>
      <c r="B163">
        <v>9</v>
      </c>
      <c r="C163">
        <v>-6</v>
      </c>
      <c r="D163">
        <v>2</v>
      </c>
      <c r="E163" t="s">
        <v>885</v>
      </c>
      <c r="F163" t="s">
        <v>902</v>
      </c>
    </row>
    <row r="164" spans="1:6" x14ac:dyDescent="0.25">
      <c r="A164" t="s">
        <v>149</v>
      </c>
      <c r="B164">
        <v>6</v>
      </c>
      <c r="C164">
        <v>-3</v>
      </c>
      <c r="D164">
        <v>1</v>
      </c>
      <c r="E164" t="s">
        <v>885</v>
      </c>
      <c r="F164" t="s">
        <v>887</v>
      </c>
    </row>
    <row r="165" spans="1:6" x14ac:dyDescent="0.25">
      <c r="A165" t="s">
        <v>149</v>
      </c>
      <c r="B165">
        <v>74</v>
      </c>
      <c r="C165">
        <v>23</v>
      </c>
      <c r="D165">
        <v>8</v>
      </c>
      <c r="E165" t="s">
        <v>885</v>
      </c>
      <c r="F165" t="s">
        <v>902</v>
      </c>
    </row>
    <row r="166" spans="1:6" x14ac:dyDescent="0.25">
      <c r="A166" t="s">
        <v>151</v>
      </c>
      <c r="B166">
        <v>534</v>
      </c>
      <c r="C166">
        <v>0</v>
      </c>
      <c r="D166">
        <v>3</v>
      </c>
      <c r="E166" t="s">
        <v>885</v>
      </c>
      <c r="F166" t="s">
        <v>891</v>
      </c>
    </row>
    <row r="167" spans="1:6" x14ac:dyDescent="0.25">
      <c r="A167" t="s">
        <v>151</v>
      </c>
      <c r="B167">
        <v>30</v>
      </c>
      <c r="C167">
        <v>-5</v>
      </c>
      <c r="D167">
        <v>5</v>
      </c>
      <c r="E167" t="s">
        <v>885</v>
      </c>
      <c r="F167" t="s">
        <v>886</v>
      </c>
    </row>
    <row r="168" spans="1:6" x14ac:dyDescent="0.25">
      <c r="A168" t="s">
        <v>151</v>
      </c>
      <c r="B168">
        <v>61</v>
      </c>
      <c r="C168">
        <v>-23</v>
      </c>
      <c r="D168">
        <v>2</v>
      </c>
      <c r="E168" t="s">
        <v>885</v>
      </c>
      <c r="F168" t="s">
        <v>891</v>
      </c>
    </row>
    <row r="169" spans="1:6" x14ac:dyDescent="0.25">
      <c r="A169" t="s">
        <v>151</v>
      </c>
      <c r="B169">
        <v>6</v>
      </c>
      <c r="C169">
        <v>3</v>
      </c>
      <c r="D169">
        <v>1</v>
      </c>
      <c r="E169" t="s">
        <v>885</v>
      </c>
      <c r="F169" t="s">
        <v>887</v>
      </c>
    </row>
    <row r="170" spans="1:6" x14ac:dyDescent="0.25">
      <c r="A170" t="s">
        <v>151</v>
      </c>
      <c r="B170">
        <v>24</v>
      </c>
      <c r="C170">
        <v>-1</v>
      </c>
      <c r="D170">
        <v>2</v>
      </c>
      <c r="E170" t="s">
        <v>885</v>
      </c>
      <c r="F170" t="s">
        <v>887</v>
      </c>
    </row>
    <row r="171" spans="1:6" x14ac:dyDescent="0.25">
      <c r="A171" t="s">
        <v>151</v>
      </c>
      <c r="B171">
        <v>56</v>
      </c>
      <c r="C171">
        <v>18</v>
      </c>
      <c r="D171">
        <v>2</v>
      </c>
      <c r="E171" t="s">
        <v>885</v>
      </c>
      <c r="F171" t="s">
        <v>887</v>
      </c>
    </row>
    <row r="172" spans="1:6" x14ac:dyDescent="0.25">
      <c r="A172" t="s">
        <v>151</v>
      </c>
      <c r="B172">
        <v>406</v>
      </c>
      <c r="C172">
        <v>126</v>
      </c>
      <c r="D172">
        <v>2</v>
      </c>
      <c r="E172" t="s">
        <v>885</v>
      </c>
      <c r="F172" t="s">
        <v>891</v>
      </c>
    </row>
    <row r="173" spans="1:6" x14ac:dyDescent="0.25">
      <c r="A173" t="s">
        <v>151</v>
      </c>
      <c r="B173">
        <v>624</v>
      </c>
      <c r="C173">
        <v>37</v>
      </c>
      <c r="D173">
        <v>2</v>
      </c>
      <c r="E173" t="s">
        <v>888</v>
      </c>
      <c r="F173" t="s">
        <v>889</v>
      </c>
    </row>
    <row r="174" spans="1:6" x14ac:dyDescent="0.25">
      <c r="A174" t="s">
        <v>151</v>
      </c>
      <c r="B174">
        <v>101</v>
      </c>
      <c r="C174">
        <v>18</v>
      </c>
      <c r="D174">
        <v>9</v>
      </c>
      <c r="E174" t="s">
        <v>885</v>
      </c>
      <c r="F174" t="s">
        <v>902</v>
      </c>
    </row>
    <row r="175" spans="1:6" x14ac:dyDescent="0.25">
      <c r="A175" t="s">
        <v>151</v>
      </c>
      <c r="B175">
        <v>1389</v>
      </c>
      <c r="C175">
        <v>680</v>
      </c>
      <c r="D175">
        <v>7</v>
      </c>
      <c r="E175" t="s">
        <v>885</v>
      </c>
      <c r="F175" t="s">
        <v>891</v>
      </c>
    </row>
    <row r="176" spans="1:6" x14ac:dyDescent="0.25">
      <c r="A176" t="s">
        <v>151</v>
      </c>
      <c r="B176">
        <v>651</v>
      </c>
      <c r="C176">
        <v>169</v>
      </c>
      <c r="D176">
        <v>5</v>
      </c>
      <c r="E176" t="s">
        <v>888</v>
      </c>
      <c r="F176" t="s">
        <v>899</v>
      </c>
    </row>
    <row r="177" spans="1:6" x14ac:dyDescent="0.25">
      <c r="A177" t="s">
        <v>151</v>
      </c>
      <c r="B177">
        <v>13</v>
      </c>
      <c r="C177">
        <v>-1</v>
      </c>
      <c r="D177">
        <v>3</v>
      </c>
      <c r="E177" t="s">
        <v>885</v>
      </c>
      <c r="F177" t="s">
        <v>887</v>
      </c>
    </row>
    <row r="178" spans="1:6" x14ac:dyDescent="0.25">
      <c r="A178" t="s">
        <v>153</v>
      </c>
      <c r="B178">
        <v>1021</v>
      </c>
      <c r="C178">
        <v>-48</v>
      </c>
      <c r="D178">
        <v>4</v>
      </c>
      <c r="E178" t="s">
        <v>888</v>
      </c>
      <c r="F178" t="s">
        <v>889</v>
      </c>
    </row>
    <row r="179" spans="1:6" x14ac:dyDescent="0.25">
      <c r="A179" t="s">
        <v>153</v>
      </c>
      <c r="B179">
        <v>32</v>
      </c>
      <c r="C179">
        <v>-22</v>
      </c>
      <c r="D179">
        <v>5</v>
      </c>
      <c r="E179" t="s">
        <v>885</v>
      </c>
      <c r="F179" t="s">
        <v>891</v>
      </c>
    </row>
    <row r="180" spans="1:6" x14ac:dyDescent="0.25">
      <c r="A180" t="s">
        <v>153</v>
      </c>
      <c r="B180">
        <v>332</v>
      </c>
      <c r="C180">
        <v>-43</v>
      </c>
      <c r="D180">
        <v>6</v>
      </c>
      <c r="E180" t="s">
        <v>888</v>
      </c>
      <c r="F180" t="s">
        <v>890</v>
      </c>
    </row>
    <row r="181" spans="1:6" x14ac:dyDescent="0.25">
      <c r="A181" t="s">
        <v>153</v>
      </c>
      <c r="B181">
        <v>288</v>
      </c>
      <c r="C181">
        <v>-180</v>
      </c>
      <c r="D181">
        <v>4</v>
      </c>
      <c r="E181" t="s">
        <v>883</v>
      </c>
      <c r="F181" t="s">
        <v>893</v>
      </c>
    </row>
    <row r="182" spans="1:6" x14ac:dyDescent="0.25">
      <c r="A182" t="s">
        <v>155</v>
      </c>
      <c r="B182">
        <v>27</v>
      </c>
      <c r="C182">
        <v>9</v>
      </c>
      <c r="D182">
        <v>2</v>
      </c>
      <c r="E182" t="s">
        <v>885</v>
      </c>
      <c r="F182" t="s">
        <v>895</v>
      </c>
    </row>
    <row r="183" spans="1:6" x14ac:dyDescent="0.25">
      <c r="A183" t="s">
        <v>157</v>
      </c>
      <c r="B183">
        <v>148</v>
      </c>
      <c r="C183">
        <v>72</v>
      </c>
      <c r="D183">
        <v>7</v>
      </c>
      <c r="E183" t="s">
        <v>885</v>
      </c>
      <c r="F183" t="s">
        <v>895</v>
      </c>
    </row>
    <row r="184" spans="1:6" x14ac:dyDescent="0.25">
      <c r="A184" t="s">
        <v>159</v>
      </c>
      <c r="B184">
        <v>245</v>
      </c>
      <c r="C184">
        <v>-78</v>
      </c>
      <c r="D184">
        <v>3</v>
      </c>
      <c r="E184" t="s">
        <v>885</v>
      </c>
      <c r="F184" t="s">
        <v>891</v>
      </c>
    </row>
    <row r="185" spans="1:6" x14ac:dyDescent="0.25">
      <c r="A185" t="s">
        <v>161</v>
      </c>
      <c r="B185">
        <v>19</v>
      </c>
      <c r="C185">
        <v>-15</v>
      </c>
      <c r="D185">
        <v>3</v>
      </c>
      <c r="E185" t="s">
        <v>885</v>
      </c>
      <c r="F185" t="s">
        <v>887</v>
      </c>
    </row>
    <row r="186" spans="1:6" x14ac:dyDescent="0.25">
      <c r="A186" t="s">
        <v>161</v>
      </c>
      <c r="B186">
        <v>224</v>
      </c>
      <c r="C186">
        <v>-81</v>
      </c>
      <c r="D186">
        <v>3</v>
      </c>
      <c r="E186" t="s">
        <v>883</v>
      </c>
      <c r="F186" t="s">
        <v>893</v>
      </c>
    </row>
    <row r="187" spans="1:6" x14ac:dyDescent="0.25">
      <c r="A187" t="s">
        <v>161</v>
      </c>
      <c r="B187">
        <v>58</v>
      </c>
      <c r="C187">
        <v>-42</v>
      </c>
      <c r="D187">
        <v>2</v>
      </c>
      <c r="E187" t="s">
        <v>883</v>
      </c>
      <c r="F187" t="s">
        <v>893</v>
      </c>
    </row>
    <row r="188" spans="1:6" x14ac:dyDescent="0.25">
      <c r="A188" t="s">
        <v>161</v>
      </c>
      <c r="B188">
        <v>145</v>
      </c>
      <c r="C188">
        <v>-104</v>
      </c>
      <c r="D188">
        <v>5</v>
      </c>
      <c r="E188" t="s">
        <v>883</v>
      </c>
      <c r="F188" t="s">
        <v>893</v>
      </c>
    </row>
    <row r="189" spans="1:6" x14ac:dyDescent="0.25">
      <c r="A189" t="s">
        <v>161</v>
      </c>
      <c r="B189">
        <v>55</v>
      </c>
      <c r="C189">
        <v>-33</v>
      </c>
      <c r="D189">
        <v>2</v>
      </c>
      <c r="E189" t="s">
        <v>883</v>
      </c>
      <c r="F189" t="s">
        <v>893</v>
      </c>
    </row>
    <row r="190" spans="1:6" x14ac:dyDescent="0.25">
      <c r="A190" t="s">
        <v>161</v>
      </c>
      <c r="B190">
        <v>7</v>
      </c>
      <c r="C190">
        <v>-1</v>
      </c>
      <c r="D190">
        <v>2</v>
      </c>
      <c r="E190" t="s">
        <v>885</v>
      </c>
      <c r="F190" t="s">
        <v>887</v>
      </c>
    </row>
    <row r="191" spans="1:6" x14ac:dyDescent="0.25">
      <c r="A191" t="s">
        <v>163</v>
      </c>
      <c r="B191">
        <v>24</v>
      </c>
      <c r="C191">
        <v>-2</v>
      </c>
      <c r="D191">
        <v>2</v>
      </c>
      <c r="E191" t="s">
        <v>885</v>
      </c>
      <c r="F191" t="s">
        <v>895</v>
      </c>
    </row>
    <row r="192" spans="1:6" x14ac:dyDescent="0.25">
      <c r="A192" t="s">
        <v>163</v>
      </c>
      <c r="B192">
        <v>86</v>
      </c>
      <c r="C192">
        <v>-21</v>
      </c>
      <c r="D192">
        <v>1</v>
      </c>
      <c r="E192" t="s">
        <v>888</v>
      </c>
      <c r="F192" t="s">
        <v>889</v>
      </c>
    </row>
    <row r="193" spans="1:6" x14ac:dyDescent="0.25">
      <c r="A193" t="s">
        <v>163</v>
      </c>
      <c r="B193">
        <v>385</v>
      </c>
      <c r="C193">
        <v>-77</v>
      </c>
      <c r="D193">
        <v>11</v>
      </c>
      <c r="E193" t="s">
        <v>883</v>
      </c>
      <c r="F193" t="s">
        <v>901</v>
      </c>
    </row>
    <row r="194" spans="1:6" x14ac:dyDescent="0.25">
      <c r="A194" t="s">
        <v>165</v>
      </c>
      <c r="B194">
        <v>294</v>
      </c>
      <c r="C194">
        <v>138</v>
      </c>
      <c r="D194">
        <v>2</v>
      </c>
      <c r="E194" t="s">
        <v>888</v>
      </c>
      <c r="F194" t="s">
        <v>899</v>
      </c>
    </row>
    <row r="195" spans="1:6" x14ac:dyDescent="0.25">
      <c r="A195" t="s">
        <v>167</v>
      </c>
      <c r="B195">
        <v>444</v>
      </c>
      <c r="C195">
        <v>-200</v>
      </c>
      <c r="D195">
        <v>4</v>
      </c>
      <c r="E195" t="s">
        <v>888</v>
      </c>
      <c r="F195" t="s">
        <v>890</v>
      </c>
    </row>
    <row r="196" spans="1:6" x14ac:dyDescent="0.25">
      <c r="A196" t="s">
        <v>167</v>
      </c>
      <c r="B196">
        <v>785</v>
      </c>
      <c r="C196">
        <v>52</v>
      </c>
      <c r="D196">
        <v>2</v>
      </c>
      <c r="E196" t="s">
        <v>888</v>
      </c>
      <c r="F196" t="s">
        <v>890</v>
      </c>
    </row>
    <row r="197" spans="1:6" x14ac:dyDescent="0.25">
      <c r="A197" t="s">
        <v>167</v>
      </c>
      <c r="B197">
        <v>258</v>
      </c>
      <c r="C197">
        <v>-27</v>
      </c>
      <c r="D197">
        <v>2</v>
      </c>
      <c r="E197" t="s">
        <v>888</v>
      </c>
      <c r="F197" t="s">
        <v>890</v>
      </c>
    </row>
    <row r="198" spans="1:6" x14ac:dyDescent="0.25">
      <c r="A198" t="s">
        <v>167</v>
      </c>
      <c r="B198">
        <v>83</v>
      </c>
      <c r="C198">
        <v>-48</v>
      </c>
      <c r="D198">
        <v>1</v>
      </c>
      <c r="E198" t="s">
        <v>883</v>
      </c>
      <c r="F198" t="s">
        <v>884</v>
      </c>
    </row>
    <row r="199" spans="1:6" x14ac:dyDescent="0.25">
      <c r="A199" t="s">
        <v>169</v>
      </c>
      <c r="B199">
        <v>166</v>
      </c>
      <c r="C199">
        <v>-113</v>
      </c>
      <c r="D199">
        <v>4</v>
      </c>
      <c r="E199" t="s">
        <v>888</v>
      </c>
      <c r="F199" t="s">
        <v>900</v>
      </c>
    </row>
    <row r="200" spans="1:6" x14ac:dyDescent="0.25">
      <c r="A200" t="s">
        <v>171</v>
      </c>
      <c r="B200">
        <v>934</v>
      </c>
      <c r="C200">
        <v>-916</v>
      </c>
      <c r="D200">
        <v>7</v>
      </c>
      <c r="E200" t="s">
        <v>888</v>
      </c>
      <c r="F200" t="s">
        <v>889</v>
      </c>
    </row>
    <row r="201" spans="1:6" x14ac:dyDescent="0.25">
      <c r="A201" t="s">
        <v>173</v>
      </c>
      <c r="B201">
        <v>11</v>
      </c>
      <c r="C201">
        <v>-2</v>
      </c>
      <c r="D201">
        <v>4</v>
      </c>
      <c r="E201" t="s">
        <v>885</v>
      </c>
      <c r="F201" t="s">
        <v>887</v>
      </c>
    </row>
    <row r="202" spans="1:6" x14ac:dyDescent="0.25">
      <c r="A202" t="s">
        <v>173</v>
      </c>
      <c r="B202">
        <v>41</v>
      </c>
      <c r="C202">
        <v>6</v>
      </c>
      <c r="D202">
        <v>5</v>
      </c>
      <c r="E202" t="s">
        <v>885</v>
      </c>
      <c r="F202" t="s">
        <v>902</v>
      </c>
    </row>
    <row r="203" spans="1:6" x14ac:dyDescent="0.25">
      <c r="A203" t="s">
        <v>173</v>
      </c>
      <c r="B203">
        <v>344</v>
      </c>
      <c r="C203">
        <v>-34</v>
      </c>
      <c r="D203">
        <v>3</v>
      </c>
      <c r="E203" t="s">
        <v>885</v>
      </c>
      <c r="F203" t="s">
        <v>891</v>
      </c>
    </row>
    <row r="204" spans="1:6" x14ac:dyDescent="0.25">
      <c r="A204" t="s">
        <v>173</v>
      </c>
      <c r="B204">
        <v>1030</v>
      </c>
      <c r="C204">
        <v>206</v>
      </c>
      <c r="D204">
        <v>8</v>
      </c>
      <c r="E204" t="s">
        <v>888</v>
      </c>
      <c r="F204" t="s">
        <v>899</v>
      </c>
    </row>
    <row r="205" spans="1:6" x14ac:dyDescent="0.25">
      <c r="A205" t="s">
        <v>173</v>
      </c>
      <c r="B205">
        <v>516</v>
      </c>
      <c r="C205">
        <v>69</v>
      </c>
      <c r="D205">
        <v>4</v>
      </c>
      <c r="E205" t="s">
        <v>883</v>
      </c>
      <c r="F205" t="s">
        <v>884</v>
      </c>
    </row>
    <row r="206" spans="1:6" x14ac:dyDescent="0.25">
      <c r="A206" t="s">
        <v>175</v>
      </c>
      <c r="B206">
        <v>123</v>
      </c>
      <c r="C206">
        <v>17</v>
      </c>
      <c r="D206">
        <v>3</v>
      </c>
      <c r="E206" t="s">
        <v>883</v>
      </c>
      <c r="F206" t="s">
        <v>901</v>
      </c>
    </row>
    <row r="207" spans="1:6" x14ac:dyDescent="0.25">
      <c r="A207" t="s">
        <v>177</v>
      </c>
      <c r="B207">
        <v>610</v>
      </c>
      <c r="C207">
        <v>-66</v>
      </c>
      <c r="D207">
        <v>2</v>
      </c>
      <c r="E207" t="s">
        <v>883</v>
      </c>
      <c r="F207" t="s">
        <v>898</v>
      </c>
    </row>
    <row r="208" spans="1:6" x14ac:dyDescent="0.25">
      <c r="A208" t="s">
        <v>179</v>
      </c>
      <c r="B208">
        <v>74</v>
      </c>
      <c r="C208">
        <v>29</v>
      </c>
      <c r="D208">
        <v>3</v>
      </c>
      <c r="E208" t="s">
        <v>885</v>
      </c>
      <c r="F208" t="s">
        <v>886</v>
      </c>
    </row>
    <row r="209" spans="1:6" x14ac:dyDescent="0.25">
      <c r="A209" t="s">
        <v>179</v>
      </c>
      <c r="B209">
        <v>24</v>
      </c>
      <c r="C209">
        <v>1</v>
      </c>
      <c r="D209">
        <v>2</v>
      </c>
      <c r="E209" t="s">
        <v>885</v>
      </c>
      <c r="F209" t="s">
        <v>887</v>
      </c>
    </row>
    <row r="210" spans="1:6" x14ac:dyDescent="0.25">
      <c r="A210" t="s">
        <v>179</v>
      </c>
      <c r="B210">
        <v>14</v>
      </c>
      <c r="C210">
        <v>2</v>
      </c>
      <c r="D210">
        <v>1</v>
      </c>
      <c r="E210" t="s">
        <v>885</v>
      </c>
      <c r="F210" t="s">
        <v>887</v>
      </c>
    </row>
    <row r="211" spans="1:6" x14ac:dyDescent="0.25">
      <c r="A211" t="s">
        <v>179</v>
      </c>
      <c r="B211">
        <v>656</v>
      </c>
      <c r="C211">
        <v>-36</v>
      </c>
      <c r="D211">
        <v>2</v>
      </c>
      <c r="E211" t="s">
        <v>883</v>
      </c>
      <c r="F211" t="s">
        <v>884</v>
      </c>
    </row>
    <row r="212" spans="1:6" x14ac:dyDescent="0.25">
      <c r="A212" t="s">
        <v>181</v>
      </c>
      <c r="B212">
        <v>832</v>
      </c>
      <c r="C212">
        <v>0</v>
      </c>
      <c r="D212">
        <v>3</v>
      </c>
      <c r="E212" t="s">
        <v>885</v>
      </c>
      <c r="F212" t="s">
        <v>892</v>
      </c>
    </row>
    <row r="213" spans="1:6" x14ac:dyDescent="0.25">
      <c r="A213" t="s">
        <v>183</v>
      </c>
      <c r="B213">
        <v>27</v>
      </c>
      <c r="C213">
        <v>-15</v>
      </c>
      <c r="D213">
        <v>1</v>
      </c>
      <c r="E213" t="s">
        <v>885</v>
      </c>
      <c r="F213" t="s">
        <v>886</v>
      </c>
    </row>
    <row r="214" spans="1:6" x14ac:dyDescent="0.25">
      <c r="A214" t="s">
        <v>185</v>
      </c>
      <c r="B214">
        <v>143</v>
      </c>
      <c r="C214">
        <v>-124</v>
      </c>
      <c r="D214">
        <v>5</v>
      </c>
      <c r="E214" t="s">
        <v>885</v>
      </c>
      <c r="F214" t="s">
        <v>891</v>
      </c>
    </row>
    <row r="215" spans="1:6" x14ac:dyDescent="0.25">
      <c r="A215" t="s">
        <v>185</v>
      </c>
      <c r="B215">
        <v>44</v>
      </c>
      <c r="C215">
        <v>-17</v>
      </c>
      <c r="D215">
        <v>5</v>
      </c>
      <c r="E215" t="s">
        <v>885</v>
      </c>
      <c r="F215" t="s">
        <v>891</v>
      </c>
    </row>
    <row r="216" spans="1:6" x14ac:dyDescent="0.25">
      <c r="A216" t="s">
        <v>185</v>
      </c>
      <c r="B216">
        <v>45</v>
      </c>
      <c r="C216">
        <v>-2</v>
      </c>
      <c r="D216">
        <v>4</v>
      </c>
      <c r="E216" t="s">
        <v>885</v>
      </c>
      <c r="F216" t="s">
        <v>896</v>
      </c>
    </row>
    <row r="217" spans="1:6" x14ac:dyDescent="0.25">
      <c r="A217" t="s">
        <v>185</v>
      </c>
      <c r="B217">
        <v>16</v>
      </c>
      <c r="C217">
        <v>-1</v>
      </c>
      <c r="D217">
        <v>1</v>
      </c>
      <c r="E217" t="s">
        <v>885</v>
      </c>
      <c r="F217" t="s">
        <v>891</v>
      </c>
    </row>
    <row r="218" spans="1:6" x14ac:dyDescent="0.25">
      <c r="A218" t="s">
        <v>185</v>
      </c>
      <c r="B218">
        <v>37</v>
      </c>
      <c r="C218">
        <v>-5</v>
      </c>
      <c r="D218">
        <v>3</v>
      </c>
      <c r="E218" t="s">
        <v>885</v>
      </c>
      <c r="F218" t="s">
        <v>895</v>
      </c>
    </row>
    <row r="219" spans="1:6" x14ac:dyDescent="0.25">
      <c r="A219" t="s">
        <v>187</v>
      </c>
      <c r="B219">
        <v>17</v>
      </c>
      <c r="C219">
        <v>-12</v>
      </c>
      <c r="D219">
        <v>5</v>
      </c>
      <c r="E219" t="s">
        <v>885</v>
      </c>
      <c r="F219" t="s">
        <v>902</v>
      </c>
    </row>
    <row r="220" spans="1:6" x14ac:dyDescent="0.25">
      <c r="A220" t="s">
        <v>189</v>
      </c>
      <c r="B220">
        <v>929</v>
      </c>
      <c r="C220">
        <v>-93</v>
      </c>
      <c r="D220">
        <v>9</v>
      </c>
      <c r="E220" t="s">
        <v>885</v>
      </c>
      <c r="F220" t="s">
        <v>891</v>
      </c>
    </row>
    <row r="221" spans="1:6" x14ac:dyDescent="0.25">
      <c r="A221" t="s">
        <v>191</v>
      </c>
      <c r="B221">
        <v>342</v>
      </c>
      <c r="C221">
        <v>-103</v>
      </c>
      <c r="D221">
        <v>4</v>
      </c>
      <c r="E221" t="s">
        <v>888</v>
      </c>
      <c r="F221" t="s">
        <v>889</v>
      </c>
    </row>
    <row r="222" spans="1:6" x14ac:dyDescent="0.25">
      <c r="A222" t="s">
        <v>191</v>
      </c>
      <c r="B222">
        <v>1263</v>
      </c>
      <c r="C222">
        <v>-56</v>
      </c>
      <c r="D222">
        <v>5</v>
      </c>
      <c r="E222" t="s">
        <v>885</v>
      </c>
      <c r="F222" t="s">
        <v>892</v>
      </c>
    </row>
    <row r="223" spans="1:6" x14ac:dyDescent="0.25">
      <c r="A223" t="s">
        <v>191</v>
      </c>
      <c r="B223">
        <v>674</v>
      </c>
      <c r="C223">
        <v>-187</v>
      </c>
      <c r="D223">
        <v>2</v>
      </c>
      <c r="E223" t="s">
        <v>883</v>
      </c>
      <c r="F223" t="s">
        <v>898</v>
      </c>
    </row>
    <row r="224" spans="1:6" x14ac:dyDescent="0.25">
      <c r="A224" t="s">
        <v>191</v>
      </c>
      <c r="B224">
        <v>32</v>
      </c>
      <c r="C224">
        <v>6</v>
      </c>
      <c r="D224">
        <v>3</v>
      </c>
      <c r="E224" t="s">
        <v>885</v>
      </c>
      <c r="F224" t="s">
        <v>896</v>
      </c>
    </row>
    <row r="225" spans="1:6" x14ac:dyDescent="0.25">
      <c r="A225" t="s">
        <v>191</v>
      </c>
      <c r="B225">
        <v>79</v>
      </c>
      <c r="C225">
        <v>36</v>
      </c>
      <c r="D225">
        <v>4</v>
      </c>
      <c r="E225" t="s">
        <v>885</v>
      </c>
      <c r="F225" t="s">
        <v>896</v>
      </c>
    </row>
    <row r="226" spans="1:6" x14ac:dyDescent="0.25">
      <c r="A226" t="s">
        <v>193</v>
      </c>
      <c r="B226">
        <v>20</v>
      </c>
      <c r="C226">
        <v>-2</v>
      </c>
      <c r="D226">
        <v>1</v>
      </c>
      <c r="E226" t="s">
        <v>888</v>
      </c>
      <c r="F226" t="s">
        <v>900</v>
      </c>
    </row>
    <row r="227" spans="1:6" x14ac:dyDescent="0.25">
      <c r="A227" t="s">
        <v>195</v>
      </c>
      <c r="B227">
        <v>64</v>
      </c>
      <c r="C227">
        <v>-7</v>
      </c>
      <c r="D227">
        <v>3</v>
      </c>
      <c r="E227" t="s">
        <v>885</v>
      </c>
      <c r="F227" t="s">
        <v>891</v>
      </c>
    </row>
    <row r="228" spans="1:6" x14ac:dyDescent="0.25">
      <c r="A228" t="s">
        <v>195</v>
      </c>
      <c r="B228">
        <v>7</v>
      </c>
      <c r="C228">
        <v>-3</v>
      </c>
      <c r="D228">
        <v>2</v>
      </c>
      <c r="E228" t="s">
        <v>885</v>
      </c>
      <c r="F228" t="s">
        <v>902</v>
      </c>
    </row>
    <row r="229" spans="1:6" x14ac:dyDescent="0.25">
      <c r="A229" t="s">
        <v>195</v>
      </c>
      <c r="B229">
        <v>327</v>
      </c>
      <c r="C229">
        <v>-39</v>
      </c>
      <c r="D229">
        <v>1</v>
      </c>
      <c r="E229" t="s">
        <v>888</v>
      </c>
      <c r="F229" t="s">
        <v>890</v>
      </c>
    </row>
    <row r="230" spans="1:6" x14ac:dyDescent="0.25">
      <c r="A230" t="s">
        <v>195</v>
      </c>
      <c r="B230">
        <v>27</v>
      </c>
      <c r="C230">
        <v>-25</v>
      </c>
      <c r="D230">
        <v>2</v>
      </c>
      <c r="E230" t="s">
        <v>885</v>
      </c>
      <c r="F230" t="s">
        <v>896</v>
      </c>
    </row>
    <row r="231" spans="1:6" x14ac:dyDescent="0.25">
      <c r="A231" t="s">
        <v>197</v>
      </c>
      <c r="B231">
        <v>76</v>
      </c>
      <c r="C231">
        <v>-50</v>
      </c>
      <c r="D231">
        <v>1</v>
      </c>
      <c r="E231" t="s">
        <v>885</v>
      </c>
      <c r="F231" t="s">
        <v>891</v>
      </c>
    </row>
    <row r="232" spans="1:6" x14ac:dyDescent="0.25">
      <c r="A232" t="s">
        <v>199</v>
      </c>
      <c r="B232">
        <v>73</v>
      </c>
      <c r="C232">
        <v>-25</v>
      </c>
      <c r="D232">
        <v>3</v>
      </c>
      <c r="E232" t="s">
        <v>885</v>
      </c>
      <c r="F232" t="s">
        <v>891</v>
      </c>
    </row>
    <row r="233" spans="1:6" x14ac:dyDescent="0.25">
      <c r="A233" t="s">
        <v>201</v>
      </c>
      <c r="B233">
        <v>68</v>
      </c>
      <c r="C233">
        <v>-27</v>
      </c>
      <c r="D233">
        <v>3</v>
      </c>
      <c r="E233" t="s">
        <v>888</v>
      </c>
      <c r="F233" t="s">
        <v>900</v>
      </c>
    </row>
    <row r="234" spans="1:6" x14ac:dyDescent="0.25">
      <c r="A234" t="s">
        <v>201</v>
      </c>
      <c r="B234">
        <v>523</v>
      </c>
      <c r="C234">
        <v>204</v>
      </c>
      <c r="D234">
        <v>7</v>
      </c>
      <c r="E234" t="s">
        <v>885</v>
      </c>
      <c r="F234" t="s">
        <v>892</v>
      </c>
    </row>
    <row r="235" spans="1:6" x14ac:dyDescent="0.25">
      <c r="A235" t="s">
        <v>201</v>
      </c>
      <c r="B235">
        <v>44</v>
      </c>
      <c r="C235">
        <v>-3</v>
      </c>
      <c r="D235">
        <v>1</v>
      </c>
      <c r="E235" t="s">
        <v>885</v>
      </c>
      <c r="F235" t="s">
        <v>891</v>
      </c>
    </row>
    <row r="236" spans="1:6" x14ac:dyDescent="0.25">
      <c r="A236" t="s">
        <v>201</v>
      </c>
      <c r="B236">
        <v>243</v>
      </c>
      <c r="C236">
        <v>-14</v>
      </c>
      <c r="D236">
        <v>2</v>
      </c>
      <c r="E236" t="s">
        <v>883</v>
      </c>
      <c r="F236" t="s">
        <v>893</v>
      </c>
    </row>
    <row r="237" spans="1:6" x14ac:dyDescent="0.25">
      <c r="A237" t="s">
        <v>201</v>
      </c>
      <c r="B237">
        <v>1625</v>
      </c>
      <c r="C237">
        <v>-77</v>
      </c>
      <c r="D237">
        <v>3</v>
      </c>
      <c r="E237" t="s">
        <v>888</v>
      </c>
      <c r="F237" t="s">
        <v>890</v>
      </c>
    </row>
    <row r="238" spans="1:6" x14ac:dyDescent="0.25">
      <c r="A238" t="s">
        <v>201</v>
      </c>
      <c r="B238">
        <v>1096</v>
      </c>
      <c r="C238">
        <v>-658</v>
      </c>
      <c r="D238">
        <v>7</v>
      </c>
      <c r="E238" t="s">
        <v>888</v>
      </c>
      <c r="F238" t="s">
        <v>889</v>
      </c>
    </row>
    <row r="239" spans="1:6" x14ac:dyDescent="0.25">
      <c r="A239" t="s">
        <v>203</v>
      </c>
      <c r="B239">
        <v>545</v>
      </c>
      <c r="C239">
        <v>-73</v>
      </c>
      <c r="D239">
        <v>11</v>
      </c>
      <c r="E239" t="s">
        <v>888</v>
      </c>
      <c r="F239" t="s">
        <v>890</v>
      </c>
    </row>
    <row r="240" spans="1:6" x14ac:dyDescent="0.25">
      <c r="A240" t="s">
        <v>205</v>
      </c>
      <c r="B240">
        <v>433</v>
      </c>
      <c r="C240">
        <v>26</v>
      </c>
      <c r="D240">
        <v>3</v>
      </c>
      <c r="E240" t="s">
        <v>888</v>
      </c>
      <c r="F240" t="s">
        <v>899</v>
      </c>
    </row>
    <row r="241" spans="1:6" x14ac:dyDescent="0.25">
      <c r="A241" t="s">
        <v>205</v>
      </c>
      <c r="B241">
        <v>245</v>
      </c>
      <c r="C241">
        <v>-3</v>
      </c>
      <c r="D241">
        <v>4</v>
      </c>
      <c r="E241" t="s">
        <v>888</v>
      </c>
      <c r="F241" t="s">
        <v>890</v>
      </c>
    </row>
    <row r="242" spans="1:6" x14ac:dyDescent="0.25">
      <c r="A242" t="s">
        <v>205</v>
      </c>
      <c r="B242">
        <v>155</v>
      </c>
      <c r="C242">
        <v>56</v>
      </c>
      <c r="D242">
        <v>3</v>
      </c>
      <c r="E242" t="s">
        <v>883</v>
      </c>
      <c r="F242" t="s">
        <v>901</v>
      </c>
    </row>
    <row r="243" spans="1:6" x14ac:dyDescent="0.25">
      <c r="A243" t="s">
        <v>205</v>
      </c>
      <c r="B243">
        <v>148</v>
      </c>
      <c r="C243">
        <v>52</v>
      </c>
      <c r="D243">
        <v>5</v>
      </c>
      <c r="E243" t="s">
        <v>885</v>
      </c>
      <c r="F243" t="s">
        <v>886</v>
      </c>
    </row>
    <row r="244" spans="1:6" x14ac:dyDescent="0.25">
      <c r="A244" t="s">
        <v>205</v>
      </c>
      <c r="B244">
        <v>86</v>
      </c>
      <c r="C244">
        <v>-55</v>
      </c>
      <c r="D244">
        <v>6</v>
      </c>
      <c r="E244" t="s">
        <v>885</v>
      </c>
      <c r="F244" t="s">
        <v>891</v>
      </c>
    </row>
    <row r="245" spans="1:6" x14ac:dyDescent="0.25">
      <c r="A245" t="s">
        <v>206</v>
      </c>
      <c r="B245">
        <v>134</v>
      </c>
      <c r="C245">
        <v>42</v>
      </c>
      <c r="D245">
        <v>2</v>
      </c>
      <c r="E245" t="s">
        <v>883</v>
      </c>
      <c r="F245" t="s">
        <v>893</v>
      </c>
    </row>
    <row r="246" spans="1:6" x14ac:dyDescent="0.25">
      <c r="A246" t="s">
        <v>208</v>
      </c>
      <c r="B246">
        <v>51</v>
      </c>
      <c r="C246">
        <v>7</v>
      </c>
      <c r="D246">
        <v>2</v>
      </c>
      <c r="E246" t="s">
        <v>883</v>
      </c>
      <c r="F246" t="s">
        <v>901</v>
      </c>
    </row>
    <row r="247" spans="1:6" x14ac:dyDescent="0.25">
      <c r="A247" t="s">
        <v>208</v>
      </c>
      <c r="B247">
        <v>529</v>
      </c>
      <c r="C247">
        <v>137</v>
      </c>
      <c r="D247">
        <v>3</v>
      </c>
      <c r="E247" t="s">
        <v>888</v>
      </c>
      <c r="F247" t="s">
        <v>890</v>
      </c>
    </row>
    <row r="248" spans="1:6" x14ac:dyDescent="0.25">
      <c r="A248" t="s">
        <v>208</v>
      </c>
      <c r="B248">
        <v>264</v>
      </c>
      <c r="C248">
        <v>-30</v>
      </c>
      <c r="D248">
        <v>3</v>
      </c>
      <c r="E248" t="s">
        <v>883</v>
      </c>
      <c r="F248" t="s">
        <v>901</v>
      </c>
    </row>
    <row r="249" spans="1:6" x14ac:dyDescent="0.25">
      <c r="A249" t="s">
        <v>208</v>
      </c>
      <c r="B249">
        <v>45</v>
      </c>
      <c r="C249">
        <v>-2</v>
      </c>
      <c r="D249">
        <v>4</v>
      </c>
      <c r="E249" t="s">
        <v>885</v>
      </c>
      <c r="F249" t="s">
        <v>896</v>
      </c>
    </row>
    <row r="250" spans="1:6" x14ac:dyDescent="0.25">
      <c r="A250" t="s">
        <v>210</v>
      </c>
      <c r="B250">
        <v>381</v>
      </c>
      <c r="C250">
        <v>-13</v>
      </c>
      <c r="D250">
        <v>2</v>
      </c>
      <c r="E250" t="s">
        <v>885</v>
      </c>
      <c r="F250" t="s">
        <v>891</v>
      </c>
    </row>
    <row r="251" spans="1:6" x14ac:dyDescent="0.25">
      <c r="A251" t="s">
        <v>210</v>
      </c>
      <c r="B251">
        <v>332</v>
      </c>
      <c r="C251">
        <v>-503</v>
      </c>
      <c r="D251">
        <v>3</v>
      </c>
      <c r="E251" t="s">
        <v>888</v>
      </c>
      <c r="F251" t="s">
        <v>899</v>
      </c>
    </row>
    <row r="252" spans="1:6" x14ac:dyDescent="0.25">
      <c r="A252" t="s">
        <v>210</v>
      </c>
      <c r="B252">
        <v>1829</v>
      </c>
      <c r="C252">
        <v>-56</v>
      </c>
      <c r="D252">
        <v>6</v>
      </c>
      <c r="E252" t="s">
        <v>883</v>
      </c>
      <c r="F252" t="s">
        <v>898</v>
      </c>
    </row>
    <row r="253" spans="1:6" x14ac:dyDescent="0.25">
      <c r="A253" t="s">
        <v>211</v>
      </c>
      <c r="B253">
        <v>17</v>
      </c>
      <c r="C253">
        <v>6</v>
      </c>
      <c r="D253">
        <v>1</v>
      </c>
      <c r="E253" t="s">
        <v>885</v>
      </c>
      <c r="F253" t="s">
        <v>886</v>
      </c>
    </row>
    <row r="254" spans="1:6" x14ac:dyDescent="0.25">
      <c r="A254" t="s">
        <v>211</v>
      </c>
      <c r="B254">
        <v>357</v>
      </c>
      <c r="C254">
        <v>139</v>
      </c>
      <c r="D254">
        <v>2</v>
      </c>
      <c r="E254" t="s">
        <v>885</v>
      </c>
      <c r="F254" t="s">
        <v>891</v>
      </c>
    </row>
    <row r="255" spans="1:6" x14ac:dyDescent="0.25">
      <c r="A255" t="s">
        <v>211</v>
      </c>
      <c r="B255">
        <v>51</v>
      </c>
      <c r="C255">
        <v>21</v>
      </c>
      <c r="D255">
        <v>3</v>
      </c>
      <c r="E255" t="s">
        <v>885</v>
      </c>
      <c r="F255" t="s">
        <v>895</v>
      </c>
    </row>
    <row r="256" spans="1:6" x14ac:dyDescent="0.25">
      <c r="A256" t="s">
        <v>211</v>
      </c>
      <c r="B256">
        <v>387</v>
      </c>
      <c r="C256">
        <v>-213</v>
      </c>
      <c r="D256">
        <v>5</v>
      </c>
      <c r="E256" t="s">
        <v>885</v>
      </c>
      <c r="F256" t="s">
        <v>891</v>
      </c>
    </row>
    <row r="257" spans="1:6" x14ac:dyDescent="0.25">
      <c r="A257" t="s">
        <v>211</v>
      </c>
      <c r="B257">
        <v>14</v>
      </c>
      <c r="C257">
        <v>-1</v>
      </c>
      <c r="D257">
        <v>4</v>
      </c>
      <c r="E257" t="s">
        <v>885</v>
      </c>
      <c r="F257" t="s">
        <v>894</v>
      </c>
    </row>
    <row r="258" spans="1:6" x14ac:dyDescent="0.25">
      <c r="A258" t="s">
        <v>213</v>
      </c>
      <c r="B258">
        <v>352</v>
      </c>
      <c r="C258">
        <v>-345</v>
      </c>
      <c r="D258">
        <v>5</v>
      </c>
      <c r="E258" t="s">
        <v>885</v>
      </c>
      <c r="F258" t="s">
        <v>891</v>
      </c>
    </row>
    <row r="259" spans="1:6" x14ac:dyDescent="0.25">
      <c r="A259" t="s">
        <v>215</v>
      </c>
      <c r="B259">
        <v>469</v>
      </c>
      <c r="C259">
        <v>-459</v>
      </c>
      <c r="D259">
        <v>3</v>
      </c>
      <c r="E259" t="s">
        <v>888</v>
      </c>
      <c r="F259" t="s">
        <v>889</v>
      </c>
    </row>
    <row r="260" spans="1:6" x14ac:dyDescent="0.25">
      <c r="A260" t="s">
        <v>215</v>
      </c>
      <c r="B260">
        <v>97</v>
      </c>
      <c r="C260">
        <v>17</v>
      </c>
      <c r="D260">
        <v>2</v>
      </c>
      <c r="E260" t="s">
        <v>885</v>
      </c>
      <c r="F260" t="s">
        <v>886</v>
      </c>
    </row>
    <row r="261" spans="1:6" x14ac:dyDescent="0.25">
      <c r="A261" t="s">
        <v>215</v>
      </c>
      <c r="B261">
        <v>149</v>
      </c>
      <c r="C261">
        <v>36</v>
      </c>
      <c r="D261">
        <v>3</v>
      </c>
      <c r="E261" t="s">
        <v>885</v>
      </c>
      <c r="F261" t="s">
        <v>886</v>
      </c>
    </row>
    <row r="262" spans="1:6" x14ac:dyDescent="0.25">
      <c r="A262" t="s">
        <v>217</v>
      </c>
      <c r="B262">
        <v>31</v>
      </c>
      <c r="C262">
        <v>10</v>
      </c>
      <c r="D262">
        <v>3</v>
      </c>
      <c r="E262" t="s">
        <v>885</v>
      </c>
      <c r="F262" t="s">
        <v>902</v>
      </c>
    </row>
    <row r="263" spans="1:6" x14ac:dyDescent="0.25">
      <c r="A263" t="s">
        <v>219</v>
      </c>
      <c r="B263">
        <v>714</v>
      </c>
      <c r="C263">
        <v>56</v>
      </c>
      <c r="D263">
        <v>4</v>
      </c>
      <c r="E263" t="s">
        <v>885</v>
      </c>
      <c r="F263" t="s">
        <v>891</v>
      </c>
    </row>
    <row r="264" spans="1:6" x14ac:dyDescent="0.25">
      <c r="A264" t="s">
        <v>219</v>
      </c>
      <c r="B264">
        <v>75</v>
      </c>
      <c r="C264">
        <v>-25</v>
      </c>
      <c r="D264">
        <v>3</v>
      </c>
      <c r="E264" t="s">
        <v>885</v>
      </c>
      <c r="F264" t="s">
        <v>886</v>
      </c>
    </row>
    <row r="265" spans="1:6" x14ac:dyDescent="0.25">
      <c r="A265" t="s">
        <v>219</v>
      </c>
      <c r="B265">
        <v>17</v>
      </c>
      <c r="C265">
        <v>-9</v>
      </c>
      <c r="D265">
        <v>3</v>
      </c>
      <c r="E265" t="s">
        <v>885</v>
      </c>
      <c r="F265" t="s">
        <v>886</v>
      </c>
    </row>
    <row r="266" spans="1:6" x14ac:dyDescent="0.25">
      <c r="A266" t="s">
        <v>221</v>
      </c>
      <c r="B266">
        <v>141</v>
      </c>
      <c r="C266">
        <v>28</v>
      </c>
      <c r="D266">
        <v>7</v>
      </c>
      <c r="E266" t="s">
        <v>883</v>
      </c>
      <c r="F266" t="s">
        <v>901</v>
      </c>
    </row>
    <row r="267" spans="1:6" x14ac:dyDescent="0.25">
      <c r="A267" t="s">
        <v>223</v>
      </c>
      <c r="B267">
        <v>76</v>
      </c>
      <c r="C267">
        <v>-72</v>
      </c>
      <c r="D267">
        <v>9</v>
      </c>
      <c r="E267" t="s">
        <v>885</v>
      </c>
      <c r="F267" t="s">
        <v>887</v>
      </c>
    </row>
    <row r="268" spans="1:6" x14ac:dyDescent="0.25">
      <c r="A268" t="s">
        <v>223</v>
      </c>
      <c r="B268">
        <v>632</v>
      </c>
      <c r="C268">
        <v>-316</v>
      </c>
      <c r="D268">
        <v>6</v>
      </c>
      <c r="E268" t="s">
        <v>885</v>
      </c>
      <c r="F268" t="s">
        <v>891</v>
      </c>
    </row>
    <row r="269" spans="1:6" x14ac:dyDescent="0.25">
      <c r="A269" t="s">
        <v>223</v>
      </c>
      <c r="B269">
        <v>32</v>
      </c>
      <c r="C269">
        <v>-16</v>
      </c>
      <c r="D269">
        <v>6</v>
      </c>
      <c r="E269" t="s">
        <v>885</v>
      </c>
      <c r="F269" t="s">
        <v>891</v>
      </c>
    </row>
    <row r="270" spans="1:6" x14ac:dyDescent="0.25">
      <c r="A270" t="s">
        <v>223</v>
      </c>
      <c r="B270">
        <v>68</v>
      </c>
      <c r="C270">
        <v>-30</v>
      </c>
      <c r="D270">
        <v>1</v>
      </c>
      <c r="E270" t="s">
        <v>888</v>
      </c>
      <c r="F270" t="s">
        <v>890</v>
      </c>
    </row>
    <row r="271" spans="1:6" x14ac:dyDescent="0.25">
      <c r="A271" t="s">
        <v>223</v>
      </c>
      <c r="B271">
        <v>82</v>
      </c>
      <c r="C271">
        <v>-39</v>
      </c>
      <c r="D271">
        <v>5</v>
      </c>
      <c r="E271" t="s">
        <v>885</v>
      </c>
      <c r="F271" t="s">
        <v>895</v>
      </c>
    </row>
    <row r="272" spans="1:6" x14ac:dyDescent="0.25">
      <c r="A272" t="s">
        <v>223</v>
      </c>
      <c r="B272">
        <v>72</v>
      </c>
      <c r="C272">
        <v>-49</v>
      </c>
      <c r="D272">
        <v>1</v>
      </c>
      <c r="E272" t="s">
        <v>888</v>
      </c>
      <c r="F272" t="s">
        <v>890</v>
      </c>
    </row>
    <row r="273" spans="1:6" x14ac:dyDescent="0.25">
      <c r="A273" t="s">
        <v>223</v>
      </c>
      <c r="B273">
        <v>13</v>
      </c>
      <c r="C273">
        <v>-13</v>
      </c>
      <c r="D273">
        <v>2</v>
      </c>
      <c r="E273" t="s">
        <v>885</v>
      </c>
      <c r="F273" t="s">
        <v>902</v>
      </c>
    </row>
    <row r="274" spans="1:6" x14ac:dyDescent="0.25">
      <c r="A274" t="s">
        <v>225</v>
      </c>
      <c r="B274">
        <v>167</v>
      </c>
      <c r="C274">
        <v>43</v>
      </c>
      <c r="D274">
        <v>7</v>
      </c>
      <c r="E274" t="s">
        <v>885</v>
      </c>
      <c r="F274" t="s">
        <v>895</v>
      </c>
    </row>
    <row r="275" spans="1:6" x14ac:dyDescent="0.25">
      <c r="A275" t="s">
        <v>227</v>
      </c>
      <c r="B275">
        <v>171</v>
      </c>
      <c r="C275">
        <v>14</v>
      </c>
      <c r="D275">
        <v>9</v>
      </c>
      <c r="E275" t="s">
        <v>885</v>
      </c>
      <c r="F275" t="s">
        <v>896</v>
      </c>
    </row>
    <row r="276" spans="1:6" x14ac:dyDescent="0.25">
      <c r="A276" t="s">
        <v>229</v>
      </c>
      <c r="B276">
        <v>117</v>
      </c>
      <c r="C276">
        <v>-6</v>
      </c>
      <c r="D276">
        <v>3</v>
      </c>
      <c r="E276" t="s">
        <v>888</v>
      </c>
      <c r="F276" t="s">
        <v>890</v>
      </c>
    </row>
    <row r="277" spans="1:6" x14ac:dyDescent="0.25">
      <c r="A277" t="s">
        <v>229</v>
      </c>
      <c r="B277">
        <v>116</v>
      </c>
      <c r="C277">
        <v>-4</v>
      </c>
      <c r="D277">
        <v>1</v>
      </c>
      <c r="E277" t="s">
        <v>885</v>
      </c>
      <c r="F277" t="s">
        <v>891</v>
      </c>
    </row>
    <row r="278" spans="1:6" x14ac:dyDescent="0.25">
      <c r="A278" t="s">
        <v>229</v>
      </c>
      <c r="B278">
        <v>887</v>
      </c>
      <c r="C278">
        <v>80</v>
      </c>
      <c r="D278">
        <v>3</v>
      </c>
      <c r="E278" t="s">
        <v>888</v>
      </c>
      <c r="F278" t="s">
        <v>899</v>
      </c>
    </row>
    <row r="279" spans="1:6" x14ac:dyDescent="0.25">
      <c r="A279" t="s">
        <v>229</v>
      </c>
      <c r="B279">
        <v>275</v>
      </c>
      <c r="C279">
        <v>-275</v>
      </c>
      <c r="D279">
        <v>4</v>
      </c>
      <c r="E279" t="s">
        <v>885</v>
      </c>
      <c r="F279" t="s">
        <v>891</v>
      </c>
    </row>
    <row r="280" spans="1:6" x14ac:dyDescent="0.25">
      <c r="A280" t="s">
        <v>229</v>
      </c>
      <c r="B280">
        <v>44</v>
      </c>
      <c r="C280">
        <v>7</v>
      </c>
      <c r="D280">
        <v>3</v>
      </c>
      <c r="E280" t="s">
        <v>885</v>
      </c>
      <c r="F280" t="s">
        <v>894</v>
      </c>
    </row>
    <row r="281" spans="1:6" x14ac:dyDescent="0.25">
      <c r="A281" t="s">
        <v>229</v>
      </c>
      <c r="B281">
        <v>168</v>
      </c>
      <c r="C281">
        <v>-9</v>
      </c>
      <c r="D281">
        <v>3</v>
      </c>
      <c r="E281" t="s">
        <v>885</v>
      </c>
      <c r="F281" t="s">
        <v>891</v>
      </c>
    </row>
    <row r="282" spans="1:6" x14ac:dyDescent="0.25">
      <c r="A282" t="s">
        <v>231</v>
      </c>
      <c r="B282">
        <v>114</v>
      </c>
      <c r="C282">
        <v>8</v>
      </c>
      <c r="D282">
        <v>3</v>
      </c>
      <c r="E282" t="s">
        <v>888</v>
      </c>
      <c r="F282" t="s">
        <v>900</v>
      </c>
    </row>
    <row r="283" spans="1:6" x14ac:dyDescent="0.25">
      <c r="A283" t="s">
        <v>231</v>
      </c>
      <c r="B283">
        <v>1300</v>
      </c>
      <c r="C283">
        <v>-16</v>
      </c>
      <c r="D283">
        <v>8</v>
      </c>
      <c r="E283" t="s">
        <v>888</v>
      </c>
      <c r="F283" t="s">
        <v>899</v>
      </c>
    </row>
    <row r="284" spans="1:6" x14ac:dyDescent="0.25">
      <c r="A284" t="s">
        <v>231</v>
      </c>
      <c r="B284">
        <v>4</v>
      </c>
      <c r="C284">
        <v>-3</v>
      </c>
      <c r="D284">
        <v>1</v>
      </c>
      <c r="E284" t="s">
        <v>885</v>
      </c>
      <c r="F284" t="s">
        <v>902</v>
      </c>
    </row>
    <row r="285" spans="1:6" x14ac:dyDescent="0.25">
      <c r="A285" t="s">
        <v>231</v>
      </c>
      <c r="B285">
        <v>73</v>
      </c>
      <c r="C285">
        <v>-7</v>
      </c>
      <c r="D285">
        <v>1</v>
      </c>
      <c r="E285" t="s">
        <v>888</v>
      </c>
      <c r="F285" t="s">
        <v>890</v>
      </c>
    </row>
    <row r="286" spans="1:6" x14ac:dyDescent="0.25">
      <c r="A286" t="s">
        <v>231</v>
      </c>
      <c r="B286">
        <v>67</v>
      </c>
      <c r="C286">
        <v>-42</v>
      </c>
      <c r="D286">
        <v>3</v>
      </c>
      <c r="E286" t="s">
        <v>885</v>
      </c>
      <c r="F286" t="s">
        <v>886</v>
      </c>
    </row>
    <row r="287" spans="1:6" x14ac:dyDescent="0.25">
      <c r="A287" t="s">
        <v>231</v>
      </c>
      <c r="B287">
        <v>322</v>
      </c>
      <c r="C287">
        <v>-193</v>
      </c>
      <c r="D287">
        <v>5</v>
      </c>
      <c r="E287" t="s">
        <v>888</v>
      </c>
      <c r="F287" t="s">
        <v>899</v>
      </c>
    </row>
    <row r="288" spans="1:6" x14ac:dyDescent="0.25">
      <c r="A288" t="s">
        <v>231</v>
      </c>
      <c r="B288">
        <v>115</v>
      </c>
      <c r="C288">
        <v>-39</v>
      </c>
      <c r="D288">
        <v>3</v>
      </c>
      <c r="E288" t="s">
        <v>885</v>
      </c>
      <c r="F288" t="s">
        <v>892</v>
      </c>
    </row>
    <row r="289" spans="1:6" x14ac:dyDescent="0.25">
      <c r="A289" t="s">
        <v>233</v>
      </c>
      <c r="B289">
        <v>87</v>
      </c>
      <c r="C289">
        <v>-83</v>
      </c>
      <c r="D289">
        <v>5</v>
      </c>
      <c r="E289" t="s">
        <v>885</v>
      </c>
      <c r="F289" t="s">
        <v>894</v>
      </c>
    </row>
    <row r="290" spans="1:6" x14ac:dyDescent="0.25">
      <c r="A290" t="s">
        <v>233</v>
      </c>
      <c r="B290">
        <v>27</v>
      </c>
      <c r="C290">
        <v>-6</v>
      </c>
      <c r="D290">
        <v>4</v>
      </c>
      <c r="E290" t="s">
        <v>885</v>
      </c>
      <c r="F290" t="s">
        <v>887</v>
      </c>
    </row>
    <row r="291" spans="1:6" x14ac:dyDescent="0.25">
      <c r="A291" t="s">
        <v>233</v>
      </c>
      <c r="B291">
        <v>207</v>
      </c>
      <c r="C291">
        <v>-153</v>
      </c>
      <c r="D291">
        <v>3</v>
      </c>
      <c r="E291" t="s">
        <v>885</v>
      </c>
      <c r="F291" t="s">
        <v>891</v>
      </c>
    </row>
    <row r="292" spans="1:6" x14ac:dyDescent="0.25">
      <c r="A292" t="s">
        <v>233</v>
      </c>
      <c r="B292">
        <v>516</v>
      </c>
      <c r="C292">
        <v>-392</v>
      </c>
      <c r="D292">
        <v>8</v>
      </c>
      <c r="E292" t="s">
        <v>883</v>
      </c>
      <c r="F292" t="s">
        <v>893</v>
      </c>
    </row>
    <row r="293" spans="1:6" x14ac:dyDescent="0.25">
      <c r="A293" t="s">
        <v>233</v>
      </c>
      <c r="B293">
        <v>7</v>
      </c>
      <c r="C293">
        <v>-2</v>
      </c>
      <c r="D293">
        <v>1</v>
      </c>
      <c r="E293" t="s">
        <v>885</v>
      </c>
      <c r="F293" t="s">
        <v>887</v>
      </c>
    </row>
    <row r="294" spans="1:6" x14ac:dyDescent="0.25">
      <c r="A294" t="s">
        <v>233</v>
      </c>
      <c r="B294">
        <v>65</v>
      </c>
      <c r="C294">
        <v>-16</v>
      </c>
      <c r="D294">
        <v>2</v>
      </c>
      <c r="E294" t="s">
        <v>888</v>
      </c>
      <c r="F294" t="s">
        <v>890</v>
      </c>
    </row>
    <row r="295" spans="1:6" x14ac:dyDescent="0.25">
      <c r="A295" t="s">
        <v>235</v>
      </c>
      <c r="B295">
        <v>20</v>
      </c>
      <c r="C295">
        <v>-22</v>
      </c>
      <c r="D295">
        <v>1</v>
      </c>
      <c r="E295" t="s">
        <v>883</v>
      </c>
      <c r="F295" t="s">
        <v>901</v>
      </c>
    </row>
    <row r="296" spans="1:6" x14ac:dyDescent="0.25">
      <c r="A296" t="s">
        <v>235</v>
      </c>
      <c r="B296">
        <v>49</v>
      </c>
      <c r="C296">
        <v>-31</v>
      </c>
      <c r="D296">
        <v>2</v>
      </c>
      <c r="E296" t="s">
        <v>885</v>
      </c>
      <c r="F296" t="s">
        <v>886</v>
      </c>
    </row>
    <row r="297" spans="1:6" x14ac:dyDescent="0.25">
      <c r="A297" t="s">
        <v>235</v>
      </c>
      <c r="B297">
        <v>34</v>
      </c>
      <c r="C297">
        <v>-13</v>
      </c>
      <c r="D297">
        <v>5</v>
      </c>
      <c r="E297" t="s">
        <v>885</v>
      </c>
      <c r="F297" t="s">
        <v>897</v>
      </c>
    </row>
    <row r="298" spans="1:6" x14ac:dyDescent="0.25">
      <c r="A298" t="s">
        <v>235</v>
      </c>
      <c r="B298">
        <v>21</v>
      </c>
      <c r="C298">
        <v>-5</v>
      </c>
      <c r="D298">
        <v>1</v>
      </c>
      <c r="E298" t="s">
        <v>888</v>
      </c>
      <c r="F298" t="s">
        <v>900</v>
      </c>
    </row>
    <row r="299" spans="1:6" x14ac:dyDescent="0.25">
      <c r="A299" t="s">
        <v>237</v>
      </c>
      <c r="B299">
        <v>129</v>
      </c>
      <c r="C299">
        <v>-75</v>
      </c>
      <c r="D299">
        <v>5</v>
      </c>
      <c r="E299" t="s">
        <v>885</v>
      </c>
      <c r="F299" t="s">
        <v>896</v>
      </c>
    </row>
    <row r="300" spans="1:6" x14ac:dyDescent="0.25">
      <c r="A300" t="s">
        <v>237</v>
      </c>
      <c r="B300">
        <v>44</v>
      </c>
      <c r="C300">
        <v>-32</v>
      </c>
      <c r="D300">
        <v>3</v>
      </c>
      <c r="E300" t="s">
        <v>885</v>
      </c>
      <c r="F300" t="s">
        <v>886</v>
      </c>
    </row>
    <row r="301" spans="1:6" x14ac:dyDescent="0.25">
      <c r="A301" t="s">
        <v>237</v>
      </c>
      <c r="B301">
        <v>7</v>
      </c>
      <c r="C301">
        <v>-3</v>
      </c>
      <c r="D301">
        <v>2</v>
      </c>
      <c r="E301" t="s">
        <v>885</v>
      </c>
      <c r="F301" t="s">
        <v>887</v>
      </c>
    </row>
    <row r="302" spans="1:6" x14ac:dyDescent="0.25">
      <c r="A302" t="s">
        <v>239</v>
      </c>
      <c r="B302">
        <v>10</v>
      </c>
      <c r="C302">
        <v>-8</v>
      </c>
      <c r="D302">
        <v>2</v>
      </c>
      <c r="E302" t="s">
        <v>885</v>
      </c>
      <c r="F302" t="s">
        <v>902</v>
      </c>
    </row>
    <row r="303" spans="1:6" x14ac:dyDescent="0.25">
      <c r="A303" t="s">
        <v>239</v>
      </c>
      <c r="B303">
        <v>33</v>
      </c>
      <c r="C303">
        <v>-29</v>
      </c>
      <c r="D303">
        <v>3</v>
      </c>
      <c r="E303" t="s">
        <v>885</v>
      </c>
      <c r="F303" t="s">
        <v>896</v>
      </c>
    </row>
    <row r="304" spans="1:6" x14ac:dyDescent="0.25">
      <c r="A304" t="s">
        <v>239</v>
      </c>
      <c r="B304">
        <v>98</v>
      </c>
      <c r="C304">
        <v>-45</v>
      </c>
      <c r="D304">
        <v>2</v>
      </c>
      <c r="E304" t="s">
        <v>883</v>
      </c>
      <c r="F304" t="s">
        <v>893</v>
      </c>
    </row>
    <row r="305" spans="1:6" x14ac:dyDescent="0.25">
      <c r="A305" t="s">
        <v>239</v>
      </c>
      <c r="B305">
        <v>33</v>
      </c>
      <c r="C305">
        <v>-12</v>
      </c>
      <c r="D305">
        <v>5</v>
      </c>
      <c r="E305" t="s">
        <v>885</v>
      </c>
      <c r="F305" t="s">
        <v>887</v>
      </c>
    </row>
    <row r="306" spans="1:6" x14ac:dyDescent="0.25">
      <c r="A306" t="s">
        <v>241</v>
      </c>
      <c r="B306">
        <v>75</v>
      </c>
      <c r="C306">
        <v>0</v>
      </c>
      <c r="D306">
        <v>3</v>
      </c>
      <c r="E306" t="s">
        <v>885</v>
      </c>
      <c r="F306" t="s">
        <v>896</v>
      </c>
    </row>
    <row r="307" spans="1:6" x14ac:dyDescent="0.25">
      <c r="A307" t="s">
        <v>241</v>
      </c>
      <c r="B307">
        <v>424</v>
      </c>
      <c r="C307">
        <v>-17</v>
      </c>
      <c r="D307">
        <v>9</v>
      </c>
      <c r="E307" t="s">
        <v>883</v>
      </c>
      <c r="F307" t="s">
        <v>893</v>
      </c>
    </row>
    <row r="308" spans="1:6" x14ac:dyDescent="0.25">
      <c r="A308" t="s">
        <v>241</v>
      </c>
      <c r="B308">
        <v>31</v>
      </c>
      <c r="C308">
        <v>-3</v>
      </c>
      <c r="D308">
        <v>4</v>
      </c>
      <c r="E308" t="s">
        <v>885</v>
      </c>
      <c r="F308" t="s">
        <v>891</v>
      </c>
    </row>
    <row r="309" spans="1:6" x14ac:dyDescent="0.25">
      <c r="A309" t="s">
        <v>241</v>
      </c>
      <c r="B309">
        <v>941</v>
      </c>
      <c r="C309">
        <v>-203</v>
      </c>
      <c r="D309">
        <v>3</v>
      </c>
      <c r="E309" t="s">
        <v>883</v>
      </c>
      <c r="F309" t="s">
        <v>898</v>
      </c>
    </row>
    <row r="310" spans="1:6" x14ac:dyDescent="0.25">
      <c r="A310" t="s">
        <v>241</v>
      </c>
      <c r="B310">
        <v>306</v>
      </c>
      <c r="C310">
        <v>-147</v>
      </c>
      <c r="D310">
        <v>3</v>
      </c>
      <c r="E310" t="s">
        <v>885</v>
      </c>
      <c r="F310" t="s">
        <v>891</v>
      </c>
    </row>
    <row r="311" spans="1:6" x14ac:dyDescent="0.25">
      <c r="A311" t="s">
        <v>243</v>
      </c>
      <c r="B311">
        <v>42</v>
      </c>
      <c r="C311">
        <v>-23</v>
      </c>
      <c r="D311">
        <v>2</v>
      </c>
      <c r="E311" t="s">
        <v>883</v>
      </c>
      <c r="F311" t="s">
        <v>901</v>
      </c>
    </row>
    <row r="312" spans="1:6" x14ac:dyDescent="0.25">
      <c r="A312" t="s">
        <v>243</v>
      </c>
      <c r="B312">
        <v>17</v>
      </c>
      <c r="C312">
        <v>-3</v>
      </c>
      <c r="D312">
        <v>2</v>
      </c>
      <c r="E312" t="s">
        <v>885</v>
      </c>
      <c r="F312" t="s">
        <v>886</v>
      </c>
    </row>
    <row r="313" spans="1:6" x14ac:dyDescent="0.25">
      <c r="A313" t="s">
        <v>243</v>
      </c>
      <c r="B313">
        <v>32</v>
      </c>
      <c r="C313">
        <v>-5</v>
      </c>
      <c r="D313">
        <v>5</v>
      </c>
      <c r="E313" t="s">
        <v>885</v>
      </c>
      <c r="F313" t="s">
        <v>887</v>
      </c>
    </row>
    <row r="314" spans="1:6" x14ac:dyDescent="0.25">
      <c r="A314" t="s">
        <v>243</v>
      </c>
      <c r="B314">
        <v>231</v>
      </c>
      <c r="C314">
        <v>-190</v>
      </c>
      <c r="D314">
        <v>9</v>
      </c>
      <c r="E314" t="s">
        <v>885</v>
      </c>
      <c r="F314" t="s">
        <v>887</v>
      </c>
    </row>
    <row r="315" spans="1:6" x14ac:dyDescent="0.25">
      <c r="A315" t="s">
        <v>243</v>
      </c>
      <c r="B315">
        <v>22</v>
      </c>
      <c r="C315">
        <v>-15</v>
      </c>
      <c r="D315">
        <v>4</v>
      </c>
      <c r="E315" t="s">
        <v>885</v>
      </c>
      <c r="F315" t="s">
        <v>894</v>
      </c>
    </row>
    <row r="316" spans="1:6" x14ac:dyDescent="0.25">
      <c r="A316" t="s">
        <v>243</v>
      </c>
      <c r="B316">
        <v>97</v>
      </c>
      <c r="C316">
        <v>-45</v>
      </c>
      <c r="D316">
        <v>4</v>
      </c>
      <c r="E316" t="s">
        <v>885</v>
      </c>
      <c r="F316" t="s">
        <v>891</v>
      </c>
    </row>
    <row r="317" spans="1:6" x14ac:dyDescent="0.25">
      <c r="A317" t="s">
        <v>243</v>
      </c>
      <c r="B317">
        <v>47</v>
      </c>
      <c r="C317">
        <v>-27</v>
      </c>
      <c r="D317">
        <v>4</v>
      </c>
      <c r="E317" t="s">
        <v>885</v>
      </c>
      <c r="F317" t="s">
        <v>891</v>
      </c>
    </row>
    <row r="318" spans="1:6" x14ac:dyDescent="0.25">
      <c r="A318" t="s">
        <v>243</v>
      </c>
      <c r="B318">
        <v>186</v>
      </c>
      <c r="C318">
        <v>-141</v>
      </c>
      <c r="D318">
        <v>9</v>
      </c>
      <c r="E318" t="s">
        <v>885</v>
      </c>
      <c r="F318" t="s">
        <v>896</v>
      </c>
    </row>
    <row r="319" spans="1:6" x14ac:dyDescent="0.25">
      <c r="A319" t="s">
        <v>244</v>
      </c>
      <c r="B319">
        <v>126</v>
      </c>
      <c r="C319">
        <v>-63</v>
      </c>
      <c r="D319">
        <v>3</v>
      </c>
      <c r="E319" t="s">
        <v>888</v>
      </c>
      <c r="F319" t="s">
        <v>900</v>
      </c>
    </row>
    <row r="320" spans="1:6" x14ac:dyDescent="0.25">
      <c r="A320" t="s">
        <v>244</v>
      </c>
      <c r="B320">
        <v>102</v>
      </c>
      <c r="C320">
        <v>0</v>
      </c>
      <c r="D320">
        <v>3</v>
      </c>
      <c r="E320" t="s">
        <v>888</v>
      </c>
      <c r="F320" t="s">
        <v>890</v>
      </c>
    </row>
    <row r="321" spans="1:6" x14ac:dyDescent="0.25">
      <c r="A321" t="s">
        <v>246</v>
      </c>
      <c r="B321">
        <v>46</v>
      </c>
      <c r="C321">
        <v>0</v>
      </c>
      <c r="D321">
        <v>2</v>
      </c>
      <c r="E321" t="s">
        <v>888</v>
      </c>
      <c r="F321" t="s">
        <v>889</v>
      </c>
    </row>
    <row r="322" spans="1:6" x14ac:dyDescent="0.25">
      <c r="A322" t="s">
        <v>248</v>
      </c>
      <c r="B322">
        <v>31</v>
      </c>
      <c r="C322">
        <v>-11</v>
      </c>
      <c r="D322">
        <v>4</v>
      </c>
      <c r="E322" t="s">
        <v>885</v>
      </c>
      <c r="F322" t="s">
        <v>886</v>
      </c>
    </row>
    <row r="323" spans="1:6" x14ac:dyDescent="0.25">
      <c r="A323" t="s">
        <v>250</v>
      </c>
      <c r="B323">
        <v>8</v>
      </c>
      <c r="C323">
        <v>-6</v>
      </c>
      <c r="D323">
        <v>1</v>
      </c>
      <c r="E323" t="s">
        <v>885</v>
      </c>
      <c r="F323" t="s">
        <v>886</v>
      </c>
    </row>
    <row r="324" spans="1:6" x14ac:dyDescent="0.25">
      <c r="A324" t="s">
        <v>252</v>
      </c>
      <c r="B324">
        <v>191</v>
      </c>
      <c r="C324">
        <v>13</v>
      </c>
      <c r="D324">
        <v>8</v>
      </c>
      <c r="E324" t="s">
        <v>883</v>
      </c>
      <c r="F324" t="s">
        <v>901</v>
      </c>
    </row>
    <row r="325" spans="1:6" x14ac:dyDescent="0.25">
      <c r="A325" t="s">
        <v>252</v>
      </c>
      <c r="B325">
        <v>709</v>
      </c>
      <c r="C325">
        <v>-100</v>
      </c>
      <c r="D325">
        <v>5</v>
      </c>
      <c r="E325" t="s">
        <v>888</v>
      </c>
      <c r="F325" t="s">
        <v>890</v>
      </c>
    </row>
    <row r="326" spans="1:6" x14ac:dyDescent="0.25">
      <c r="A326" t="s">
        <v>252</v>
      </c>
      <c r="B326">
        <v>81</v>
      </c>
      <c r="C326">
        <v>-51</v>
      </c>
      <c r="D326">
        <v>7</v>
      </c>
      <c r="E326" t="s">
        <v>885</v>
      </c>
      <c r="F326" t="s">
        <v>886</v>
      </c>
    </row>
    <row r="327" spans="1:6" x14ac:dyDescent="0.25">
      <c r="A327" t="s">
        <v>252</v>
      </c>
      <c r="B327">
        <v>32</v>
      </c>
      <c r="C327">
        <v>-8</v>
      </c>
      <c r="D327">
        <v>2</v>
      </c>
      <c r="E327" t="s">
        <v>885</v>
      </c>
      <c r="F327" t="s">
        <v>886</v>
      </c>
    </row>
    <row r="328" spans="1:6" x14ac:dyDescent="0.25">
      <c r="A328" t="s">
        <v>254</v>
      </c>
      <c r="B328">
        <v>33</v>
      </c>
      <c r="C328">
        <v>-12</v>
      </c>
      <c r="D328">
        <v>7</v>
      </c>
      <c r="E328" t="s">
        <v>885</v>
      </c>
      <c r="F328" t="s">
        <v>891</v>
      </c>
    </row>
    <row r="329" spans="1:6" x14ac:dyDescent="0.25">
      <c r="A329" t="s">
        <v>254</v>
      </c>
      <c r="B329">
        <v>41</v>
      </c>
      <c r="C329">
        <v>-6</v>
      </c>
      <c r="D329">
        <v>1</v>
      </c>
      <c r="E329" t="s">
        <v>883</v>
      </c>
      <c r="F329" t="s">
        <v>893</v>
      </c>
    </row>
    <row r="330" spans="1:6" x14ac:dyDescent="0.25">
      <c r="A330" t="s">
        <v>256</v>
      </c>
      <c r="B330">
        <v>216</v>
      </c>
      <c r="C330">
        <v>-38</v>
      </c>
      <c r="D330">
        <v>6</v>
      </c>
      <c r="E330" t="s">
        <v>883</v>
      </c>
      <c r="F330" t="s">
        <v>901</v>
      </c>
    </row>
    <row r="331" spans="1:6" x14ac:dyDescent="0.25">
      <c r="A331" t="s">
        <v>256</v>
      </c>
      <c r="B331">
        <v>616</v>
      </c>
      <c r="C331">
        <v>-69</v>
      </c>
      <c r="D331">
        <v>7</v>
      </c>
      <c r="E331" t="s">
        <v>883</v>
      </c>
      <c r="F331" t="s">
        <v>901</v>
      </c>
    </row>
    <row r="332" spans="1:6" x14ac:dyDescent="0.25">
      <c r="A332" t="s">
        <v>256</v>
      </c>
      <c r="B332">
        <v>10</v>
      </c>
      <c r="C332">
        <v>-1</v>
      </c>
      <c r="D332">
        <v>1</v>
      </c>
      <c r="E332" t="s">
        <v>885</v>
      </c>
      <c r="F332" t="s">
        <v>897</v>
      </c>
    </row>
    <row r="333" spans="1:6" x14ac:dyDescent="0.25">
      <c r="A333" t="s">
        <v>256</v>
      </c>
      <c r="B333">
        <v>25</v>
      </c>
      <c r="C333">
        <v>0</v>
      </c>
      <c r="D333">
        <v>4</v>
      </c>
      <c r="E333" t="s">
        <v>885</v>
      </c>
      <c r="F333" t="s">
        <v>902</v>
      </c>
    </row>
    <row r="334" spans="1:6" x14ac:dyDescent="0.25">
      <c r="A334" t="s">
        <v>256</v>
      </c>
      <c r="B334">
        <v>53</v>
      </c>
      <c r="C334">
        <v>-18</v>
      </c>
      <c r="D334">
        <v>4</v>
      </c>
      <c r="E334" t="s">
        <v>885</v>
      </c>
      <c r="F334" t="s">
        <v>895</v>
      </c>
    </row>
    <row r="335" spans="1:6" x14ac:dyDescent="0.25">
      <c r="A335" t="s">
        <v>256</v>
      </c>
      <c r="B335">
        <v>13</v>
      </c>
      <c r="C335">
        <v>-8</v>
      </c>
      <c r="D335">
        <v>1</v>
      </c>
      <c r="E335" t="s">
        <v>885</v>
      </c>
      <c r="F335" t="s">
        <v>895</v>
      </c>
    </row>
    <row r="336" spans="1:6" x14ac:dyDescent="0.25">
      <c r="A336" t="s">
        <v>258</v>
      </c>
      <c r="B336">
        <v>100</v>
      </c>
      <c r="C336">
        <v>-58</v>
      </c>
      <c r="D336">
        <v>4</v>
      </c>
      <c r="E336" t="s">
        <v>885</v>
      </c>
      <c r="F336" t="s">
        <v>887</v>
      </c>
    </row>
    <row r="337" spans="1:6" x14ac:dyDescent="0.25">
      <c r="A337" t="s">
        <v>260</v>
      </c>
      <c r="B337">
        <v>193</v>
      </c>
      <c r="C337">
        <v>-275</v>
      </c>
      <c r="D337">
        <v>3</v>
      </c>
      <c r="E337" t="s">
        <v>888</v>
      </c>
      <c r="F337" t="s">
        <v>890</v>
      </c>
    </row>
    <row r="338" spans="1:6" x14ac:dyDescent="0.25">
      <c r="A338" t="s">
        <v>262</v>
      </c>
      <c r="B338">
        <v>158</v>
      </c>
      <c r="C338">
        <v>-63</v>
      </c>
      <c r="D338">
        <v>4</v>
      </c>
      <c r="E338" t="s">
        <v>883</v>
      </c>
      <c r="F338" t="s">
        <v>893</v>
      </c>
    </row>
    <row r="339" spans="1:6" x14ac:dyDescent="0.25">
      <c r="A339" t="s">
        <v>264</v>
      </c>
      <c r="B339">
        <v>11</v>
      </c>
      <c r="C339">
        <v>-5</v>
      </c>
      <c r="D339">
        <v>2</v>
      </c>
      <c r="E339" t="s">
        <v>885</v>
      </c>
      <c r="F339" t="s">
        <v>887</v>
      </c>
    </row>
    <row r="340" spans="1:6" x14ac:dyDescent="0.25">
      <c r="A340" t="s">
        <v>264</v>
      </c>
      <c r="B340">
        <v>340</v>
      </c>
      <c r="C340">
        <v>20</v>
      </c>
      <c r="D340">
        <v>7</v>
      </c>
      <c r="E340" t="s">
        <v>885</v>
      </c>
      <c r="F340" t="s">
        <v>896</v>
      </c>
    </row>
    <row r="341" spans="1:6" x14ac:dyDescent="0.25">
      <c r="A341" t="s">
        <v>266</v>
      </c>
      <c r="B341">
        <v>416</v>
      </c>
      <c r="C341">
        <v>137</v>
      </c>
      <c r="D341">
        <v>3</v>
      </c>
      <c r="E341" t="s">
        <v>888</v>
      </c>
      <c r="F341" t="s">
        <v>890</v>
      </c>
    </row>
    <row r="342" spans="1:6" x14ac:dyDescent="0.25">
      <c r="A342" t="s">
        <v>268</v>
      </c>
      <c r="B342">
        <v>58</v>
      </c>
      <c r="C342">
        <v>0</v>
      </c>
      <c r="D342">
        <v>4</v>
      </c>
      <c r="E342" t="s">
        <v>885</v>
      </c>
      <c r="F342" t="s">
        <v>891</v>
      </c>
    </row>
    <row r="343" spans="1:6" x14ac:dyDescent="0.25">
      <c r="A343" t="s">
        <v>270</v>
      </c>
      <c r="B343">
        <v>561</v>
      </c>
      <c r="C343">
        <v>212</v>
      </c>
      <c r="D343">
        <v>3</v>
      </c>
      <c r="E343" t="s">
        <v>885</v>
      </c>
      <c r="F343" t="s">
        <v>891</v>
      </c>
    </row>
    <row r="344" spans="1:6" x14ac:dyDescent="0.25">
      <c r="A344" t="s">
        <v>270</v>
      </c>
      <c r="B344">
        <v>138</v>
      </c>
      <c r="C344">
        <v>-3</v>
      </c>
      <c r="D344">
        <v>5</v>
      </c>
      <c r="E344" t="s">
        <v>885</v>
      </c>
      <c r="F344" t="s">
        <v>891</v>
      </c>
    </row>
    <row r="345" spans="1:6" x14ac:dyDescent="0.25">
      <c r="A345" t="s">
        <v>270</v>
      </c>
      <c r="B345">
        <v>90</v>
      </c>
      <c r="C345">
        <v>17</v>
      </c>
      <c r="D345">
        <v>3</v>
      </c>
      <c r="E345" t="s">
        <v>885</v>
      </c>
      <c r="F345" t="s">
        <v>896</v>
      </c>
    </row>
    <row r="346" spans="1:6" x14ac:dyDescent="0.25">
      <c r="A346" t="s">
        <v>270</v>
      </c>
      <c r="B346">
        <v>55</v>
      </c>
      <c r="C346">
        <v>-33</v>
      </c>
      <c r="D346">
        <v>2</v>
      </c>
      <c r="E346" t="s">
        <v>883</v>
      </c>
      <c r="F346" t="s">
        <v>893</v>
      </c>
    </row>
    <row r="347" spans="1:6" x14ac:dyDescent="0.25">
      <c r="A347" t="s">
        <v>272</v>
      </c>
      <c r="B347">
        <v>371</v>
      </c>
      <c r="C347">
        <v>115</v>
      </c>
      <c r="D347">
        <v>1</v>
      </c>
      <c r="E347" t="s">
        <v>883</v>
      </c>
      <c r="F347" t="s">
        <v>884</v>
      </c>
    </row>
    <row r="348" spans="1:6" x14ac:dyDescent="0.25">
      <c r="A348" t="s">
        <v>272</v>
      </c>
      <c r="B348">
        <v>460</v>
      </c>
      <c r="C348">
        <v>31</v>
      </c>
      <c r="D348">
        <v>3</v>
      </c>
      <c r="E348" t="s">
        <v>883</v>
      </c>
      <c r="F348" t="s">
        <v>884</v>
      </c>
    </row>
    <row r="349" spans="1:6" x14ac:dyDescent="0.25">
      <c r="A349" t="s">
        <v>273</v>
      </c>
      <c r="B349">
        <v>29</v>
      </c>
      <c r="C349">
        <v>10</v>
      </c>
      <c r="D349">
        <v>2</v>
      </c>
      <c r="E349" t="s">
        <v>885</v>
      </c>
      <c r="F349" t="s">
        <v>886</v>
      </c>
    </row>
    <row r="350" spans="1:6" x14ac:dyDescent="0.25">
      <c r="A350" t="s">
        <v>274</v>
      </c>
      <c r="B350">
        <v>30</v>
      </c>
      <c r="C350">
        <v>-35</v>
      </c>
      <c r="D350">
        <v>1</v>
      </c>
      <c r="E350" t="s">
        <v>883</v>
      </c>
      <c r="F350" t="s">
        <v>893</v>
      </c>
    </row>
    <row r="351" spans="1:6" x14ac:dyDescent="0.25">
      <c r="A351" t="s">
        <v>276</v>
      </c>
      <c r="B351">
        <v>29</v>
      </c>
      <c r="C351">
        <v>-18</v>
      </c>
      <c r="D351">
        <v>7</v>
      </c>
      <c r="E351" t="s">
        <v>885</v>
      </c>
      <c r="F351" t="s">
        <v>902</v>
      </c>
    </row>
    <row r="352" spans="1:6" x14ac:dyDescent="0.25">
      <c r="A352" t="s">
        <v>276</v>
      </c>
      <c r="B352">
        <v>191</v>
      </c>
      <c r="C352">
        <v>51</v>
      </c>
      <c r="D352">
        <v>5</v>
      </c>
      <c r="E352" t="s">
        <v>885</v>
      </c>
      <c r="F352" t="s">
        <v>896</v>
      </c>
    </row>
    <row r="353" spans="1:6" x14ac:dyDescent="0.25">
      <c r="A353" t="s">
        <v>276</v>
      </c>
      <c r="B353">
        <v>149</v>
      </c>
      <c r="C353">
        <v>-40</v>
      </c>
      <c r="D353">
        <v>2</v>
      </c>
      <c r="E353" t="s">
        <v>888</v>
      </c>
      <c r="F353" t="s">
        <v>890</v>
      </c>
    </row>
    <row r="354" spans="1:6" x14ac:dyDescent="0.25">
      <c r="A354" t="s">
        <v>278</v>
      </c>
      <c r="B354">
        <v>48</v>
      </c>
      <c r="C354">
        <v>-8</v>
      </c>
      <c r="D354">
        <v>8</v>
      </c>
      <c r="E354" t="s">
        <v>885</v>
      </c>
      <c r="F354" t="s">
        <v>886</v>
      </c>
    </row>
    <row r="355" spans="1:6" x14ac:dyDescent="0.25">
      <c r="A355" t="s">
        <v>280</v>
      </c>
      <c r="B355">
        <v>26</v>
      </c>
      <c r="C355">
        <v>-24</v>
      </c>
      <c r="D355">
        <v>1</v>
      </c>
      <c r="E355" t="s">
        <v>885</v>
      </c>
      <c r="F355" t="s">
        <v>886</v>
      </c>
    </row>
    <row r="356" spans="1:6" x14ac:dyDescent="0.25">
      <c r="A356" t="s">
        <v>280</v>
      </c>
      <c r="B356">
        <v>16</v>
      </c>
      <c r="C356">
        <v>-12</v>
      </c>
      <c r="D356">
        <v>2</v>
      </c>
      <c r="E356" t="s">
        <v>885</v>
      </c>
      <c r="F356" t="s">
        <v>886</v>
      </c>
    </row>
    <row r="357" spans="1:6" x14ac:dyDescent="0.25">
      <c r="A357" t="s">
        <v>280</v>
      </c>
      <c r="B357">
        <v>12</v>
      </c>
      <c r="C357">
        <v>-7</v>
      </c>
      <c r="D357">
        <v>2</v>
      </c>
      <c r="E357" t="s">
        <v>885</v>
      </c>
      <c r="F357" t="s">
        <v>897</v>
      </c>
    </row>
    <row r="358" spans="1:6" x14ac:dyDescent="0.25">
      <c r="A358" t="s">
        <v>280</v>
      </c>
      <c r="B358">
        <v>76</v>
      </c>
      <c r="C358">
        <v>-54</v>
      </c>
      <c r="D358">
        <v>3</v>
      </c>
      <c r="E358" t="s">
        <v>888</v>
      </c>
      <c r="F358" t="s">
        <v>889</v>
      </c>
    </row>
    <row r="359" spans="1:6" x14ac:dyDescent="0.25">
      <c r="A359" t="s">
        <v>282</v>
      </c>
      <c r="B359">
        <v>168</v>
      </c>
      <c r="C359">
        <v>-51</v>
      </c>
      <c r="D359">
        <v>2</v>
      </c>
      <c r="E359" t="s">
        <v>883</v>
      </c>
      <c r="F359" t="s">
        <v>884</v>
      </c>
    </row>
    <row r="360" spans="1:6" x14ac:dyDescent="0.25">
      <c r="A360" t="s">
        <v>283</v>
      </c>
      <c r="B360">
        <v>23</v>
      </c>
      <c r="C360">
        <v>-5</v>
      </c>
      <c r="D360">
        <v>7</v>
      </c>
      <c r="E360" t="s">
        <v>885</v>
      </c>
      <c r="F360" t="s">
        <v>887</v>
      </c>
    </row>
    <row r="361" spans="1:6" x14ac:dyDescent="0.25">
      <c r="A361" t="s">
        <v>283</v>
      </c>
      <c r="B361">
        <v>26</v>
      </c>
      <c r="C361">
        <v>-5</v>
      </c>
      <c r="D361">
        <v>2</v>
      </c>
      <c r="E361" t="s">
        <v>885</v>
      </c>
      <c r="F361" t="s">
        <v>886</v>
      </c>
    </row>
    <row r="362" spans="1:6" x14ac:dyDescent="0.25">
      <c r="A362" t="s">
        <v>283</v>
      </c>
      <c r="B362">
        <v>144</v>
      </c>
      <c r="C362">
        <v>-7</v>
      </c>
      <c r="D362">
        <v>4</v>
      </c>
      <c r="E362" t="s">
        <v>888</v>
      </c>
      <c r="F362" t="s">
        <v>889</v>
      </c>
    </row>
    <row r="363" spans="1:6" x14ac:dyDescent="0.25">
      <c r="A363" t="s">
        <v>285</v>
      </c>
      <c r="B363">
        <v>490</v>
      </c>
      <c r="C363">
        <v>-128</v>
      </c>
      <c r="D363">
        <v>8</v>
      </c>
      <c r="E363" t="s">
        <v>883</v>
      </c>
      <c r="F363" t="s">
        <v>884</v>
      </c>
    </row>
    <row r="364" spans="1:6" x14ac:dyDescent="0.25">
      <c r="A364" t="s">
        <v>287</v>
      </c>
      <c r="B364">
        <v>57</v>
      </c>
      <c r="C364">
        <v>-48</v>
      </c>
      <c r="D364">
        <v>6</v>
      </c>
      <c r="E364" t="s">
        <v>885</v>
      </c>
      <c r="F364" t="s">
        <v>897</v>
      </c>
    </row>
    <row r="365" spans="1:6" x14ac:dyDescent="0.25">
      <c r="A365" t="s">
        <v>287</v>
      </c>
      <c r="B365">
        <v>327</v>
      </c>
      <c r="C365">
        <v>114</v>
      </c>
      <c r="D365">
        <v>4</v>
      </c>
      <c r="E365" t="s">
        <v>885</v>
      </c>
      <c r="F365" t="s">
        <v>892</v>
      </c>
    </row>
    <row r="366" spans="1:6" x14ac:dyDescent="0.25">
      <c r="A366" t="s">
        <v>289</v>
      </c>
      <c r="B366">
        <v>1055</v>
      </c>
      <c r="C366">
        <v>264</v>
      </c>
      <c r="D366">
        <v>4</v>
      </c>
      <c r="E366" t="s">
        <v>888</v>
      </c>
      <c r="F366" t="s">
        <v>899</v>
      </c>
    </row>
    <row r="367" spans="1:6" x14ac:dyDescent="0.25">
      <c r="A367" t="s">
        <v>289</v>
      </c>
      <c r="B367">
        <v>771</v>
      </c>
      <c r="C367">
        <v>-424</v>
      </c>
      <c r="D367">
        <v>2</v>
      </c>
      <c r="E367" t="s">
        <v>888</v>
      </c>
      <c r="F367" t="s">
        <v>890</v>
      </c>
    </row>
    <row r="368" spans="1:6" x14ac:dyDescent="0.25">
      <c r="A368" t="s">
        <v>289</v>
      </c>
      <c r="B368">
        <v>322</v>
      </c>
      <c r="C368">
        <v>-113</v>
      </c>
      <c r="D368">
        <v>4</v>
      </c>
      <c r="E368" t="s">
        <v>885</v>
      </c>
      <c r="F368" t="s">
        <v>891</v>
      </c>
    </row>
    <row r="369" spans="1:6" x14ac:dyDescent="0.25">
      <c r="A369" t="s">
        <v>291</v>
      </c>
      <c r="B369">
        <v>1549</v>
      </c>
      <c r="C369">
        <v>-439</v>
      </c>
      <c r="D369">
        <v>4</v>
      </c>
      <c r="E369" t="s">
        <v>888</v>
      </c>
      <c r="F369" t="s">
        <v>890</v>
      </c>
    </row>
    <row r="370" spans="1:6" x14ac:dyDescent="0.25">
      <c r="A370" t="s">
        <v>293</v>
      </c>
      <c r="B370">
        <v>1145</v>
      </c>
      <c r="C370">
        <v>-706</v>
      </c>
      <c r="D370">
        <v>3</v>
      </c>
      <c r="E370" t="s">
        <v>888</v>
      </c>
      <c r="F370" t="s">
        <v>890</v>
      </c>
    </row>
    <row r="371" spans="1:6" x14ac:dyDescent="0.25">
      <c r="A371" t="s">
        <v>293</v>
      </c>
      <c r="B371">
        <v>473</v>
      </c>
      <c r="C371">
        <v>42</v>
      </c>
      <c r="D371">
        <v>4</v>
      </c>
      <c r="E371" t="s">
        <v>883</v>
      </c>
      <c r="F371" t="s">
        <v>893</v>
      </c>
    </row>
    <row r="372" spans="1:6" x14ac:dyDescent="0.25">
      <c r="A372" t="s">
        <v>293</v>
      </c>
      <c r="B372">
        <v>96</v>
      </c>
      <c r="C372">
        <v>22</v>
      </c>
      <c r="D372">
        <v>5</v>
      </c>
      <c r="E372" t="s">
        <v>885</v>
      </c>
      <c r="F372" t="s">
        <v>886</v>
      </c>
    </row>
    <row r="373" spans="1:6" x14ac:dyDescent="0.25">
      <c r="A373" t="s">
        <v>293</v>
      </c>
      <c r="B373">
        <v>18</v>
      </c>
      <c r="C373">
        <v>8</v>
      </c>
      <c r="D373">
        <v>2</v>
      </c>
      <c r="E373" t="s">
        <v>885</v>
      </c>
      <c r="F373" t="s">
        <v>887</v>
      </c>
    </row>
    <row r="374" spans="1:6" x14ac:dyDescent="0.25">
      <c r="A374" t="s">
        <v>293</v>
      </c>
      <c r="B374">
        <v>187</v>
      </c>
      <c r="C374">
        <v>30</v>
      </c>
      <c r="D374">
        <v>4</v>
      </c>
      <c r="E374" t="s">
        <v>888</v>
      </c>
      <c r="F374" t="s">
        <v>900</v>
      </c>
    </row>
    <row r="375" spans="1:6" x14ac:dyDescent="0.25">
      <c r="A375" t="s">
        <v>293</v>
      </c>
      <c r="B375">
        <v>83</v>
      </c>
      <c r="C375">
        <v>-81</v>
      </c>
      <c r="D375">
        <v>3</v>
      </c>
      <c r="E375" t="s">
        <v>883</v>
      </c>
      <c r="F375" t="s">
        <v>893</v>
      </c>
    </row>
    <row r="376" spans="1:6" x14ac:dyDescent="0.25">
      <c r="A376" t="s">
        <v>295</v>
      </c>
      <c r="B376">
        <v>131</v>
      </c>
      <c r="C376">
        <v>-154</v>
      </c>
      <c r="D376">
        <v>8</v>
      </c>
      <c r="E376" t="s">
        <v>883</v>
      </c>
      <c r="F376" t="s">
        <v>901</v>
      </c>
    </row>
    <row r="377" spans="1:6" x14ac:dyDescent="0.25">
      <c r="A377" t="s">
        <v>297</v>
      </c>
      <c r="B377">
        <v>16</v>
      </c>
      <c r="C377">
        <v>-5</v>
      </c>
      <c r="D377">
        <v>2</v>
      </c>
      <c r="E377" t="s">
        <v>885</v>
      </c>
      <c r="F377" t="s">
        <v>886</v>
      </c>
    </row>
    <row r="378" spans="1:6" x14ac:dyDescent="0.25">
      <c r="A378" t="s">
        <v>299</v>
      </c>
      <c r="B378">
        <v>43</v>
      </c>
      <c r="C378">
        <v>-43</v>
      </c>
      <c r="D378">
        <v>7</v>
      </c>
      <c r="E378" t="s">
        <v>885</v>
      </c>
      <c r="F378" t="s">
        <v>886</v>
      </c>
    </row>
    <row r="379" spans="1:6" x14ac:dyDescent="0.25">
      <c r="A379" t="s">
        <v>299</v>
      </c>
      <c r="B379">
        <v>30</v>
      </c>
      <c r="C379">
        <v>-10</v>
      </c>
      <c r="D379">
        <v>2</v>
      </c>
      <c r="E379" t="s">
        <v>885</v>
      </c>
      <c r="F379" t="s">
        <v>886</v>
      </c>
    </row>
    <row r="380" spans="1:6" x14ac:dyDescent="0.25">
      <c r="A380" t="s">
        <v>299</v>
      </c>
      <c r="B380">
        <v>23</v>
      </c>
      <c r="C380">
        <v>-6</v>
      </c>
      <c r="D380">
        <v>4</v>
      </c>
      <c r="E380" t="s">
        <v>885</v>
      </c>
      <c r="F380" t="s">
        <v>887</v>
      </c>
    </row>
    <row r="381" spans="1:6" x14ac:dyDescent="0.25">
      <c r="A381" t="s">
        <v>301</v>
      </c>
      <c r="B381">
        <v>108</v>
      </c>
      <c r="C381">
        <v>-19</v>
      </c>
      <c r="D381">
        <v>3</v>
      </c>
      <c r="E381" t="s">
        <v>888</v>
      </c>
      <c r="F381" t="s">
        <v>889</v>
      </c>
    </row>
    <row r="382" spans="1:6" x14ac:dyDescent="0.25">
      <c r="A382" t="s">
        <v>303</v>
      </c>
      <c r="B382">
        <v>12</v>
      </c>
      <c r="C382">
        <v>-2</v>
      </c>
      <c r="D382">
        <v>3</v>
      </c>
      <c r="E382" t="s">
        <v>885</v>
      </c>
      <c r="F382" t="s">
        <v>887</v>
      </c>
    </row>
    <row r="383" spans="1:6" x14ac:dyDescent="0.25">
      <c r="A383" t="s">
        <v>303</v>
      </c>
      <c r="B383">
        <v>7</v>
      </c>
      <c r="C383">
        <v>-1</v>
      </c>
      <c r="D383">
        <v>2</v>
      </c>
      <c r="E383" t="s">
        <v>885</v>
      </c>
      <c r="F383" t="s">
        <v>902</v>
      </c>
    </row>
    <row r="384" spans="1:6" x14ac:dyDescent="0.25">
      <c r="A384" t="s">
        <v>303</v>
      </c>
      <c r="B384">
        <v>15</v>
      </c>
      <c r="C384">
        <v>-7</v>
      </c>
      <c r="D384">
        <v>1</v>
      </c>
      <c r="E384" t="s">
        <v>885</v>
      </c>
      <c r="F384" t="s">
        <v>887</v>
      </c>
    </row>
    <row r="385" spans="1:6" x14ac:dyDescent="0.25">
      <c r="A385" t="s">
        <v>305</v>
      </c>
      <c r="B385">
        <v>31</v>
      </c>
      <c r="C385">
        <v>-7</v>
      </c>
      <c r="D385">
        <v>5</v>
      </c>
      <c r="E385" t="s">
        <v>885</v>
      </c>
      <c r="F385" t="s">
        <v>902</v>
      </c>
    </row>
    <row r="386" spans="1:6" x14ac:dyDescent="0.25">
      <c r="A386" t="s">
        <v>307</v>
      </c>
      <c r="B386">
        <v>187</v>
      </c>
      <c r="C386">
        <v>-15</v>
      </c>
      <c r="D386">
        <v>3</v>
      </c>
      <c r="E386" t="s">
        <v>885</v>
      </c>
      <c r="F386" t="s">
        <v>892</v>
      </c>
    </row>
    <row r="387" spans="1:6" x14ac:dyDescent="0.25">
      <c r="A387" t="s">
        <v>309</v>
      </c>
      <c r="B387">
        <v>70</v>
      </c>
      <c r="C387">
        <v>-14</v>
      </c>
      <c r="D387">
        <v>2</v>
      </c>
      <c r="E387" t="s">
        <v>883</v>
      </c>
      <c r="F387" t="s">
        <v>901</v>
      </c>
    </row>
    <row r="388" spans="1:6" x14ac:dyDescent="0.25">
      <c r="A388" t="s">
        <v>309</v>
      </c>
      <c r="B388">
        <v>72</v>
      </c>
      <c r="C388">
        <v>-6</v>
      </c>
      <c r="D388">
        <v>3</v>
      </c>
      <c r="E388" t="s">
        <v>885</v>
      </c>
      <c r="F388" t="s">
        <v>891</v>
      </c>
    </row>
    <row r="389" spans="1:6" x14ac:dyDescent="0.25">
      <c r="A389" t="s">
        <v>309</v>
      </c>
      <c r="B389">
        <v>1069</v>
      </c>
      <c r="C389">
        <v>0</v>
      </c>
      <c r="D389">
        <v>6</v>
      </c>
      <c r="E389" t="s">
        <v>885</v>
      </c>
      <c r="F389" t="s">
        <v>891</v>
      </c>
    </row>
    <row r="390" spans="1:6" x14ac:dyDescent="0.25">
      <c r="A390" t="s">
        <v>309</v>
      </c>
      <c r="B390">
        <v>148</v>
      </c>
      <c r="C390">
        <v>-91</v>
      </c>
      <c r="D390">
        <v>2</v>
      </c>
      <c r="E390" t="s">
        <v>888</v>
      </c>
      <c r="F390" t="s">
        <v>890</v>
      </c>
    </row>
    <row r="391" spans="1:6" x14ac:dyDescent="0.25">
      <c r="A391" t="s">
        <v>311</v>
      </c>
      <c r="B391">
        <v>133</v>
      </c>
      <c r="C391">
        <v>-56</v>
      </c>
      <c r="D391">
        <v>2</v>
      </c>
      <c r="E391" t="s">
        <v>883</v>
      </c>
      <c r="F391" t="s">
        <v>893</v>
      </c>
    </row>
    <row r="392" spans="1:6" x14ac:dyDescent="0.25">
      <c r="A392" t="s">
        <v>313</v>
      </c>
      <c r="B392">
        <v>40</v>
      </c>
      <c r="C392">
        <v>-37</v>
      </c>
      <c r="D392">
        <v>3</v>
      </c>
      <c r="E392" t="s">
        <v>885</v>
      </c>
      <c r="F392" t="s">
        <v>886</v>
      </c>
    </row>
    <row r="393" spans="1:6" x14ac:dyDescent="0.25">
      <c r="A393" t="s">
        <v>313</v>
      </c>
      <c r="B393">
        <v>7</v>
      </c>
      <c r="C393">
        <v>0</v>
      </c>
      <c r="D393">
        <v>2</v>
      </c>
      <c r="E393" t="s">
        <v>885</v>
      </c>
      <c r="F393" t="s">
        <v>902</v>
      </c>
    </row>
    <row r="394" spans="1:6" x14ac:dyDescent="0.25">
      <c r="A394" t="s">
        <v>313</v>
      </c>
      <c r="B394">
        <v>58</v>
      </c>
      <c r="C394">
        <v>-8</v>
      </c>
      <c r="D394">
        <v>2</v>
      </c>
      <c r="E394" t="s">
        <v>885</v>
      </c>
      <c r="F394" t="s">
        <v>891</v>
      </c>
    </row>
    <row r="395" spans="1:6" x14ac:dyDescent="0.25">
      <c r="A395" t="s">
        <v>315</v>
      </c>
      <c r="B395">
        <v>482</v>
      </c>
      <c r="C395">
        <v>-6</v>
      </c>
      <c r="D395">
        <v>7</v>
      </c>
      <c r="E395" t="s">
        <v>888</v>
      </c>
      <c r="F395" t="s">
        <v>889</v>
      </c>
    </row>
    <row r="396" spans="1:6" x14ac:dyDescent="0.25">
      <c r="A396" t="s">
        <v>317</v>
      </c>
      <c r="B396">
        <v>11</v>
      </c>
      <c r="C396">
        <v>-8</v>
      </c>
      <c r="D396">
        <v>2</v>
      </c>
      <c r="E396" t="s">
        <v>885</v>
      </c>
      <c r="F396" t="s">
        <v>902</v>
      </c>
    </row>
    <row r="397" spans="1:6" x14ac:dyDescent="0.25">
      <c r="A397" t="s">
        <v>319</v>
      </c>
      <c r="B397">
        <v>143</v>
      </c>
      <c r="C397">
        <v>-124</v>
      </c>
      <c r="D397">
        <v>5</v>
      </c>
      <c r="E397" t="s">
        <v>885</v>
      </c>
      <c r="F397" t="s">
        <v>891</v>
      </c>
    </row>
    <row r="398" spans="1:6" x14ac:dyDescent="0.25">
      <c r="A398" t="s">
        <v>319</v>
      </c>
      <c r="B398">
        <v>9</v>
      </c>
      <c r="C398">
        <v>-5</v>
      </c>
      <c r="D398">
        <v>1</v>
      </c>
      <c r="E398" t="s">
        <v>885</v>
      </c>
      <c r="F398" t="s">
        <v>891</v>
      </c>
    </row>
    <row r="399" spans="1:6" x14ac:dyDescent="0.25">
      <c r="A399" t="s">
        <v>319</v>
      </c>
      <c r="B399">
        <v>503</v>
      </c>
      <c r="C399">
        <v>-56</v>
      </c>
      <c r="D399">
        <v>2</v>
      </c>
      <c r="E399" t="s">
        <v>885</v>
      </c>
      <c r="F399" t="s">
        <v>892</v>
      </c>
    </row>
    <row r="400" spans="1:6" x14ac:dyDescent="0.25">
      <c r="A400" t="s">
        <v>319</v>
      </c>
      <c r="B400">
        <v>74</v>
      </c>
      <c r="C400">
        <v>-51</v>
      </c>
      <c r="D400">
        <v>3</v>
      </c>
      <c r="E400" t="s">
        <v>885</v>
      </c>
      <c r="F400" t="s">
        <v>886</v>
      </c>
    </row>
    <row r="401" spans="1:6" x14ac:dyDescent="0.25">
      <c r="A401" t="s">
        <v>319</v>
      </c>
      <c r="B401">
        <v>56</v>
      </c>
      <c r="C401">
        <v>0</v>
      </c>
      <c r="D401">
        <v>4</v>
      </c>
      <c r="E401" t="s">
        <v>885</v>
      </c>
      <c r="F401" t="s">
        <v>887</v>
      </c>
    </row>
    <row r="402" spans="1:6" x14ac:dyDescent="0.25">
      <c r="A402" t="s">
        <v>321</v>
      </c>
      <c r="B402">
        <v>373</v>
      </c>
      <c r="C402">
        <v>-254</v>
      </c>
      <c r="D402">
        <v>6</v>
      </c>
      <c r="E402" t="s">
        <v>888</v>
      </c>
      <c r="F402" t="s">
        <v>899</v>
      </c>
    </row>
    <row r="403" spans="1:6" x14ac:dyDescent="0.25">
      <c r="A403" t="s">
        <v>323</v>
      </c>
      <c r="B403">
        <v>44</v>
      </c>
      <c r="C403">
        <v>-8</v>
      </c>
      <c r="D403">
        <v>3</v>
      </c>
      <c r="E403" t="s">
        <v>885</v>
      </c>
      <c r="F403" t="s">
        <v>886</v>
      </c>
    </row>
    <row r="404" spans="1:6" x14ac:dyDescent="0.25">
      <c r="A404" t="s">
        <v>323</v>
      </c>
      <c r="B404">
        <v>296</v>
      </c>
      <c r="C404">
        <v>-225</v>
      </c>
      <c r="D404">
        <v>11</v>
      </c>
      <c r="E404" t="s">
        <v>885</v>
      </c>
      <c r="F404" t="s">
        <v>891</v>
      </c>
    </row>
    <row r="405" spans="1:6" x14ac:dyDescent="0.25">
      <c r="A405" t="s">
        <v>323</v>
      </c>
      <c r="B405">
        <v>670</v>
      </c>
      <c r="C405">
        <v>15</v>
      </c>
      <c r="D405">
        <v>5</v>
      </c>
      <c r="E405" t="s">
        <v>883</v>
      </c>
      <c r="F405" t="s">
        <v>884</v>
      </c>
    </row>
    <row r="406" spans="1:6" x14ac:dyDescent="0.25">
      <c r="A406" t="s">
        <v>323</v>
      </c>
      <c r="B406">
        <v>132</v>
      </c>
      <c r="C406">
        <v>-79</v>
      </c>
      <c r="D406">
        <v>5</v>
      </c>
      <c r="E406" t="s">
        <v>883</v>
      </c>
      <c r="F406" t="s">
        <v>901</v>
      </c>
    </row>
    <row r="407" spans="1:6" x14ac:dyDescent="0.25">
      <c r="A407" t="s">
        <v>325</v>
      </c>
      <c r="B407">
        <v>87</v>
      </c>
      <c r="C407">
        <v>16</v>
      </c>
      <c r="D407">
        <v>2</v>
      </c>
      <c r="E407" t="s">
        <v>885</v>
      </c>
      <c r="F407" t="s">
        <v>891</v>
      </c>
    </row>
    <row r="408" spans="1:6" x14ac:dyDescent="0.25">
      <c r="A408" t="s">
        <v>327</v>
      </c>
      <c r="B408">
        <v>877</v>
      </c>
      <c r="C408">
        <v>395</v>
      </c>
      <c r="D408">
        <v>2</v>
      </c>
      <c r="E408" t="s">
        <v>883</v>
      </c>
      <c r="F408" t="s">
        <v>884</v>
      </c>
    </row>
    <row r="409" spans="1:6" x14ac:dyDescent="0.25">
      <c r="A409" t="s">
        <v>329</v>
      </c>
      <c r="B409">
        <v>141</v>
      </c>
      <c r="C409">
        <v>10</v>
      </c>
      <c r="D409">
        <v>4</v>
      </c>
      <c r="E409" t="s">
        <v>885</v>
      </c>
      <c r="F409" t="s">
        <v>896</v>
      </c>
    </row>
    <row r="410" spans="1:6" x14ac:dyDescent="0.25">
      <c r="A410" t="s">
        <v>329</v>
      </c>
      <c r="B410">
        <v>224</v>
      </c>
      <c r="C410">
        <v>58</v>
      </c>
      <c r="D410">
        <v>3</v>
      </c>
      <c r="E410" t="s">
        <v>888</v>
      </c>
      <c r="F410" t="s">
        <v>890</v>
      </c>
    </row>
    <row r="411" spans="1:6" x14ac:dyDescent="0.25">
      <c r="A411" t="s">
        <v>329</v>
      </c>
      <c r="B411">
        <v>8</v>
      </c>
      <c r="C411">
        <v>-1</v>
      </c>
      <c r="D411">
        <v>2</v>
      </c>
      <c r="E411" t="s">
        <v>885</v>
      </c>
      <c r="F411" t="s">
        <v>897</v>
      </c>
    </row>
    <row r="412" spans="1:6" x14ac:dyDescent="0.25">
      <c r="A412" t="s">
        <v>329</v>
      </c>
      <c r="B412">
        <v>47</v>
      </c>
      <c r="C412">
        <v>-21</v>
      </c>
      <c r="D412">
        <v>2</v>
      </c>
      <c r="E412" t="s">
        <v>888</v>
      </c>
      <c r="F412" t="s">
        <v>889</v>
      </c>
    </row>
    <row r="413" spans="1:6" x14ac:dyDescent="0.25">
      <c r="A413" t="s">
        <v>331</v>
      </c>
      <c r="B413">
        <v>1052</v>
      </c>
      <c r="C413">
        <v>-82</v>
      </c>
      <c r="D413">
        <v>3</v>
      </c>
      <c r="E413" t="s">
        <v>883</v>
      </c>
      <c r="F413" t="s">
        <v>884</v>
      </c>
    </row>
    <row r="414" spans="1:6" x14ac:dyDescent="0.25">
      <c r="A414" t="s">
        <v>332</v>
      </c>
      <c r="B414">
        <v>212</v>
      </c>
      <c r="C414">
        <v>-24</v>
      </c>
      <c r="D414">
        <v>2</v>
      </c>
      <c r="E414" t="s">
        <v>883</v>
      </c>
      <c r="F414" t="s">
        <v>893</v>
      </c>
    </row>
    <row r="415" spans="1:6" x14ac:dyDescent="0.25">
      <c r="A415" t="s">
        <v>332</v>
      </c>
      <c r="B415">
        <v>42</v>
      </c>
      <c r="C415">
        <v>-15</v>
      </c>
      <c r="D415">
        <v>12</v>
      </c>
      <c r="E415" t="s">
        <v>885</v>
      </c>
      <c r="F415" t="s">
        <v>902</v>
      </c>
    </row>
    <row r="416" spans="1:6" x14ac:dyDescent="0.25">
      <c r="A416" t="s">
        <v>332</v>
      </c>
      <c r="B416">
        <v>208</v>
      </c>
      <c r="C416">
        <v>-25</v>
      </c>
      <c r="D416">
        <v>2</v>
      </c>
      <c r="E416" t="s">
        <v>885</v>
      </c>
      <c r="F416" t="s">
        <v>891</v>
      </c>
    </row>
    <row r="417" spans="1:6" x14ac:dyDescent="0.25">
      <c r="A417" t="s">
        <v>332</v>
      </c>
      <c r="B417">
        <v>22</v>
      </c>
      <c r="C417">
        <v>-12</v>
      </c>
      <c r="D417">
        <v>3</v>
      </c>
      <c r="E417" t="s">
        <v>885</v>
      </c>
      <c r="F417" t="s">
        <v>886</v>
      </c>
    </row>
    <row r="418" spans="1:6" x14ac:dyDescent="0.25">
      <c r="A418" t="s">
        <v>332</v>
      </c>
      <c r="B418">
        <v>539</v>
      </c>
      <c r="C418">
        <v>-146</v>
      </c>
      <c r="D418">
        <v>7</v>
      </c>
      <c r="E418" t="s">
        <v>883</v>
      </c>
      <c r="F418" t="s">
        <v>901</v>
      </c>
    </row>
    <row r="419" spans="1:6" x14ac:dyDescent="0.25">
      <c r="A419" t="s">
        <v>332</v>
      </c>
      <c r="B419">
        <v>78</v>
      </c>
      <c r="C419">
        <v>-6</v>
      </c>
      <c r="D419">
        <v>2</v>
      </c>
      <c r="E419" t="s">
        <v>883</v>
      </c>
      <c r="F419" t="s">
        <v>901</v>
      </c>
    </row>
    <row r="420" spans="1:6" x14ac:dyDescent="0.25">
      <c r="A420" t="s">
        <v>332</v>
      </c>
      <c r="B420">
        <v>20</v>
      </c>
      <c r="C420">
        <v>-18</v>
      </c>
      <c r="D420">
        <v>2</v>
      </c>
      <c r="E420" t="s">
        <v>885</v>
      </c>
      <c r="F420" t="s">
        <v>891</v>
      </c>
    </row>
    <row r="421" spans="1:6" x14ac:dyDescent="0.25">
      <c r="A421" t="s">
        <v>332</v>
      </c>
      <c r="B421">
        <v>19</v>
      </c>
      <c r="C421">
        <v>-1</v>
      </c>
      <c r="D421">
        <v>1</v>
      </c>
      <c r="E421" t="s">
        <v>885</v>
      </c>
      <c r="F421" t="s">
        <v>896</v>
      </c>
    </row>
    <row r="422" spans="1:6" x14ac:dyDescent="0.25">
      <c r="A422" t="s">
        <v>332</v>
      </c>
      <c r="B422">
        <v>73</v>
      </c>
      <c r="C422">
        <v>-31</v>
      </c>
      <c r="D422">
        <v>1</v>
      </c>
      <c r="E422" t="s">
        <v>883</v>
      </c>
      <c r="F422" t="s">
        <v>884</v>
      </c>
    </row>
    <row r="423" spans="1:6" x14ac:dyDescent="0.25">
      <c r="A423" t="s">
        <v>334</v>
      </c>
      <c r="B423">
        <v>10</v>
      </c>
      <c r="C423">
        <v>-8</v>
      </c>
      <c r="D423">
        <v>1</v>
      </c>
      <c r="E423" t="s">
        <v>885</v>
      </c>
      <c r="F423" t="s">
        <v>894</v>
      </c>
    </row>
    <row r="424" spans="1:6" x14ac:dyDescent="0.25">
      <c r="A424" t="s">
        <v>334</v>
      </c>
      <c r="B424">
        <v>14</v>
      </c>
      <c r="C424">
        <v>-3</v>
      </c>
      <c r="D424">
        <v>2</v>
      </c>
      <c r="E424" t="s">
        <v>885</v>
      </c>
      <c r="F424" t="s">
        <v>897</v>
      </c>
    </row>
    <row r="425" spans="1:6" x14ac:dyDescent="0.25">
      <c r="A425" t="s">
        <v>334</v>
      </c>
      <c r="B425">
        <v>68</v>
      </c>
      <c r="C425">
        <v>-56</v>
      </c>
      <c r="D425">
        <v>2</v>
      </c>
      <c r="E425" t="s">
        <v>888</v>
      </c>
      <c r="F425" t="s">
        <v>890</v>
      </c>
    </row>
    <row r="426" spans="1:6" x14ac:dyDescent="0.25">
      <c r="A426" t="s">
        <v>334</v>
      </c>
      <c r="B426">
        <v>106</v>
      </c>
      <c r="C426">
        <v>0</v>
      </c>
      <c r="D426">
        <v>2</v>
      </c>
      <c r="E426" t="s">
        <v>888</v>
      </c>
      <c r="F426" t="s">
        <v>890</v>
      </c>
    </row>
    <row r="427" spans="1:6" x14ac:dyDescent="0.25">
      <c r="A427" t="s">
        <v>334</v>
      </c>
      <c r="B427">
        <v>43</v>
      </c>
      <c r="C427">
        <v>-5</v>
      </c>
      <c r="D427">
        <v>2</v>
      </c>
      <c r="E427" t="s">
        <v>885</v>
      </c>
      <c r="F427" t="s">
        <v>891</v>
      </c>
    </row>
    <row r="428" spans="1:6" x14ac:dyDescent="0.25">
      <c r="A428" t="s">
        <v>334</v>
      </c>
      <c r="B428">
        <v>43</v>
      </c>
      <c r="C428">
        <v>21</v>
      </c>
      <c r="D428">
        <v>3</v>
      </c>
      <c r="E428" t="s">
        <v>885</v>
      </c>
      <c r="F428" t="s">
        <v>896</v>
      </c>
    </row>
    <row r="429" spans="1:6" x14ac:dyDescent="0.25">
      <c r="A429" t="s">
        <v>334</v>
      </c>
      <c r="B429">
        <v>534</v>
      </c>
      <c r="C429">
        <v>5</v>
      </c>
      <c r="D429">
        <v>2</v>
      </c>
      <c r="E429" t="s">
        <v>888</v>
      </c>
      <c r="F429" t="s">
        <v>889</v>
      </c>
    </row>
    <row r="430" spans="1:6" x14ac:dyDescent="0.25">
      <c r="A430" t="s">
        <v>334</v>
      </c>
      <c r="B430">
        <v>32</v>
      </c>
      <c r="C430">
        <v>7</v>
      </c>
      <c r="D430">
        <v>3</v>
      </c>
      <c r="E430" t="s">
        <v>885</v>
      </c>
      <c r="F430" t="s">
        <v>887</v>
      </c>
    </row>
    <row r="431" spans="1:6" x14ac:dyDescent="0.25">
      <c r="A431" t="s">
        <v>334</v>
      </c>
      <c r="B431">
        <v>65</v>
      </c>
      <c r="C431">
        <v>-4</v>
      </c>
      <c r="D431">
        <v>6</v>
      </c>
      <c r="E431" t="s">
        <v>885</v>
      </c>
      <c r="F431" t="s">
        <v>887</v>
      </c>
    </row>
    <row r="432" spans="1:6" x14ac:dyDescent="0.25">
      <c r="A432" t="s">
        <v>334</v>
      </c>
      <c r="B432">
        <v>221</v>
      </c>
      <c r="C432">
        <v>-15</v>
      </c>
      <c r="D432">
        <v>2</v>
      </c>
      <c r="E432" t="s">
        <v>888</v>
      </c>
      <c r="F432" t="s">
        <v>889</v>
      </c>
    </row>
    <row r="433" spans="1:6" x14ac:dyDescent="0.25">
      <c r="A433" t="s">
        <v>336</v>
      </c>
      <c r="B433">
        <v>1361</v>
      </c>
      <c r="C433">
        <v>197</v>
      </c>
      <c r="D433">
        <v>9</v>
      </c>
      <c r="E433" t="s">
        <v>883</v>
      </c>
      <c r="F433" t="s">
        <v>884</v>
      </c>
    </row>
    <row r="434" spans="1:6" x14ac:dyDescent="0.25">
      <c r="A434" t="s">
        <v>336</v>
      </c>
      <c r="B434">
        <v>761</v>
      </c>
      <c r="C434">
        <v>266</v>
      </c>
      <c r="D434">
        <v>9</v>
      </c>
      <c r="E434" t="s">
        <v>888</v>
      </c>
      <c r="F434" t="s">
        <v>889</v>
      </c>
    </row>
    <row r="435" spans="1:6" x14ac:dyDescent="0.25">
      <c r="A435" t="s">
        <v>336</v>
      </c>
      <c r="B435">
        <v>76</v>
      </c>
      <c r="C435">
        <v>27</v>
      </c>
      <c r="D435">
        <v>5</v>
      </c>
      <c r="E435" t="s">
        <v>885</v>
      </c>
      <c r="F435" t="s">
        <v>886</v>
      </c>
    </row>
    <row r="436" spans="1:6" x14ac:dyDescent="0.25">
      <c r="A436" t="s">
        <v>336</v>
      </c>
      <c r="B436">
        <v>91</v>
      </c>
      <c r="C436">
        <v>15</v>
      </c>
      <c r="D436">
        <v>6</v>
      </c>
      <c r="E436" t="s">
        <v>885</v>
      </c>
      <c r="F436" t="s">
        <v>895</v>
      </c>
    </row>
    <row r="437" spans="1:6" x14ac:dyDescent="0.25">
      <c r="A437" t="s">
        <v>336</v>
      </c>
      <c r="B437">
        <v>8</v>
      </c>
      <c r="C437">
        <v>-2</v>
      </c>
      <c r="D437">
        <v>2</v>
      </c>
      <c r="E437" t="s">
        <v>885</v>
      </c>
      <c r="F437" t="s">
        <v>887</v>
      </c>
    </row>
    <row r="438" spans="1:6" x14ac:dyDescent="0.25">
      <c r="A438" t="s">
        <v>336</v>
      </c>
      <c r="B438">
        <v>735</v>
      </c>
      <c r="C438">
        <v>-235</v>
      </c>
      <c r="D438">
        <v>6</v>
      </c>
      <c r="E438" t="s">
        <v>888</v>
      </c>
      <c r="F438" t="s">
        <v>899</v>
      </c>
    </row>
    <row r="439" spans="1:6" x14ac:dyDescent="0.25">
      <c r="A439" t="s">
        <v>336</v>
      </c>
      <c r="B439">
        <v>33</v>
      </c>
      <c r="C439">
        <v>-27</v>
      </c>
      <c r="D439">
        <v>1</v>
      </c>
      <c r="E439" t="s">
        <v>883</v>
      </c>
      <c r="F439" t="s">
        <v>893</v>
      </c>
    </row>
    <row r="440" spans="1:6" x14ac:dyDescent="0.25">
      <c r="A440" t="s">
        <v>338</v>
      </c>
      <c r="B440">
        <v>62</v>
      </c>
      <c r="C440">
        <v>-56</v>
      </c>
      <c r="D440">
        <v>5</v>
      </c>
      <c r="E440" t="s">
        <v>885</v>
      </c>
      <c r="F440" t="s">
        <v>894</v>
      </c>
    </row>
    <row r="441" spans="1:6" x14ac:dyDescent="0.25">
      <c r="A441" t="s">
        <v>338</v>
      </c>
      <c r="B441">
        <v>27</v>
      </c>
      <c r="C441">
        <v>-20</v>
      </c>
      <c r="D441">
        <v>2</v>
      </c>
      <c r="E441" t="s">
        <v>885</v>
      </c>
      <c r="F441" t="s">
        <v>887</v>
      </c>
    </row>
    <row r="442" spans="1:6" x14ac:dyDescent="0.25">
      <c r="A442" t="s">
        <v>338</v>
      </c>
      <c r="B442">
        <v>65</v>
      </c>
      <c r="C442">
        <v>-52</v>
      </c>
      <c r="D442">
        <v>3</v>
      </c>
      <c r="E442" t="s">
        <v>888</v>
      </c>
      <c r="F442" t="s">
        <v>900</v>
      </c>
    </row>
    <row r="443" spans="1:6" x14ac:dyDescent="0.25">
      <c r="A443" t="s">
        <v>338</v>
      </c>
      <c r="B443">
        <v>47</v>
      </c>
      <c r="C443">
        <v>-114</v>
      </c>
      <c r="D443">
        <v>5</v>
      </c>
      <c r="E443" t="s">
        <v>883</v>
      </c>
      <c r="F443" t="s">
        <v>901</v>
      </c>
    </row>
    <row r="444" spans="1:6" x14ac:dyDescent="0.25">
      <c r="A444" t="s">
        <v>338</v>
      </c>
      <c r="B444">
        <v>341</v>
      </c>
      <c r="C444">
        <v>-85</v>
      </c>
      <c r="D444">
        <v>6</v>
      </c>
      <c r="E444" t="s">
        <v>885</v>
      </c>
      <c r="F444" t="s">
        <v>892</v>
      </c>
    </row>
    <row r="445" spans="1:6" x14ac:dyDescent="0.25">
      <c r="A445" t="s">
        <v>338</v>
      </c>
      <c r="B445">
        <v>107</v>
      </c>
      <c r="C445">
        <v>31</v>
      </c>
      <c r="D445">
        <v>5</v>
      </c>
      <c r="E445" t="s">
        <v>885</v>
      </c>
      <c r="F445" t="s">
        <v>895</v>
      </c>
    </row>
    <row r="446" spans="1:6" x14ac:dyDescent="0.25">
      <c r="A446" t="s">
        <v>338</v>
      </c>
      <c r="B446">
        <v>154</v>
      </c>
      <c r="C446">
        <v>22</v>
      </c>
      <c r="D446">
        <v>7</v>
      </c>
      <c r="E446" t="s">
        <v>885</v>
      </c>
      <c r="F446" t="s">
        <v>895</v>
      </c>
    </row>
    <row r="447" spans="1:6" x14ac:dyDescent="0.25">
      <c r="A447" t="s">
        <v>338</v>
      </c>
      <c r="B447">
        <v>620</v>
      </c>
      <c r="C447">
        <v>82</v>
      </c>
      <c r="D447">
        <v>6</v>
      </c>
      <c r="E447" t="s">
        <v>888</v>
      </c>
      <c r="F447" t="s">
        <v>900</v>
      </c>
    </row>
    <row r="448" spans="1:6" x14ac:dyDescent="0.25">
      <c r="A448" t="s">
        <v>338</v>
      </c>
      <c r="B448">
        <v>77</v>
      </c>
      <c r="C448">
        <v>-43</v>
      </c>
      <c r="D448">
        <v>8</v>
      </c>
      <c r="E448" t="s">
        <v>885</v>
      </c>
      <c r="F448" t="s">
        <v>886</v>
      </c>
    </row>
    <row r="449" spans="1:6" x14ac:dyDescent="0.25">
      <c r="A449" t="s">
        <v>339</v>
      </c>
      <c r="B449">
        <v>72</v>
      </c>
      <c r="C449">
        <v>-46</v>
      </c>
      <c r="D449">
        <v>7</v>
      </c>
      <c r="E449" t="s">
        <v>885</v>
      </c>
      <c r="F449" t="s">
        <v>894</v>
      </c>
    </row>
    <row r="450" spans="1:6" x14ac:dyDescent="0.25">
      <c r="A450" t="s">
        <v>339</v>
      </c>
      <c r="B450">
        <v>41</v>
      </c>
      <c r="C450">
        <v>-14</v>
      </c>
      <c r="D450">
        <v>5</v>
      </c>
      <c r="E450" t="s">
        <v>885</v>
      </c>
      <c r="F450" t="s">
        <v>897</v>
      </c>
    </row>
    <row r="451" spans="1:6" x14ac:dyDescent="0.25">
      <c r="A451" t="s">
        <v>339</v>
      </c>
      <c r="B451">
        <v>30</v>
      </c>
      <c r="C451">
        <v>-23</v>
      </c>
      <c r="D451">
        <v>2</v>
      </c>
      <c r="E451" t="s">
        <v>885</v>
      </c>
      <c r="F451" t="s">
        <v>891</v>
      </c>
    </row>
    <row r="452" spans="1:6" x14ac:dyDescent="0.25">
      <c r="A452" t="s">
        <v>339</v>
      </c>
      <c r="B452">
        <v>93</v>
      </c>
      <c r="C452">
        <v>-65</v>
      </c>
      <c r="D452">
        <v>4</v>
      </c>
      <c r="E452" t="s">
        <v>885</v>
      </c>
      <c r="F452" t="s">
        <v>886</v>
      </c>
    </row>
    <row r="453" spans="1:6" x14ac:dyDescent="0.25">
      <c r="A453" t="s">
        <v>339</v>
      </c>
      <c r="B453">
        <v>19</v>
      </c>
      <c r="C453">
        <v>0</v>
      </c>
      <c r="D453">
        <v>3</v>
      </c>
      <c r="E453" t="s">
        <v>885</v>
      </c>
      <c r="F453" t="s">
        <v>902</v>
      </c>
    </row>
    <row r="454" spans="1:6" x14ac:dyDescent="0.25">
      <c r="A454" t="s">
        <v>339</v>
      </c>
      <c r="B454">
        <v>9</v>
      </c>
      <c r="C454">
        <v>-1</v>
      </c>
      <c r="D454">
        <v>3</v>
      </c>
      <c r="E454" t="s">
        <v>885</v>
      </c>
      <c r="F454" t="s">
        <v>902</v>
      </c>
    </row>
    <row r="455" spans="1:6" x14ac:dyDescent="0.25">
      <c r="A455" t="s">
        <v>339</v>
      </c>
      <c r="B455">
        <v>319</v>
      </c>
      <c r="C455">
        <v>-312</v>
      </c>
      <c r="D455">
        <v>5</v>
      </c>
      <c r="E455" t="s">
        <v>885</v>
      </c>
      <c r="F455" t="s">
        <v>891</v>
      </c>
    </row>
    <row r="456" spans="1:6" x14ac:dyDescent="0.25">
      <c r="A456" t="s">
        <v>339</v>
      </c>
      <c r="B456">
        <v>262</v>
      </c>
      <c r="C456">
        <v>-215</v>
      </c>
      <c r="D456">
        <v>2</v>
      </c>
      <c r="E456" t="s">
        <v>888</v>
      </c>
      <c r="F456" t="s">
        <v>899</v>
      </c>
    </row>
    <row r="457" spans="1:6" x14ac:dyDescent="0.25">
      <c r="A457" t="s">
        <v>341</v>
      </c>
      <c r="B457">
        <v>37</v>
      </c>
      <c r="C457">
        <v>-53</v>
      </c>
      <c r="D457">
        <v>3</v>
      </c>
      <c r="E457" t="s">
        <v>885</v>
      </c>
      <c r="F457" t="s">
        <v>891</v>
      </c>
    </row>
    <row r="458" spans="1:6" x14ac:dyDescent="0.25">
      <c r="A458" t="s">
        <v>341</v>
      </c>
      <c r="B458">
        <v>257</v>
      </c>
      <c r="C458">
        <v>-3</v>
      </c>
      <c r="D458">
        <v>2</v>
      </c>
      <c r="E458" t="s">
        <v>883</v>
      </c>
      <c r="F458" t="s">
        <v>884</v>
      </c>
    </row>
    <row r="459" spans="1:6" x14ac:dyDescent="0.25">
      <c r="A459" t="s">
        <v>341</v>
      </c>
      <c r="B459">
        <v>80</v>
      </c>
      <c r="C459">
        <v>-19</v>
      </c>
      <c r="D459">
        <v>5</v>
      </c>
      <c r="E459" t="s">
        <v>885</v>
      </c>
      <c r="F459" t="s">
        <v>886</v>
      </c>
    </row>
    <row r="460" spans="1:6" x14ac:dyDescent="0.25">
      <c r="A460" t="s">
        <v>341</v>
      </c>
      <c r="B460">
        <v>321</v>
      </c>
      <c r="C460">
        <v>-315</v>
      </c>
      <c r="D460">
        <v>5</v>
      </c>
      <c r="E460" t="s">
        <v>885</v>
      </c>
      <c r="F460" t="s">
        <v>891</v>
      </c>
    </row>
    <row r="461" spans="1:6" x14ac:dyDescent="0.25">
      <c r="A461" t="s">
        <v>341</v>
      </c>
      <c r="B461">
        <v>47</v>
      </c>
      <c r="C461">
        <v>-3</v>
      </c>
      <c r="D461">
        <v>2</v>
      </c>
      <c r="E461" t="s">
        <v>885</v>
      </c>
      <c r="F461" t="s">
        <v>886</v>
      </c>
    </row>
    <row r="462" spans="1:6" x14ac:dyDescent="0.25">
      <c r="A462" t="s">
        <v>341</v>
      </c>
      <c r="B462">
        <v>593</v>
      </c>
      <c r="C462">
        <v>213</v>
      </c>
      <c r="D462">
        <v>4</v>
      </c>
      <c r="E462" t="s">
        <v>883</v>
      </c>
      <c r="F462" t="s">
        <v>884</v>
      </c>
    </row>
    <row r="463" spans="1:6" x14ac:dyDescent="0.25">
      <c r="A463" t="s">
        <v>341</v>
      </c>
      <c r="B463">
        <v>134</v>
      </c>
      <c r="C463">
        <v>-34</v>
      </c>
      <c r="D463">
        <v>2</v>
      </c>
      <c r="E463" t="s">
        <v>883</v>
      </c>
      <c r="F463" t="s">
        <v>893</v>
      </c>
    </row>
    <row r="464" spans="1:6" x14ac:dyDescent="0.25">
      <c r="A464" t="s">
        <v>341</v>
      </c>
      <c r="B464">
        <v>1709</v>
      </c>
      <c r="C464">
        <v>564</v>
      </c>
      <c r="D464">
        <v>3</v>
      </c>
      <c r="E464" t="s">
        <v>885</v>
      </c>
      <c r="F464" t="s">
        <v>892</v>
      </c>
    </row>
    <row r="465" spans="1:6" x14ac:dyDescent="0.25">
      <c r="A465" t="s">
        <v>341</v>
      </c>
      <c r="B465">
        <v>27</v>
      </c>
      <c r="C465">
        <v>4</v>
      </c>
      <c r="D465">
        <v>2</v>
      </c>
      <c r="E465" t="s">
        <v>885</v>
      </c>
      <c r="F465" t="s">
        <v>891</v>
      </c>
    </row>
    <row r="466" spans="1:6" x14ac:dyDescent="0.25">
      <c r="A466" t="s">
        <v>343</v>
      </c>
      <c r="B466">
        <v>465</v>
      </c>
      <c r="C466">
        <v>-33</v>
      </c>
      <c r="D466">
        <v>4</v>
      </c>
      <c r="E466" t="s">
        <v>888</v>
      </c>
      <c r="F466" t="s">
        <v>890</v>
      </c>
    </row>
    <row r="467" spans="1:6" x14ac:dyDescent="0.25">
      <c r="A467" t="s">
        <v>343</v>
      </c>
      <c r="B467">
        <v>643</v>
      </c>
      <c r="C467">
        <v>-45</v>
      </c>
      <c r="D467">
        <v>2</v>
      </c>
      <c r="E467" t="s">
        <v>888</v>
      </c>
      <c r="F467" t="s">
        <v>899</v>
      </c>
    </row>
    <row r="468" spans="1:6" x14ac:dyDescent="0.25">
      <c r="A468" t="s">
        <v>343</v>
      </c>
      <c r="B468">
        <v>204</v>
      </c>
      <c r="C468">
        <v>-276</v>
      </c>
      <c r="D468">
        <v>3</v>
      </c>
      <c r="E468" t="s">
        <v>883</v>
      </c>
      <c r="F468" t="s">
        <v>884</v>
      </c>
    </row>
    <row r="469" spans="1:6" x14ac:dyDescent="0.25">
      <c r="A469" t="s">
        <v>343</v>
      </c>
      <c r="B469">
        <v>729</v>
      </c>
      <c r="C469">
        <v>-492</v>
      </c>
      <c r="D469">
        <v>5</v>
      </c>
      <c r="E469" t="s">
        <v>883</v>
      </c>
      <c r="F469" t="s">
        <v>884</v>
      </c>
    </row>
    <row r="470" spans="1:6" x14ac:dyDescent="0.25">
      <c r="A470" t="s">
        <v>343</v>
      </c>
      <c r="B470">
        <v>29</v>
      </c>
      <c r="C470">
        <v>-24</v>
      </c>
      <c r="D470">
        <v>4</v>
      </c>
      <c r="E470" t="s">
        <v>885</v>
      </c>
      <c r="F470" t="s">
        <v>897</v>
      </c>
    </row>
    <row r="471" spans="1:6" x14ac:dyDescent="0.25">
      <c r="A471" t="s">
        <v>345</v>
      </c>
      <c r="B471">
        <v>17</v>
      </c>
      <c r="C471">
        <v>-13</v>
      </c>
      <c r="D471">
        <v>4</v>
      </c>
      <c r="E471" t="s">
        <v>885</v>
      </c>
      <c r="F471" t="s">
        <v>902</v>
      </c>
    </row>
    <row r="472" spans="1:6" x14ac:dyDescent="0.25">
      <c r="A472" t="s">
        <v>345</v>
      </c>
      <c r="B472">
        <v>34</v>
      </c>
      <c r="C472">
        <v>-11</v>
      </c>
      <c r="D472">
        <v>5</v>
      </c>
      <c r="E472" t="s">
        <v>885</v>
      </c>
      <c r="F472" t="s">
        <v>895</v>
      </c>
    </row>
    <row r="473" spans="1:6" x14ac:dyDescent="0.25">
      <c r="A473" t="s">
        <v>345</v>
      </c>
      <c r="B473">
        <v>98</v>
      </c>
      <c r="C473">
        <v>9</v>
      </c>
      <c r="D473">
        <v>2</v>
      </c>
      <c r="E473" t="s">
        <v>883</v>
      </c>
      <c r="F473" t="s">
        <v>901</v>
      </c>
    </row>
    <row r="474" spans="1:6" x14ac:dyDescent="0.25">
      <c r="A474" t="s">
        <v>345</v>
      </c>
      <c r="B474">
        <v>3151</v>
      </c>
      <c r="C474">
        <v>-35</v>
      </c>
      <c r="D474">
        <v>7</v>
      </c>
      <c r="E474" t="s">
        <v>885</v>
      </c>
      <c r="F474" t="s">
        <v>892</v>
      </c>
    </row>
    <row r="475" spans="1:6" x14ac:dyDescent="0.25">
      <c r="A475" t="s">
        <v>345</v>
      </c>
      <c r="B475">
        <v>53</v>
      </c>
      <c r="C475">
        <v>15</v>
      </c>
      <c r="D475">
        <v>2</v>
      </c>
      <c r="E475" t="s">
        <v>885</v>
      </c>
      <c r="F475" t="s">
        <v>886</v>
      </c>
    </row>
    <row r="476" spans="1:6" x14ac:dyDescent="0.25">
      <c r="A476" t="s">
        <v>345</v>
      </c>
      <c r="B476">
        <v>165</v>
      </c>
      <c r="C476">
        <v>30</v>
      </c>
      <c r="D476">
        <v>3</v>
      </c>
      <c r="E476" t="s">
        <v>885</v>
      </c>
      <c r="F476" t="s">
        <v>886</v>
      </c>
    </row>
    <row r="477" spans="1:6" x14ac:dyDescent="0.25">
      <c r="A477" t="s">
        <v>345</v>
      </c>
      <c r="B477">
        <v>211</v>
      </c>
      <c r="C477">
        <v>19</v>
      </c>
      <c r="D477">
        <v>8</v>
      </c>
      <c r="E477" t="s">
        <v>885</v>
      </c>
      <c r="F477" t="s">
        <v>886</v>
      </c>
    </row>
    <row r="478" spans="1:6" x14ac:dyDescent="0.25">
      <c r="A478" t="s">
        <v>345</v>
      </c>
      <c r="B478">
        <v>106</v>
      </c>
      <c r="C478">
        <v>15</v>
      </c>
      <c r="D478">
        <v>7</v>
      </c>
      <c r="E478" t="s">
        <v>885</v>
      </c>
      <c r="F478" t="s">
        <v>887</v>
      </c>
    </row>
    <row r="479" spans="1:6" x14ac:dyDescent="0.25">
      <c r="A479" t="s">
        <v>345</v>
      </c>
      <c r="B479">
        <v>14</v>
      </c>
      <c r="C479">
        <v>5</v>
      </c>
      <c r="D479">
        <v>1</v>
      </c>
      <c r="E479" t="s">
        <v>885</v>
      </c>
      <c r="F479" t="s">
        <v>887</v>
      </c>
    </row>
    <row r="480" spans="1:6" x14ac:dyDescent="0.25">
      <c r="A480" t="s">
        <v>345</v>
      </c>
      <c r="B480">
        <v>17</v>
      </c>
      <c r="C480">
        <v>7</v>
      </c>
      <c r="D480">
        <v>3</v>
      </c>
      <c r="E480" t="s">
        <v>885</v>
      </c>
      <c r="F480" t="s">
        <v>887</v>
      </c>
    </row>
    <row r="481" spans="1:6" x14ac:dyDescent="0.25">
      <c r="A481" t="s">
        <v>345</v>
      </c>
      <c r="B481">
        <v>46</v>
      </c>
      <c r="C481">
        <v>14</v>
      </c>
      <c r="D481">
        <v>5</v>
      </c>
      <c r="E481" t="s">
        <v>885</v>
      </c>
      <c r="F481" t="s">
        <v>902</v>
      </c>
    </row>
    <row r="482" spans="1:6" x14ac:dyDescent="0.25">
      <c r="A482" t="s">
        <v>347</v>
      </c>
      <c r="B482">
        <v>8</v>
      </c>
      <c r="C482">
        <v>-2</v>
      </c>
      <c r="D482">
        <v>1</v>
      </c>
      <c r="E482" t="s">
        <v>885</v>
      </c>
      <c r="F482" t="s">
        <v>886</v>
      </c>
    </row>
    <row r="483" spans="1:6" x14ac:dyDescent="0.25">
      <c r="A483" t="s">
        <v>348</v>
      </c>
      <c r="B483">
        <v>20</v>
      </c>
      <c r="C483">
        <v>-9</v>
      </c>
      <c r="D483">
        <v>6</v>
      </c>
      <c r="E483" t="s">
        <v>885</v>
      </c>
      <c r="F483" t="s">
        <v>887</v>
      </c>
    </row>
    <row r="484" spans="1:6" x14ac:dyDescent="0.25">
      <c r="A484" t="s">
        <v>350</v>
      </c>
      <c r="B484">
        <v>322</v>
      </c>
      <c r="C484">
        <v>-193</v>
      </c>
      <c r="D484">
        <v>5</v>
      </c>
      <c r="E484" t="s">
        <v>888</v>
      </c>
      <c r="F484" t="s">
        <v>899</v>
      </c>
    </row>
    <row r="485" spans="1:6" x14ac:dyDescent="0.25">
      <c r="A485" t="s">
        <v>351</v>
      </c>
      <c r="B485">
        <v>2188</v>
      </c>
      <c r="C485">
        <v>1050</v>
      </c>
      <c r="D485">
        <v>5</v>
      </c>
      <c r="E485" t="s">
        <v>883</v>
      </c>
      <c r="F485" t="s">
        <v>884</v>
      </c>
    </row>
    <row r="486" spans="1:6" x14ac:dyDescent="0.25">
      <c r="A486" t="s">
        <v>351</v>
      </c>
      <c r="B486">
        <v>328</v>
      </c>
      <c r="C486">
        <v>-15</v>
      </c>
      <c r="D486">
        <v>3</v>
      </c>
      <c r="E486" t="s">
        <v>888</v>
      </c>
      <c r="F486" t="s">
        <v>889</v>
      </c>
    </row>
    <row r="487" spans="1:6" x14ac:dyDescent="0.25">
      <c r="A487" t="s">
        <v>351</v>
      </c>
      <c r="B487">
        <v>418</v>
      </c>
      <c r="C487">
        <v>70</v>
      </c>
      <c r="D487">
        <v>7</v>
      </c>
      <c r="E487" t="s">
        <v>888</v>
      </c>
      <c r="F487" t="s">
        <v>890</v>
      </c>
    </row>
    <row r="488" spans="1:6" x14ac:dyDescent="0.25">
      <c r="A488" t="s">
        <v>351</v>
      </c>
      <c r="B488">
        <v>40</v>
      </c>
      <c r="C488">
        <v>0</v>
      </c>
      <c r="D488">
        <v>3</v>
      </c>
      <c r="E488" t="s">
        <v>885</v>
      </c>
      <c r="F488" t="s">
        <v>891</v>
      </c>
    </row>
    <row r="489" spans="1:6" x14ac:dyDescent="0.25">
      <c r="A489" t="s">
        <v>351</v>
      </c>
      <c r="B489">
        <v>102</v>
      </c>
      <c r="C489">
        <v>-90</v>
      </c>
      <c r="D489">
        <v>1</v>
      </c>
      <c r="E489" t="s">
        <v>885</v>
      </c>
      <c r="F489" t="s">
        <v>891</v>
      </c>
    </row>
    <row r="490" spans="1:6" x14ac:dyDescent="0.25">
      <c r="A490" t="s">
        <v>351</v>
      </c>
      <c r="B490">
        <v>263</v>
      </c>
      <c r="C490">
        <v>-31</v>
      </c>
      <c r="D490">
        <v>9</v>
      </c>
      <c r="E490" t="s">
        <v>888</v>
      </c>
      <c r="F490" t="s">
        <v>889</v>
      </c>
    </row>
    <row r="491" spans="1:6" x14ac:dyDescent="0.25">
      <c r="A491" t="s">
        <v>352</v>
      </c>
      <c r="B491">
        <v>1316</v>
      </c>
      <c r="C491">
        <v>-527</v>
      </c>
      <c r="D491">
        <v>7</v>
      </c>
      <c r="E491" t="s">
        <v>888</v>
      </c>
      <c r="F491" t="s">
        <v>889</v>
      </c>
    </row>
    <row r="492" spans="1:6" x14ac:dyDescent="0.25">
      <c r="A492" t="s">
        <v>352</v>
      </c>
      <c r="B492">
        <v>27</v>
      </c>
      <c r="C492">
        <v>4</v>
      </c>
      <c r="D492">
        <v>3</v>
      </c>
      <c r="E492" t="s">
        <v>885</v>
      </c>
      <c r="F492" t="s">
        <v>902</v>
      </c>
    </row>
    <row r="493" spans="1:6" x14ac:dyDescent="0.25">
      <c r="A493" t="s">
        <v>352</v>
      </c>
      <c r="B493">
        <v>98</v>
      </c>
      <c r="C493">
        <v>-5</v>
      </c>
      <c r="D493">
        <v>2</v>
      </c>
      <c r="E493" t="s">
        <v>885</v>
      </c>
      <c r="F493" t="s">
        <v>891</v>
      </c>
    </row>
    <row r="494" spans="1:6" x14ac:dyDescent="0.25">
      <c r="A494" t="s">
        <v>354</v>
      </c>
      <c r="B494">
        <v>58</v>
      </c>
      <c r="C494">
        <v>-52</v>
      </c>
      <c r="D494">
        <v>3</v>
      </c>
      <c r="E494" t="s">
        <v>883</v>
      </c>
      <c r="F494" t="s">
        <v>893</v>
      </c>
    </row>
    <row r="495" spans="1:6" x14ac:dyDescent="0.25">
      <c r="A495" t="s">
        <v>356</v>
      </c>
      <c r="B495">
        <v>119</v>
      </c>
      <c r="C495">
        <v>43</v>
      </c>
      <c r="D495">
        <v>5</v>
      </c>
      <c r="E495" t="s">
        <v>885</v>
      </c>
      <c r="F495" t="s">
        <v>895</v>
      </c>
    </row>
    <row r="496" spans="1:6" x14ac:dyDescent="0.25">
      <c r="A496" t="s">
        <v>356</v>
      </c>
      <c r="B496">
        <v>765</v>
      </c>
      <c r="C496">
        <v>-153</v>
      </c>
      <c r="D496">
        <v>2</v>
      </c>
      <c r="E496" t="s">
        <v>888</v>
      </c>
      <c r="F496" t="s">
        <v>890</v>
      </c>
    </row>
    <row r="497" spans="1:6" x14ac:dyDescent="0.25">
      <c r="A497" t="s">
        <v>356</v>
      </c>
      <c r="B497">
        <v>26</v>
      </c>
      <c r="C497">
        <v>0</v>
      </c>
      <c r="D497">
        <v>2</v>
      </c>
      <c r="E497" t="s">
        <v>885</v>
      </c>
      <c r="F497" t="s">
        <v>894</v>
      </c>
    </row>
    <row r="498" spans="1:6" x14ac:dyDescent="0.25">
      <c r="A498" t="s">
        <v>356</v>
      </c>
      <c r="B498">
        <v>24</v>
      </c>
      <c r="C498">
        <v>-24</v>
      </c>
      <c r="D498">
        <v>2</v>
      </c>
      <c r="E498" t="s">
        <v>885</v>
      </c>
      <c r="F498" t="s">
        <v>891</v>
      </c>
    </row>
    <row r="499" spans="1:6" x14ac:dyDescent="0.25">
      <c r="A499" t="s">
        <v>358</v>
      </c>
      <c r="B499">
        <v>139</v>
      </c>
      <c r="C499">
        <v>14</v>
      </c>
      <c r="D499">
        <v>3</v>
      </c>
      <c r="E499" t="s">
        <v>885</v>
      </c>
      <c r="F499" t="s">
        <v>886</v>
      </c>
    </row>
    <row r="500" spans="1:6" x14ac:dyDescent="0.25">
      <c r="A500" t="s">
        <v>360</v>
      </c>
      <c r="B500">
        <v>220</v>
      </c>
      <c r="C500">
        <v>-19</v>
      </c>
      <c r="D500">
        <v>2</v>
      </c>
      <c r="E500" t="s">
        <v>885</v>
      </c>
      <c r="F500" t="s">
        <v>891</v>
      </c>
    </row>
    <row r="501" spans="1:6" x14ac:dyDescent="0.25">
      <c r="A501" t="s">
        <v>361</v>
      </c>
      <c r="B501">
        <v>299</v>
      </c>
      <c r="C501">
        <v>-28</v>
      </c>
      <c r="D501">
        <v>3</v>
      </c>
      <c r="E501" t="s">
        <v>888</v>
      </c>
      <c r="F501" t="s">
        <v>889</v>
      </c>
    </row>
    <row r="502" spans="1:6" x14ac:dyDescent="0.25">
      <c r="A502" t="s">
        <v>361</v>
      </c>
      <c r="B502">
        <v>9</v>
      </c>
      <c r="C502">
        <v>-9</v>
      </c>
      <c r="D502">
        <v>2</v>
      </c>
      <c r="E502" t="s">
        <v>885</v>
      </c>
      <c r="F502" t="s">
        <v>894</v>
      </c>
    </row>
    <row r="503" spans="1:6" x14ac:dyDescent="0.25">
      <c r="A503" t="s">
        <v>361</v>
      </c>
      <c r="B503">
        <v>74</v>
      </c>
      <c r="C503">
        <v>-59</v>
      </c>
      <c r="D503">
        <v>2</v>
      </c>
      <c r="E503" t="s">
        <v>888</v>
      </c>
      <c r="F503" t="s">
        <v>900</v>
      </c>
    </row>
    <row r="504" spans="1:6" x14ac:dyDescent="0.25">
      <c r="A504" t="s">
        <v>361</v>
      </c>
      <c r="B504">
        <v>29</v>
      </c>
      <c r="C504">
        <v>-3</v>
      </c>
      <c r="D504">
        <v>3</v>
      </c>
      <c r="E504" t="s">
        <v>885</v>
      </c>
      <c r="F504" t="s">
        <v>891</v>
      </c>
    </row>
    <row r="505" spans="1:6" x14ac:dyDescent="0.25">
      <c r="A505" t="s">
        <v>361</v>
      </c>
      <c r="B505">
        <v>48</v>
      </c>
      <c r="C505">
        <v>-22</v>
      </c>
      <c r="D505">
        <v>2</v>
      </c>
      <c r="E505" t="s">
        <v>885</v>
      </c>
      <c r="F505" t="s">
        <v>891</v>
      </c>
    </row>
    <row r="506" spans="1:6" x14ac:dyDescent="0.25">
      <c r="A506" t="s">
        <v>363</v>
      </c>
      <c r="B506">
        <v>1582</v>
      </c>
      <c r="C506">
        <v>-443</v>
      </c>
      <c r="D506">
        <v>6</v>
      </c>
      <c r="E506" t="s">
        <v>885</v>
      </c>
      <c r="F506" t="s">
        <v>892</v>
      </c>
    </row>
    <row r="507" spans="1:6" x14ac:dyDescent="0.25">
      <c r="A507" t="s">
        <v>365</v>
      </c>
      <c r="B507">
        <v>355</v>
      </c>
      <c r="C507">
        <v>-4</v>
      </c>
      <c r="D507">
        <v>2</v>
      </c>
      <c r="E507" t="s">
        <v>885</v>
      </c>
      <c r="F507" t="s">
        <v>891</v>
      </c>
    </row>
    <row r="508" spans="1:6" x14ac:dyDescent="0.25">
      <c r="A508" t="s">
        <v>367</v>
      </c>
      <c r="B508">
        <v>375</v>
      </c>
      <c r="C508">
        <v>180</v>
      </c>
      <c r="D508">
        <v>3</v>
      </c>
      <c r="E508" t="s">
        <v>883</v>
      </c>
      <c r="F508" t="s">
        <v>884</v>
      </c>
    </row>
    <row r="509" spans="1:6" x14ac:dyDescent="0.25">
      <c r="A509" t="s">
        <v>367</v>
      </c>
      <c r="B509">
        <v>299</v>
      </c>
      <c r="C509">
        <v>113</v>
      </c>
      <c r="D509">
        <v>2</v>
      </c>
      <c r="E509" t="s">
        <v>883</v>
      </c>
      <c r="F509" t="s">
        <v>884</v>
      </c>
    </row>
    <row r="510" spans="1:6" x14ac:dyDescent="0.25">
      <c r="A510" t="s">
        <v>367</v>
      </c>
      <c r="B510">
        <v>287</v>
      </c>
      <c r="C510">
        <v>-280</v>
      </c>
      <c r="D510">
        <v>12</v>
      </c>
      <c r="E510" t="s">
        <v>883</v>
      </c>
      <c r="F510" t="s">
        <v>893</v>
      </c>
    </row>
    <row r="511" spans="1:6" x14ac:dyDescent="0.25">
      <c r="A511" t="s">
        <v>367</v>
      </c>
      <c r="B511">
        <v>110</v>
      </c>
      <c r="C511">
        <v>35</v>
      </c>
      <c r="D511">
        <v>1</v>
      </c>
      <c r="E511" t="s">
        <v>883</v>
      </c>
      <c r="F511" t="s">
        <v>901</v>
      </c>
    </row>
    <row r="512" spans="1:6" x14ac:dyDescent="0.25">
      <c r="A512" t="s">
        <v>368</v>
      </c>
      <c r="B512">
        <v>148</v>
      </c>
      <c r="C512">
        <v>59</v>
      </c>
      <c r="D512">
        <v>3</v>
      </c>
      <c r="E512" t="s">
        <v>885</v>
      </c>
      <c r="F512" t="s">
        <v>887</v>
      </c>
    </row>
    <row r="513" spans="1:6" x14ac:dyDescent="0.25">
      <c r="A513" t="s">
        <v>370</v>
      </c>
      <c r="B513">
        <v>1183</v>
      </c>
      <c r="C513">
        <v>106</v>
      </c>
      <c r="D513">
        <v>4</v>
      </c>
      <c r="E513" t="s">
        <v>888</v>
      </c>
      <c r="F513" t="s">
        <v>899</v>
      </c>
    </row>
    <row r="514" spans="1:6" x14ac:dyDescent="0.25">
      <c r="A514" t="s">
        <v>372</v>
      </c>
      <c r="B514">
        <v>248</v>
      </c>
      <c r="C514">
        <v>-70</v>
      </c>
      <c r="D514">
        <v>3</v>
      </c>
      <c r="E514" t="s">
        <v>883</v>
      </c>
      <c r="F514" t="s">
        <v>893</v>
      </c>
    </row>
    <row r="515" spans="1:6" x14ac:dyDescent="0.25">
      <c r="A515" t="s">
        <v>372</v>
      </c>
      <c r="B515">
        <v>85</v>
      </c>
      <c r="C515">
        <v>-9</v>
      </c>
      <c r="D515">
        <v>4</v>
      </c>
      <c r="E515" t="s">
        <v>885</v>
      </c>
      <c r="F515" t="s">
        <v>891</v>
      </c>
    </row>
    <row r="516" spans="1:6" x14ac:dyDescent="0.25">
      <c r="A516" t="s">
        <v>372</v>
      </c>
      <c r="B516">
        <v>24</v>
      </c>
      <c r="C516">
        <v>-14</v>
      </c>
      <c r="D516">
        <v>2</v>
      </c>
      <c r="E516" t="s">
        <v>885</v>
      </c>
      <c r="F516" t="s">
        <v>891</v>
      </c>
    </row>
    <row r="517" spans="1:6" x14ac:dyDescent="0.25">
      <c r="A517" t="s">
        <v>372</v>
      </c>
      <c r="B517">
        <v>209</v>
      </c>
      <c r="C517">
        <v>-21</v>
      </c>
      <c r="D517">
        <v>2</v>
      </c>
      <c r="E517" t="s">
        <v>888</v>
      </c>
      <c r="F517" t="s">
        <v>889</v>
      </c>
    </row>
    <row r="518" spans="1:6" x14ac:dyDescent="0.25">
      <c r="A518" t="s">
        <v>372</v>
      </c>
      <c r="B518">
        <v>224</v>
      </c>
      <c r="C518">
        <v>-143</v>
      </c>
      <c r="D518">
        <v>3</v>
      </c>
      <c r="E518" t="s">
        <v>883</v>
      </c>
      <c r="F518" t="s">
        <v>893</v>
      </c>
    </row>
    <row r="519" spans="1:6" x14ac:dyDescent="0.25">
      <c r="A519" t="s">
        <v>373</v>
      </c>
      <c r="B519">
        <v>38</v>
      </c>
      <c r="C519">
        <v>-6</v>
      </c>
      <c r="D519">
        <v>2</v>
      </c>
      <c r="E519" t="s">
        <v>883</v>
      </c>
      <c r="F519" t="s">
        <v>901</v>
      </c>
    </row>
    <row r="520" spans="1:6" x14ac:dyDescent="0.25">
      <c r="A520" t="s">
        <v>375</v>
      </c>
      <c r="B520">
        <v>50</v>
      </c>
      <c r="C520">
        <v>-17</v>
      </c>
      <c r="D520">
        <v>2</v>
      </c>
      <c r="E520" t="s">
        <v>885</v>
      </c>
      <c r="F520" t="s">
        <v>886</v>
      </c>
    </row>
    <row r="521" spans="1:6" x14ac:dyDescent="0.25">
      <c r="A521" t="s">
        <v>377</v>
      </c>
      <c r="B521">
        <v>47</v>
      </c>
      <c r="C521">
        <v>-20</v>
      </c>
      <c r="D521">
        <v>2</v>
      </c>
      <c r="E521" t="s">
        <v>885</v>
      </c>
      <c r="F521" t="s">
        <v>894</v>
      </c>
    </row>
    <row r="522" spans="1:6" x14ac:dyDescent="0.25">
      <c r="A522" t="s">
        <v>379</v>
      </c>
      <c r="B522">
        <v>61</v>
      </c>
      <c r="C522">
        <v>-25</v>
      </c>
      <c r="D522">
        <v>4</v>
      </c>
      <c r="E522" t="s">
        <v>888</v>
      </c>
      <c r="F522" t="s">
        <v>900</v>
      </c>
    </row>
    <row r="523" spans="1:6" x14ac:dyDescent="0.25">
      <c r="A523" t="s">
        <v>379</v>
      </c>
      <c r="B523">
        <v>69</v>
      </c>
      <c r="C523">
        <v>-67</v>
      </c>
      <c r="D523">
        <v>4</v>
      </c>
      <c r="E523" t="s">
        <v>885</v>
      </c>
      <c r="F523" t="s">
        <v>894</v>
      </c>
    </row>
    <row r="524" spans="1:6" x14ac:dyDescent="0.25">
      <c r="A524" t="s">
        <v>379</v>
      </c>
      <c r="B524">
        <v>59</v>
      </c>
      <c r="C524">
        <v>-46</v>
      </c>
      <c r="D524">
        <v>7</v>
      </c>
      <c r="E524" t="s">
        <v>885</v>
      </c>
      <c r="F524" t="s">
        <v>895</v>
      </c>
    </row>
    <row r="525" spans="1:6" x14ac:dyDescent="0.25">
      <c r="A525" t="s">
        <v>379</v>
      </c>
      <c r="B525">
        <v>117</v>
      </c>
      <c r="C525">
        <v>17</v>
      </c>
      <c r="D525">
        <v>6</v>
      </c>
      <c r="E525" t="s">
        <v>885</v>
      </c>
      <c r="F525" t="s">
        <v>894</v>
      </c>
    </row>
    <row r="526" spans="1:6" x14ac:dyDescent="0.25">
      <c r="A526" t="s">
        <v>379</v>
      </c>
      <c r="B526">
        <v>1076</v>
      </c>
      <c r="C526">
        <v>-38</v>
      </c>
      <c r="D526">
        <v>4</v>
      </c>
      <c r="E526" t="s">
        <v>888</v>
      </c>
      <c r="F526" t="s">
        <v>899</v>
      </c>
    </row>
    <row r="527" spans="1:6" x14ac:dyDescent="0.25">
      <c r="A527" t="s">
        <v>381</v>
      </c>
      <c r="B527">
        <v>1506</v>
      </c>
      <c r="C527">
        <v>-266</v>
      </c>
      <c r="D527">
        <v>6</v>
      </c>
      <c r="E527" t="s">
        <v>888</v>
      </c>
      <c r="F527" t="s">
        <v>899</v>
      </c>
    </row>
    <row r="528" spans="1:6" x14ac:dyDescent="0.25">
      <c r="A528" t="s">
        <v>381</v>
      </c>
      <c r="B528">
        <v>109</v>
      </c>
      <c r="C528">
        <v>-6</v>
      </c>
      <c r="D528">
        <v>6</v>
      </c>
      <c r="E528" t="s">
        <v>885</v>
      </c>
      <c r="F528" t="s">
        <v>891</v>
      </c>
    </row>
    <row r="529" spans="1:6" x14ac:dyDescent="0.25">
      <c r="A529" t="s">
        <v>381</v>
      </c>
      <c r="B529">
        <v>933</v>
      </c>
      <c r="C529">
        <v>166</v>
      </c>
      <c r="D529">
        <v>5</v>
      </c>
      <c r="E529" t="s">
        <v>885</v>
      </c>
      <c r="F529" t="s">
        <v>891</v>
      </c>
    </row>
    <row r="530" spans="1:6" x14ac:dyDescent="0.25">
      <c r="A530" t="s">
        <v>381</v>
      </c>
      <c r="B530">
        <v>724</v>
      </c>
      <c r="C530">
        <v>-447</v>
      </c>
      <c r="D530">
        <v>4</v>
      </c>
      <c r="E530" t="s">
        <v>888</v>
      </c>
      <c r="F530" t="s">
        <v>889</v>
      </c>
    </row>
    <row r="531" spans="1:6" x14ac:dyDescent="0.25">
      <c r="A531" t="s">
        <v>382</v>
      </c>
      <c r="B531">
        <v>1361</v>
      </c>
      <c r="C531">
        <v>-980</v>
      </c>
      <c r="D531">
        <v>3</v>
      </c>
      <c r="E531" t="s">
        <v>883</v>
      </c>
      <c r="F531" t="s">
        <v>898</v>
      </c>
    </row>
    <row r="532" spans="1:6" x14ac:dyDescent="0.25">
      <c r="A532" t="s">
        <v>384</v>
      </c>
      <c r="B532">
        <v>137</v>
      </c>
      <c r="C532">
        <v>-41</v>
      </c>
      <c r="D532">
        <v>3</v>
      </c>
      <c r="E532" t="s">
        <v>888</v>
      </c>
      <c r="F532" t="s">
        <v>890</v>
      </c>
    </row>
    <row r="533" spans="1:6" x14ac:dyDescent="0.25">
      <c r="A533" t="s">
        <v>386</v>
      </c>
      <c r="B533">
        <v>60</v>
      </c>
      <c r="C533">
        <v>-49</v>
      </c>
      <c r="D533">
        <v>8</v>
      </c>
      <c r="E533" t="s">
        <v>885</v>
      </c>
      <c r="F533" t="s">
        <v>887</v>
      </c>
    </row>
    <row r="534" spans="1:6" x14ac:dyDescent="0.25">
      <c r="A534" t="s">
        <v>386</v>
      </c>
      <c r="B534">
        <v>30</v>
      </c>
      <c r="C534">
        <v>-25</v>
      </c>
      <c r="D534">
        <v>2</v>
      </c>
      <c r="E534" t="s">
        <v>885</v>
      </c>
      <c r="F534" t="s">
        <v>895</v>
      </c>
    </row>
    <row r="535" spans="1:6" x14ac:dyDescent="0.25">
      <c r="A535" t="s">
        <v>386</v>
      </c>
      <c r="B535">
        <v>767</v>
      </c>
      <c r="C535">
        <v>-353</v>
      </c>
      <c r="D535">
        <v>5</v>
      </c>
      <c r="E535" t="s">
        <v>885</v>
      </c>
      <c r="F535" t="s">
        <v>892</v>
      </c>
    </row>
    <row r="536" spans="1:6" x14ac:dyDescent="0.25">
      <c r="A536" t="s">
        <v>386</v>
      </c>
      <c r="B536">
        <v>45</v>
      </c>
      <c r="C536">
        <v>-28</v>
      </c>
      <c r="D536">
        <v>2</v>
      </c>
      <c r="E536" t="s">
        <v>885</v>
      </c>
      <c r="F536" t="s">
        <v>886</v>
      </c>
    </row>
    <row r="537" spans="1:6" x14ac:dyDescent="0.25">
      <c r="A537" t="s">
        <v>386</v>
      </c>
      <c r="B537">
        <v>25</v>
      </c>
      <c r="C537">
        <v>-1</v>
      </c>
      <c r="D537">
        <v>4</v>
      </c>
      <c r="E537" t="s">
        <v>885</v>
      </c>
      <c r="F537" t="s">
        <v>894</v>
      </c>
    </row>
    <row r="538" spans="1:6" x14ac:dyDescent="0.25">
      <c r="A538" t="s">
        <v>386</v>
      </c>
      <c r="B538">
        <v>584</v>
      </c>
      <c r="C538">
        <v>-444</v>
      </c>
      <c r="D538">
        <v>7</v>
      </c>
      <c r="E538" t="s">
        <v>888</v>
      </c>
      <c r="F538" t="s">
        <v>899</v>
      </c>
    </row>
    <row r="539" spans="1:6" x14ac:dyDescent="0.25">
      <c r="A539" t="s">
        <v>388</v>
      </c>
      <c r="B539">
        <v>335</v>
      </c>
      <c r="C539">
        <v>-22</v>
      </c>
      <c r="D539">
        <v>7</v>
      </c>
      <c r="E539" t="s">
        <v>883</v>
      </c>
      <c r="F539" t="s">
        <v>893</v>
      </c>
    </row>
    <row r="540" spans="1:6" x14ac:dyDescent="0.25">
      <c r="A540" t="s">
        <v>389</v>
      </c>
      <c r="B540">
        <v>25</v>
      </c>
      <c r="C540">
        <v>-11</v>
      </c>
      <c r="D540">
        <v>1</v>
      </c>
      <c r="E540" t="s">
        <v>885</v>
      </c>
      <c r="F540" t="s">
        <v>886</v>
      </c>
    </row>
    <row r="541" spans="1:6" x14ac:dyDescent="0.25">
      <c r="A541" t="s">
        <v>389</v>
      </c>
      <c r="B541">
        <v>30</v>
      </c>
      <c r="C541">
        <v>-6</v>
      </c>
      <c r="D541">
        <v>2</v>
      </c>
      <c r="E541" t="s">
        <v>885</v>
      </c>
      <c r="F541" t="s">
        <v>887</v>
      </c>
    </row>
    <row r="542" spans="1:6" x14ac:dyDescent="0.25">
      <c r="A542" t="s">
        <v>389</v>
      </c>
      <c r="B542">
        <v>33</v>
      </c>
      <c r="C542">
        <v>-10</v>
      </c>
      <c r="D542">
        <v>6</v>
      </c>
      <c r="E542" t="s">
        <v>885</v>
      </c>
      <c r="F542" t="s">
        <v>897</v>
      </c>
    </row>
    <row r="543" spans="1:6" x14ac:dyDescent="0.25">
      <c r="A543" t="s">
        <v>389</v>
      </c>
      <c r="B543">
        <v>21</v>
      </c>
      <c r="C543">
        <v>-17</v>
      </c>
      <c r="D543">
        <v>3</v>
      </c>
      <c r="E543" t="s">
        <v>885</v>
      </c>
      <c r="F543" t="s">
        <v>896</v>
      </c>
    </row>
    <row r="544" spans="1:6" x14ac:dyDescent="0.25">
      <c r="A544" t="s">
        <v>389</v>
      </c>
      <c r="B544">
        <v>26</v>
      </c>
      <c r="C544">
        <v>2</v>
      </c>
      <c r="D544">
        <v>2</v>
      </c>
      <c r="E544" t="s">
        <v>885</v>
      </c>
      <c r="F544" t="s">
        <v>887</v>
      </c>
    </row>
    <row r="545" spans="1:6" x14ac:dyDescent="0.25">
      <c r="A545" t="s">
        <v>391</v>
      </c>
      <c r="B545">
        <v>15</v>
      </c>
      <c r="C545">
        <v>4</v>
      </c>
      <c r="D545">
        <v>1</v>
      </c>
      <c r="E545" t="s">
        <v>885</v>
      </c>
      <c r="F545" t="s">
        <v>887</v>
      </c>
    </row>
    <row r="546" spans="1:6" x14ac:dyDescent="0.25">
      <c r="A546" t="s">
        <v>393</v>
      </c>
      <c r="B546">
        <v>595</v>
      </c>
      <c r="C546">
        <v>292</v>
      </c>
      <c r="D546">
        <v>3</v>
      </c>
      <c r="E546" t="s">
        <v>885</v>
      </c>
      <c r="F546" t="s">
        <v>891</v>
      </c>
    </row>
    <row r="547" spans="1:6" x14ac:dyDescent="0.25">
      <c r="A547" t="s">
        <v>393</v>
      </c>
      <c r="B547">
        <v>45</v>
      </c>
      <c r="C547">
        <v>0</v>
      </c>
      <c r="D547">
        <v>2</v>
      </c>
      <c r="E547" t="s">
        <v>885</v>
      </c>
      <c r="F547" t="s">
        <v>895</v>
      </c>
    </row>
    <row r="548" spans="1:6" x14ac:dyDescent="0.25">
      <c r="A548" t="s">
        <v>393</v>
      </c>
      <c r="B548">
        <v>192</v>
      </c>
      <c r="C548">
        <v>-146</v>
      </c>
      <c r="D548">
        <v>3</v>
      </c>
      <c r="E548" t="s">
        <v>885</v>
      </c>
      <c r="F548" t="s">
        <v>891</v>
      </c>
    </row>
    <row r="549" spans="1:6" x14ac:dyDescent="0.25">
      <c r="A549" t="s">
        <v>393</v>
      </c>
      <c r="B549">
        <v>26</v>
      </c>
      <c r="C549">
        <v>-25</v>
      </c>
      <c r="D549">
        <v>3</v>
      </c>
      <c r="E549" t="s">
        <v>885</v>
      </c>
      <c r="F549" t="s">
        <v>891</v>
      </c>
    </row>
    <row r="550" spans="1:6" x14ac:dyDescent="0.25">
      <c r="A550" t="s">
        <v>394</v>
      </c>
      <c r="B550">
        <v>1854</v>
      </c>
      <c r="C550">
        <v>433</v>
      </c>
      <c r="D550">
        <v>5</v>
      </c>
      <c r="E550" t="s">
        <v>883</v>
      </c>
      <c r="F550" t="s">
        <v>884</v>
      </c>
    </row>
    <row r="551" spans="1:6" x14ac:dyDescent="0.25">
      <c r="A551" t="s">
        <v>394</v>
      </c>
      <c r="B551">
        <v>623</v>
      </c>
      <c r="C551">
        <v>-192</v>
      </c>
      <c r="D551">
        <v>3</v>
      </c>
      <c r="E551" t="s">
        <v>883</v>
      </c>
      <c r="F551" t="s">
        <v>898</v>
      </c>
    </row>
    <row r="552" spans="1:6" x14ac:dyDescent="0.25">
      <c r="A552" t="s">
        <v>394</v>
      </c>
      <c r="B552">
        <v>44</v>
      </c>
      <c r="C552">
        <v>-34</v>
      </c>
      <c r="D552">
        <v>3</v>
      </c>
      <c r="E552" t="s">
        <v>885</v>
      </c>
      <c r="F552" t="s">
        <v>886</v>
      </c>
    </row>
    <row r="553" spans="1:6" x14ac:dyDescent="0.25">
      <c r="A553" t="s">
        <v>394</v>
      </c>
      <c r="B553">
        <v>17</v>
      </c>
      <c r="C553">
        <v>-11</v>
      </c>
      <c r="D553">
        <v>3</v>
      </c>
      <c r="E553" t="s">
        <v>885</v>
      </c>
      <c r="F553" t="s">
        <v>902</v>
      </c>
    </row>
    <row r="554" spans="1:6" x14ac:dyDescent="0.25">
      <c r="A554" t="s">
        <v>396</v>
      </c>
      <c r="B554">
        <v>556</v>
      </c>
      <c r="C554">
        <v>-209</v>
      </c>
      <c r="D554">
        <v>7</v>
      </c>
      <c r="E554" t="s">
        <v>885</v>
      </c>
      <c r="F554" t="s">
        <v>891</v>
      </c>
    </row>
    <row r="555" spans="1:6" x14ac:dyDescent="0.25">
      <c r="A555" t="s">
        <v>396</v>
      </c>
      <c r="B555">
        <v>40</v>
      </c>
      <c r="C555">
        <v>-12</v>
      </c>
      <c r="D555">
        <v>3</v>
      </c>
      <c r="E555" t="s">
        <v>885</v>
      </c>
      <c r="F555" t="s">
        <v>896</v>
      </c>
    </row>
    <row r="556" spans="1:6" x14ac:dyDescent="0.25">
      <c r="A556" t="s">
        <v>396</v>
      </c>
      <c r="B556">
        <v>229</v>
      </c>
      <c r="C556">
        <v>-41</v>
      </c>
      <c r="D556">
        <v>8</v>
      </c>
      <c r="E556" t="s">
        <v>888</v>
      </c>
      <c r="F556" t="s">
        <v>900</v>
      </c>
    </row>
    <row r="557" spans="1:6" x14ac:dyDescent="0.25">
      <c r="A557" t="s">
        <v>396</v>
      </c>
      <c r="B557">
        <v>140</v>
      </c>
      <c r="C557">
        <v>-58</v>
      </c>
      <c r="D557">
        <v>4</v>
      </c>
      <c r="E557" t="s">
        <v>883</v>
      </c>
      <c r="F557" t="s">
        <v>901</v>
      </c>
    </row>
    <row r="558" spans="1:6" x14ac:dyDescent="0.25">
      <c r="A558" t="s">
        <v>398</v>
      </c>
      <c r="B558">
        <v>12</v>
      </c>
      <c r="C558">
        <v>3</v>
      </c>
      <c r="D558">
        <v>1</v>
      </c>
      <c r="E558" t="s">
        <v>885</v>
      </c>
      <c r="F558" t="s">
        <v>886</v>
      </c>
    </row>
    <row r="559" spans="1:6" x14ac:dyDescent="0.25">
      <c r="A559" t="s">
        <v>400</v>
      </c>
      <c r="B559">
        <v>30</v>
      </c>
      <c r="C559">
        <v>0</v>
      </c>
      <c r="D559">
        <v>1</v>
      </c>
      <c r="E559" t="s">
        <v>885</v>
      </c>
      <c r="F559" t="s">
        <v>894</v>
      </c>
    </row>
    <row r="560" spans="1:6" x14ac:dyDescent="0.25">
      <c r="A560" t="s">
        <v>400</v>
      </c>
      <c r="B560">
        <v>313</v>
      </c>
      <c r="C560">
        <v>-13</v>
      </c>
      <c r="D560">
        <v>5</v>
      </c>
      <c r="E560" t="s">
        <v>883</v>
      </c>
      <c r="F560" t="s">
        <v>884</v>
      </c>
    </row>
    <row r="561" spans="1:6" x14ac:dyDescent="0.25">
      <c r="A561" t="s">
        <v>400</v>
      </c>
      <c r="B561">
        <v>67</v>
      </c>
      <c r="C561">
        <v>-86</v>
      </c>
      <c r="D561">
        <v>9</v>
      </c>
      <c r="E561" t="s">
        <v>883</v>
      </c>
      <c r="F561" t="s">
        <v>901</v>
      </c>
    </row>
    <row r="562" spans="1:6" x14ac:dyDescent="0.25">
      <c r="A562" t="s">
        <v>401</v>
      </c>
      <c r="B562">
        <v>42</v>
      </c>
      <c r="C562">
        <v>-3</v>
      </c>
      <c r="D562">
        <v>1</v>
      </c>
      <c r="E562" t="s">
        <v>888</v>
      </c>
      <c r="F562" t="s">
        <v>889</v>
      </c>
    </row>
    <row r="563" spans="1:6" x14ac:dyDescent="0.25">
      <c r="A563" t="s">
        <v>403</v>
      </c>
      <c r="B563">
        <v>253</v>
      </c>
      <c r="C563">
        <v>-63</v>
      </c>
      <c r="D563">
        <v>2</v>
      </c>
      <c r="E563" t="s">
        <v>885</v>
      </c>
      <c r="F563" t="s">
        <v>891</v>
      </c>
    </row>
    <row r="564" spans="1:6" x14ac:dyDescent="0.25">
      <c r="A564" t="s">
        <v>403</v>
      </c>
      <c r="B564">
        <v>565</v>
      </c>
      <c r="C564">
        <v>66</v>
      </c>
      <c r="D564">
        <v>7</v>
      </c>
      <c r="E564" t="s">
        <v>885</v>
      </c>
      <c r="F564" t="s">
        <v>891</v>
      </c>
    </row>
    <row r="565" spans="1:6" x14ac:dyDescent="0.25">
      <c r="A565" t="s">
        <v>403</v>
      </c>
      <c r="B565">
        <v>175</v>
      </c>
      <c r="C565">
        <v>77</v>
      </c>
      <c r="D565">
        <v>3</v>
      </c>
      <c r="E565" t="s">
        <v>885</v>
      </c>
      <c r="F565" t="s">
        <v>891</v>
      </c>
    </row>
    <row r="566" spans="1:6" x14ac:dyDescent="0.25">
      <c r="A566" t="s">
        <v>405</v>
      </c>
      <c r="B566">
        <v>74</v>
      </c>
      <c r="C566">
        <v>-25</v>
      </c>
      <c r="D566">
        <v>3</v>
      </c>
      <c r="E566" t="s">
        <v>885</v>
      </c>
      <c r="F566" t="s">
        <v>886</v>
      </c>
    </row>
    <row r="567" spans="1:6" x14ac:dyDescent="0.25">
      <c r="A567" t="s">
        <v>406</v>
      </c>
      <c r="B567">
        <v>40</v>
      </c>
      <c r="C567">
        <v>-33</v>
      </c>
      <c r="D567">
        <v>5</v>
      </c>
      <c r="E567" t="s">
        <v>885</v>
      </c>
      <c r="F567" t="s">
        <v>887</v>
      </c>
    </row>
    <row r="568" spans="1:6" x14ac:dyDescent="0.25">
      <c r="A568" t="s">
        <v>406</v>
      </c>
      <c r="B568">
        <v>63</v>
      </c>
      <c r="C568">
        <v>-24</v>
      </c>
      <c r="D568">
        <v>6</v>
      </c>
      <c r="E568" t="s">
        <v>885</v>
      </c>
      <c r="F568" t="s">
        <v>894</v>
      </c>
    </row>
    <row r="569" spans="1:6" x14ac:dyDescent="0.25">
      <c r="A569" t="s">
        <v>406</v>
      </c>
      <c r="B569">
        <v>60</v>
      </c>
      <c r="C569">
        <v>-12</v>
      </c>
      <c r="D569">
        <v>4</v>
      </c>
      <c r="E569" t="s">
        <v>885</v>
      </c>
      <c r="F569" t="s">
        <v>887</v>
      </c>
    </row>
    <row r="570" spans="1:6" x14ac:dyDescent="0.25">
      <c r="A570" t="s">
        <v>406</v>
      </c>
      <c r="B570">
        <v>257</v>
      </c>
      <c r="C570">
        <v>-252</v>
      </c>
      <c r="D570">
        <v>4</v>
      </c>
      <c r="E570" t="s">
        <v>885</v>
      </c>
      <c r="F570" t="s">
        <v>891</v>
      </c>
    </row>
    <row r="571" spans="1:6" x14ac:dyDescent="0.25">
      <c r="A571" t="s">
        <v>406</v>
      </c>
      <c r="B571">
        <v>24</v>
      </c>
      <c r="C571">
        <v>-1</v>
      </c>
      <c r="D571">
        <v>4</v>
      </c>
      <c r="E571" t="s">
        <v>885</v>
      </c>
      <c r="F571" t="s">
        <v>902</v>
      </c>
    </row>
    <row r="572" spans="1:6" x14ac:dyDescent="0.25">
      <c r="A572" t="s">
        <v>406</v>
      </c>
      <c r="B572">
        <v>18</v>
      </c>
      <c r="C572">
        <v>1</v>
      </c>
      <c r="D572">
        <v>3</v>
      </c>
      <c r="E572" t="s">
        <v>885</v>
      </c>
      <c r="F572" t="s">
        <v>887</v>
      </c>
    </row>
    <row r="573" spans="1:6" x14ac:dyDescent="0.25">
      <c r="A573" t="s">
        <v>406</v>
      </c>
      <c r="B573">
        <v>1402</v>
      </c>
      <c r="C573">
        <v>109</v>
      </c>
      <c r="D573">
        <v>11</v>
      </c>
      <c r="E573" t="s">
        <v>885</v>
      </c>
      <c r="F573" t="s">
        <v>891</v>
      </c>
    </row>
    <row r="574" spans="1:6" x14ac:dyDescent="0.25">
      <c r="A574" t="s">
        <v>408</v>
      </c>
      <c r="B574">
        <v>176</v>
      </c>
      <c r="C574">
        <v>37</v>
      </c>
      <c r="D574">
        <v>6</v>
      </c>
      <c r="E574" t="s">
        <v>888</v>
      </c>
      <c r="F574" t="s">
        <v>900</v>
      </c>
    </row>
    <row r="575" spans="1:6" x14ac:dyDescent="0.25">
      <c r="A575" t="s">
        <v>409</v>
      </c>
      <c r="B575">
        <v>276</v>
      </c>
      <c r="C575">
        <v>-21</v>
      </c>
      <c r="D575">
        <v>2</v>
      </c>
      <c r="E575" t="s">
        <v>888</v>
      </c>
      <c r="F575" t="s">
        <v>890</v>
      </c>
    </row>
    <row r="576" spans="1:6" x14ac:dyDescent="0.25">
      <c r="A576" t="s">
        <v>411</v>
      </c>
      <c r="B576">
        <v>37</v>
      </c>
      <c r="C576">
        <v>-6</v>
      </c>
      <c r="D576">
        <v>1</v>
      </c>
      <c r="E576" t="s">
        <v>885</v>
      </c>
      <c r="F576" t="s">
        <v>891</v>
      </c>
    </row>
    <row r="577" spans="1:6" x14ac:dyDescent="0.25">
      <c r="A577" t="s">
        <v>411</v>
      </c>
      <c r="B577">
        <v>28</v>
      </c>
      <c r="C577">
        <v>1</v>
      </c>
      <c r="D577">
        <v>1</v>
      </c>
      <c r="E577" t="s">
        <v>888</v>
      </c>
      <c r="F577" t="s">
        <v>900</v>
      </c>
    </row>
    <row r="578" spans="1:6" x14ac:dyDescent="0.25">
      <c r="A578" t="s">
        <v>411</v>
      </c>
      <c r="B578">
        <v>239</v>
      </c>
      <c r="C578">
        <v>-162</v>
      </c>
      <c r="D578">
        <v>5</v>
      </c>
      <c r="E578" t="s">
        <v>883</v>
      </c>
      <c r="F578" t="s">
        <v>893</v>
      </c>
    </row>
    <row r="579" spans="1:6" x14ac:dyDescent="0.25">
      <c r="A579" t="s">
        <v>411</v>
      </c>
      <c r="B579">
        <v>78</v>
      </c>
      <c r="C579">
        <v>-64</v>
      </c>
      <c r="D579">
        <v>7</v>
      </c>
      <c r="E579" t="s">
        <v>885</v>
      </c>
      <c r="F579" t="s">
        <v>886</v>
      </c>
    </row>
    <row r="580" spans="1:6" x14ac:dyDescent="0.25">
      <c r="A580" t="s">
        <v>411</v>
      </c>
      <c r="B580">
        <v>632</v>
      </c>
      <c r="C580">
        <v>-316</v>
      </c>
      <c r="D580">
        <v>6</v>
      </c>
      <c r="E580" t="s">
        <v>885</v>
      </c>
      <c r="F580" t="s">
        <v>891</v>
      </c>
    </row>
    <row r="581" spans="1:6" x14ac:dyDescent="0.25">
      <c r="A581" t="s">
        <v>411</v>
      </c>
      <c r="B581">
        <v>559</v>
      </c>
      <c r="C581">
        <v>-19</v>
      </c>
      <c r="D581">
        <v>2</v>
      </c>
      <c r="E581" t="s">
        <v>885</v>
      </c>
      <c r="F581" t="s">
        <v>892</v>
      </c>
    </row>
    <row r="582" spans="1:6" x14ac:dyDescent="0.25">
      <c r="A582" t="s">
        <v>411</v>
      </c>
      <c r="B582">
        <v>148</v>
      </c>
      <c r="C582">
        <v>0</v>
      </c>
      <c r="D582">
        <v>3</v>
      </c>
      <c r="E582" t="s">
        <v>885</v>
      </c>
      <c r="F582" t="s">
        <v>891</v>
      </c>
    </row>
    <row r="583" spans="1:6" x14ac:dyDescent="0.25">
      <c r="A583" t="s">
        <v>413</v>
      </c>
      <c r="B583">
        <v>976</v>
      </c>
      <c r="C583">
        <v>293</v>
      </c>
      <c r="D583">
        <v>4</v>
      </c>
      <c r="E583" t="s">
        <v>888</v>
      </c>
      <c r="F583" t="s">
        <v>900</v>
      </c>
    </row>
    <row r="584" spans="1:6" x14ac:dyDescent="0.25">
      <c r="A584" t="s">
        <v>413</v>
      </c>
      <c r="B584">
        <v>148</v>
      </c>
      <c r="C584">
        <v>-101</v>
      </c>
      <c r="D584">
        <v>2</v>
      </c>
      <c r="E584" t="s">
        <v>883</v>
      </c>
      <c r="F584" t="s">
        <v>884</v>
      </c>
    </row>
    <row r="585" spans="1:6" x14ac:dyDescent="0.25">
      <c r="A585" t="s">
        <v>413</v>
      </c>
      <c r="B585">
        <v>413</v>
      </c>
      <c r="C585">
        <v>-314</v>
      </c>
      <c r="D585">
        <v>9</v>
      </c>
      <c r="E585" t="s">
        <v>883</v>
      </c>
      <c r="F585" t="s">
        <v>893</v>
      </c>
    </row>
    <row r="586" spans="1:6" x14ac:dyDescent="0.25">
      <c r="A586" t="s">
        <v>413</v>
      </c>
      <c r="B586">
        <v>89</v>
      </c>
      <c r="C586">
        <v>-4</v>
      </c>
      <c r="D586">
        <v>5</v>
      </c>
      <c r="E586" t="s">
        <v>885</v>
      </c>
      <c r="F586" t="s">
        <v>891</v>
      </c>
    </row>
    <row r="587" spans="1:6" x14ac:dyDescent="0.25">
      <c r="A587" t="s">
        <v>413</v>
      </c>
      <c r="B587">
        <v>1630</v>
      </c>
      <c r="C587">
        <v>-802</v>
      </c>
      <c r="D587">
        <v>5</v>
      </c>
      <c r="E587" t="s">
        <v>883</v>
      </c>
      <c r="F587" t="s">
        <v>898</v>
      </c>
    </row>
    <row r="588" spans="1:6" x14ac:dyDescent="0.25">
      <c r="A588" t="s">
        <v>413</v>
      </c>
      <c r="B588">
        <v>31</v>
      </c>
      <c r="C588">
        <v>1</v>
      </c>
      <c r="D588">
        <v>2</v>
      </c>
      <c r="E588" t="s">
        <v>885</v>
      </c>
      <c r="F588" t="s">
        <v>887</v>
      </c>
    </row>
    <row r="589" spans="1:6" x14ac:dyDescent="0.25">
      <c r="A589" t="s">
        <v>415</v>
      </c>
      <c r="B589">
        <v>379</v>
      </c>
      <c r="C589">
        <v>63</v>
      </c>
      <c r="D589">
        <v>2</v>
      </c>
      <c r="E589" t="s">
        <v>885</v>
      </c>
      <c r="F589" t="s">
        <v>891</v>
      </c>
    </row>
    <row r="590" spans="1:6" x14ac:dyDescent="0.25">
      <c r="A590" t="s">
        <v>415</v>
      </c>
      <c r="B590">
        <v>448</v>
      </c>
      <c r="C590">
        <v>148</v>
      </c>
      <c r="D590">
        <v>2</v>
      </c>
      <c r="E590" t="s">
        <v>888</v>
      </c>
      <c r="F590" t="s">
        <v>899</v>
      </c>
    </row>
    <row r="591" spans="1:6" x14ac:dyDescent="0.25">
      <c r="A591" t="s">
        <v>415</v>
      </c>
      <c r="B591">
        <v>2830</v>
      </c>
      <c r="C591">
        <v>-1981</v>
      </c>
      <c r="D591">
        <v>13</v>
      </c>
      <c r="E591" t="s">
        <v>883</v>
      </c>
      <c r="F591" t="s">
        <v>884</v>
      </c>
    </row>
    <row r="592" spans="1:6" x14ac:dyDescent="0.25">
      <c r="A592" t="s">
        <v>415</v>
      </c>
      <c r="B592">
        <v>47</v>
      </c>
      <c r="C592">
        <v>-3</v>
      </c>
      <c r="D592">
        <v>2</v>
      </c>
      <c r="E592" t="s">
        <v>885</v>
      </c>
      <c r="F592" t="s">
        <v>886</v>
      </c>
    </row>
    <row r="593" spans="1:6" x14ac:dyDescent="0.25">
      <c r="A593" t="s">
        <v>415</v>
      </c>
      <c r="B593">
        <v>38</v>
      </c>
      <c r="C593">
        <v>-13</v>
      </c>
      <c r="D593">
        <v>3</v>
      </c>
      <c r="E593" t="s">
        <v>885</v>
      </c>
      <c r="F593" t="s">
        <v>886</v>
      </c>
    </row>
    <row r="594" spans="1:6" x14ac:dyDescent="0.25">
      <c r="A594" t="s">
        <v>415</v>
      </c>
      <c r="B594">
        <v>61</v>
      </c>
      <c r="C594">
        <v>-50</v>
      </c>
      <c r="D594">
        <v>4</v>
      </c>
      <c r="E594" t="s">
        <v>885</v>
      </c>
      <c r="F594" t="s">
        <v>887</v>
      </c>
    </row>
    <row r="595" spans="1:6" x14ac:dyDescent="0.25">
      <c r="A595" t="s">
        <v>417</v>
      </c>
      <c r="B595">
        <v>205</v>
      </c>
      <c r="C595">
        <v>-119</v>
      </c>
      <c r="D595">
        <v>3</v>
      </c>
      <c r="E595" t="s">
        <v>885</v>
      </c>
      <c r="F595" t="s">
        <v>891</v>
      </c>
    </row>
    <row r="596" spans="1:6" x14ac:dyDescent="0.25">
      <c r="A596" t="s">
        <v>417</v>
      </c>
      <c r="B596">
        <v>47</v>
      </c>
      <c r="C596">
        <v>-27</v>
      </c>
      <c r="D596">
        <v>4</v>
      </c>
      <c r="E596" t="s">
        <v>885</v>
      </c>
      <c r="F596" t="s">
        <v>891</v>
      </c>
    </row>
    <row r="597" spans="1:6" x14ac:dyDescent="0.25">
      <c r="A597" t="s">
        <v>417</v>
      </c>
      <c r="B597">
        <v>45</v>
      </c>
      <c r="C597">
        <v>-15</v>
      </c>
      <c r="D597">
        <v>2</v>
      </c>
      <c r="E597" t="s">
        <v>883</v>
      </c>
      <c r="F597" t="s">
        <v>893</v>
      </c>
    </row>
    <row r="598" spans="1:6" x14ac:dyDescent="0.25">
      <c r="A598" t="s">
        <v>417</v>
      </c>
      <c r="B598">
        <v>70</v>
      </c>
      <c r="C598">
        <v>-64</v>
      </c>
      <c r="D598">
        <v>5</v>
      </c>
      <c r="E598" t="s">
        <v>885</v>
      </c>
      <c r="F598" t="s">
        <v>886</v>
      </c>
    </row>
    <row r="599" spans="1:6" x14ac:dyDescent="0.25">
      <c r="A599" t="s">
        <v>419</v>
      </c>
      <c r="B599">
        <v>122</v>
      </c>
      <c r="C599">
        <v>-66</v>
      </c>
      <c r="D599">
        <v>9</v>
      </c>
      <c r="E599" t="s">
        <v>888</v>
      </c>
      <c r="F599" t="s">
        <v>900</v>
      </c>
    </row>
    <row r="600" spans="1:6" x14ac:dyDescent="0.25">
      <c r="A600" t="s">
        <v>419</v>
      </c>
      <c r="B600">
        <v>21</v>
      </c>
      <c r="C600">
        <v>-6</v>
      </c>
      <c r="D600">
        <v>3</v>
      </c>
      <c r="E600" t="s">
        <v>885</v>
      </c>
      <c r="F600" t="s">
        <v>897</v>
      </c>
    </row>
    <row r="601" spans="1:6" x14ac:dyDescent="0.25">
      <c r="A601" t="s">
        <v>419</v>
      </c>
      <c r="B601">
        <v>45</v>
      </c>
      <c r="C601">
        <v>12</v>
      </c>
      <c r="D601">
        <v>7</v>
      </c>
      <c r="E601" t="s">
        <v>885</v>
      </c>
      <c r="F601" t="s">
        <v>887</v>
      </c>
    </row>
    <row r="602" spans="1:6" x14ac:dyDescent="0.25">
      <c r="A602" t="s">
        <v>421</v>
      </c>
      <c r="B602">
        <v>64</v>
      </c>
      <c r="C602">
        <v>6</v>
      </c>
      <c r="D602">
        <v>4</v>
      </c>
      <c r="E602" t="s">
        <v>885</v>
      </c>
      <c r="F602" t="s">
        <v>891</v>
      </c>
    </row>
    <row r="603" spans="1:6" x14ac:dyDescent="0.25">
      <c r="A603" t="s">
        <v>421</v>
      </c>
      <c r="B603">
        <v>49</v>
      </c>
      <c r="C603">
        <v>-31</v>
      </c>
      <c r="D603">
        <v>2</v>
      </c>
      <c r="E603" t="s">
        <v>885</v>
      </c>
      <c r="F603" t="s">
        <v>886</v>
      </c>
    </row>
    <row r="604" spans="1:6" x14ac:dyDescent="0.25">
      <c r="A604" t="s">
        <v>421</v>
      </c>
      <c r="B604">
        <v>21</v>
      </c>
      <c r="C604">
        <v>-10</v>
      </c>
      <c r="D604">
        <v>4</v>
      </c>
      <c r="E604" t="s">
        <v>885</v>
      </c>
      <c r="F604" t="s">
        <v>897</v>
      </c>
    </row>
    <row r="605" spans="1:6" x14ac:dyDescent="0.25">
      <c r="A605" t="s">
        <v>421</v>
      </c>
      <c r="B605">
        <v>15</v>
      </c>
      <c r="C605">
        <v>-2</v>
      </c>
      <c r="D605">
        <v>1</v>
      </c>
      <c r="E605" t="s">
        <v>885</v>
      </c>
      <c r="F605" t="s">
        <v>895</v>
      </c>
    </row>
    <row r="606" spans="1:6" x14ac:dyDescent="0.25">
      <c r="A606" t="s">
        <v>423</v>
      </c>
      <c r="B606">
        <v>27</v>
      </c>
      <c r="C606">
        <v>-7</v>
      </c>
      <c r="D606">
        <v>5</v>
      </c>
      <c r="E606" t="s">
        <v>885</v>
      </c>
      <c r="F606" t="s">
        <v>891</v>
      </c>
    </row>
    <row r="607" spans="1:6" x14ac:dyDescent="0.25">
      <c r="A607" t="s">
        <v>423</v>
      </c>
      <c r="B607">
        <v>633</v>
      </c>
      <c r="C607">
        <v>-633</v>
      </c>
      <c r="D607">
        <v>11</v>
      </c>
      <c r="E607" t="s">
        <v>888</v>
      </c>
      <c r="F607" t="s">
        <v>900</v>
      </c>
    </row>
    <row r="608" spans="1:6" x14ac:dyDescent="0.25">
      <c r="A608" t="s">
        <v>423</v>
      </c>
      <c r="B608">
        <v>13</v>
      </c>
      <c r="C608">
        <v>-9</v>
      </c>
      <c r="D608">
        <v>2</v>
      </c>
      <c r="E608" t="s">
        <v>885</v>
      </c>
      <c r="F608" t="s">
        <v>902</v>
      </c>
    </row>
    <row r="609" spans="1:6" x14ac:dyDescent="0.25">
      <c r="A609" t="s">
        <v>423</v>
      </c>
      <c r="B609">
        <v>23</v>
      </c>
      <c r="C609">
        <v>-3</v>
      </c>
      <c r="D609">
        <v>1</v>
      </c>
      <c r="E609" t="s">
        <v>885</v>
      </c>
      <c r="F609" t="s">
        <v>896</v>
      </c>
    </row>
    <row r="610" spans="1:6" x14ac:dyDescent="0.25">
      <c r="A610" t="s">
        <v>423</v>
      </c>
      <c r="B610">
        <v>95</v>
      </c>
      <c r="C610">
        <v>5</v>
      </c>
      <c r="D610">
        <v>2</v>
      </c>
      <c r="E610" t="s">
        <v>885</v>
      </c>
      <c r="F610" t="s">
        <v>886</v>
      </c>
    </row>
    <row r="611" spans="1:6" x14ac:dyDescent="0.25">
      <c r="A611" t="s">
        <v>425</v>
      </c>
      <c r="B611">
        <v>106</v>
      </c>
      <c r="C611">
        <v>12</v>
      </c>
      <c r="D611">
        <v>3</v>
      </c>
      <c r="E611" t="s">
        <v>885</v>
      </c>
      <c r="F611" t="s">
        <v>892</v>
      </c>
    </row>
    <row r="612" spans="1:6" x14ac:dyDescent="0.25">
      <c r="A612" t="s">
        <v>425</v>
      </c>
      <c r="B612">
        <v>269</v>
      </c>
      <c r="C612">
        <v>91</v>
      </c>
      <c r="D612">
        <v>1</v>
      </c>
      <c r="E612" t="s">
        <v>888</v>
      </c>
      <c r="F612" t="s">
        <v>889</v>
      </c>
    </row>
    <row r="613" spans="1:6" x14ac:dyDescent="0.25">
      <c r="A613" t="s">
        <v>425</v>
      </c>
      <c r="B613">
        <v>536</v>
      </c>
      <c r="C613">
        <v>91</v>
      </c>
      <c r="D613">
        <v>1</v>
      </c>
      <c r="E613" t="s">
        <v>885</v>
      </c>
      <c r="F613" t="s">
        <v>892</v>
      </c>
    </row>
    <row r="614" spans="1:6" x14ac:dyDescent="0.25">
      <c r="A614" t="s">
        <v>425</v>
      </c>
      <c r="B614">
        <v>137</v>
      </c>
      <c r="C614">
        <v>5</v>
      </c>
      <c r="D614">
        <v>5</v>
      </c>
      <c r="E614" t="s">
        <v>885</v>
      </c>
      <c r="F614" t="s">
        <v>896</v>
      </c>
    </row>
    <row r="615" spans="1:6" x14ac:dyDescent="0.25">
      <c r="A615" t="s">
        <v>425</v>
      </c>
      <c r="B615">
        <v>757</v>
      </c>
      <c r="C615">
        <v>371</v>
      </c>
      <c r="D615">
        <v>2</v>
      </c>
      <c r="E615" t="s">
        <v>888</v>
      </c>
      <c r="F615" t="s">
        <v>899</v>
      </c>
    </row>
    <row r="616" spans="1:6" x14ac:dyDescent="0.25">
      <c r="A616" t="s">
        <v>425</v>
      </c>
      <c r="B616">
        <v>511</v>
      </c>
      <c r="C616">
        <v>194</v>
      </c>
      <c r="D616">
        <v>3</v>
      </c>
      <c r="E616" t="s">
        <v>883</v>
      </c>
      <c r="F616" t="s">
        <v>893</v>
      </c>
    </row>
    <row r="617" spans="1:6" x14ac:dyDescent="0.25">
      <c r="A617" t="s">
        <v>425</v>
      </c>
      <c r="B617">
        <v>185</v>
      </c>
      <c r="C617">
        <v>48</v>
      </c>
      <c r="D617">
        <v>4</v>
      </c>
      <c r="E617" t="s">
        <v>885</v>
      </c>
      <c r="F617" t="s">
        <v>886</v>
      </c>
    </row>
    <row r="618" spans="1:6" x14ac:dyDescent="0.25">
      <c r="A618" t="s">
        <v>425</v>
      </c>
      <c r="B618">
        <v>765</v>
      </c>
      <c r="C618">
        <v>8</v>
      </c>
      <c r="D618">
        <v>6</v>
      </c>
      <c r="E618" t="s">
        <v>885</v>
      </c>
      <c r="F618" t="s">
        <v>891</v>
      </c>
    </row>
    <row r="619" spans="1:6" x14ac:dyDescent="0.25">
      <c r="A619" t="s">
        <v>427</v>
      </c>
      <c r="B619">
        <v>156</v>
      </c>
      <c r="C619">
        <v>36</v>
      </c>
      <c r="D619">
        <v>5</v>
      </c>
      <c r="E619" t="s">
        <v>885</v>
      </c>
      <c r="F619" t="s">
        <v>895</v>
      </c>
    </row>
    <row r="620" spans="1:6" x14ac:dyDescent="0.25">
      <c r="A620" t="s">
        <v>427</v>
      </c>
      <c r="B620">
        <v>321</v>
      </c>
      <c r="C620">
        <v>26</v>
      </c>
      <c r="D620">
        <v>3</v>
      </c>
      <c r="E620" t="s">
        <v>888</v>
      </c>
      <c r="F620" t="s">
        <v>899</v>
      </c>
    </row>
    <row r="621" spans="1:6" x14ac:dyDescent="0.25">
      <c r="A621" t="s">
        <v>429</v>
      </c>
      <c r="B621">
        <v>112</v>
      </c>
      <c r="C621">
        <v>15</v>
      </c>
      <c r="D621">
        <v>2</v>
      </c>
      <c r="E621" t="s">
        <v>883</v>
      </c>
      <c r="F621" t="s">
        <v>893</v>
      </c>
    </row>
    <row r="622" spans="1:6" x14ac:dyDescent="0.25">
      <c r="A622" t="s">
        <v>431</v>
      </c>
      <c r="B622">
        <v>632</v>
      </c>
      <c r="C622">
        <v>-114</v>
      </c>
      <c r="D622">
        <v>4</v>
      </c>
      <c r="E622" t="s">
        <v>883</v>
      </c>
      <c r="F622" t="s">
        <v>898</v>
      </c>
    </row>
    <row r="623" spans="1:6" x14ac:dyDescent="0.25">
      <c r="A623" t="s">
        <v>433</v>
      </c>
      <c r="B623">
        <v>16</v>
      </c>
      <c r="C623">
        <v>6</v>
      </c>
      <c r="D623">
        <v>1</v>
      </c>
      <c r="E623" t="s">
        <v>885</v>
      </c>
      <c r="F623" t="s">
        <v>886</v>
      </c>
    </row>
    <row r="624" spans="1:6" x14ac:dyDescent="0.25">
      <c r="A624" t="s">
        <v>435</v>
      </c>
      <c r="B624">
        <v>63</v>
      </c>
      <c r="C624">
        <v>17</v>
      </c>
      <c r="D624">
        <v>6</v>
      </c>
      <c r="E624" t="s">
        <v>885</v>
      </c>
      <c r="F624" t="s">
        <v>897</v>
      </c>
    </row>
    <row r="625" spans="1:6" x14ac:dyDescent="0.25">
      <c r="A625" t="s">
        <v>435</v>
      </c>
      <c r="B625">
        <v>146</v>
      </c>
      <c r="C625">
        <v>-63</v>
      </c>
      <c r="D625">
        <v>3</v>
      </c>
      <c r="E625" t="s">
        <v>888</v>
      </c>
      <c r="F625" t="s">
        <v>889</v>
      </c>
    </row>
    <row r="626" spans="1:6" x14ac:dyDescent="0.25">
      <c r="A626" t="s">
        <v>435</v>
      </c>
      <c r="B626">
        <v>59</v>
      </c>
      <c r="C626">
        <v>21</v>
      </c>
      <c r="D626">
        <v>2</v>
      </c>
      <c r="E626" t="s">
        <v>885</v>
      </c>
      <c r="F626" t="s">
        <v>886</v>
      </c>
    </row>
    <row r="627" spans="1:6" x14ac:dyDescent="0.25">
      <c r="A627" t="s">
        <v>435</v>
      </c>
      <c r="B627">
        <v>210</v>
      </c>
      <c r="C627">
        <v>50</v>
      </c>
      <c r="D627">
        <v>4</v>
      </c>
      <c r="E627" t="s">
        <v>885</v>
      </c>
      <c r="F627" t="s">
        <v>887</v>
      </c>
    </row>
    <row r="628" spans="1:6" x14ac:dyDescent="0.25">
      <c r="A628" t="s">
        <v>437</v>
      </c>
      <c r="B628">
        <v>154</v>
      </c>
      <c r="C628">
        <v>54</v>
      </c>
      <c r="D628">
        <v>3</v>
      </c>
      <c r="E628" t="s">
        <v>885</v>
      </c>
      <c r="F628" t="s">
        <v>887</v>
      </c>
    </row>
    <row r="629" spans="1:6" x14ac:dyDescent="0.25">
      <c r="A629" t="s">
        <v>437</v>
      </c>
      <c r="B629">
        <v>53</v>
      </c>
      <c r="C629">
        <v>24</v>
      </c>
      <c r="D629">
        <v>1</v>
      </c>
      <c r="E629" t="s">
        <v>885</v>
      </c>
      <c r="F629" t="s">
        <v>887</v>
      </c>
    </row>
    <row r="630" spans="1:6" x14ac:dyDescent="0.25">
      <c r="A630" t="s">
        <v>439</v>
      </c>
      <c r="B630">
        <v>26</v>
      </c>
      <c r="C630">
        <v>10</v>
      </c>
      <c r="D630">
        <v>4</v>
      </c>
      <c r="E630" t="s">
        <v>885</v>
      </c>
      <c r="F630" t="s">
        <v>887</v>
      </c>
    </row>
    <row r="631" spans="1:6" x14ac:dyDescent="0.25">
      <c r="A631" t="s">
        <v>439</v>
      </c>
      <c r="B631">
        <v>1120</v>
      </c>
      <c r="C631">
        <v>199</v>
      </c>
      <c r="D631">
        <v>6</v>
      </c>
      <c r="E631" t="s">
        <v>885</v>
      </c>
      <c r="F631" t="s">
        <v>891</v>
      </c>
    </row>
    <row r="632" spans="1:6" x14ac:dyDescent="0.25">
      <c r="A632" t="s">
        <v>439</v>
      </c>
      <c r="B632">
        <v>45</v>
      </c>
      <c r="C632">
        <v>6</v>
      </c>
      <c r="D632">
        <v>3</v>
      </c>
      <c r="E632" t="s">
        <v>885</v>
      </c>
      <c r="F632" t="s">
        <v>896</v>
      </c>
    </row>
    <row r="633" spans="1:6" x14ac:dyDescent="0.25">
      <c r="A633" t="s">
        <v>439</v>
      </c>
      <c r="B633">
        <v>307</v>
      </c>
      <c r="C633">
        <v>74</v>
      </c>
      <c r="D633">
        <v>3</v>
      </c>
      <c r="E633" t="s">
        <v>888</v>
      </c>
      <c r="F633" t="s">
        <v>900</v>
      </c>
    </row>
    <row r="634" spans="1:6" x14ac:dyDescent="0.25">
      <c r="A634" t="s">
        <v>439</v>
      </c>
      <c r="B634">
        <v>92</v>
      </c>
      <c r="C634">
        <v>42</v>
      </c>
      <c r="D634">
        <v>2</v>
      </c>
      <c r="E634" t="s">
        <v>885</v>
      </c>
      <c r="F634" t="s">
        <v>886</v>
      </c>
    </row>
    <row r="635" spans="1:6" x14ac:dyDescent="0.25">
      <c r="A635" t="s">
        <v>439</v>
      </c>
      <c r="B635">
        <v>29</v>
      </c>
      <c r="C635">
        <v>8</v>
      </c>
      <c r="D635">
        <v>5</v>
      </c>
      <c r="E635" t="s">
        <v>885</v>
      </c>
      <c r="F635" t="s">
        <v>887</v>
      </c>
    </row>
    <row r="636" spans="1:6" x14ac:dyDescent="0.25">
      <c r="A636" t="s">
        <v>441</v>
      </c>
      <c r="B636">
        <v>126</v>
      </c>
      <c r="C636">
        <v>52</v>
      </c>
      <c r="D636">
        <v>4</v>
      </c>
      <c r="E636" t="s">
        <v>885</v>
      </c>
      <c r="F636" t="s">
        <v>887</v>
      </c>
    </row>
    <row r="637" spans="1:6" x14ac:dyDescent="0.25">
      <c r="A637" t="s">
        <v>443</v>
      </c>
      <c r="B637">
        <v>259</v>
      </c>
      <c r="C637">
        <v>47</v>
      </c>
      <c r="D637">
        <v>5</v>
      </c>
      <c r="E637" t="s">
        <v>885</v>
      </c>
      <c r="F637" t="s">
        <v>887</v>
      </c>
    </row>
    <row r="638" spans="1:6" x14ac:dyDescent="0.25">
      <c r="A638" t="s">
        <v>445</v>
      </c>
      <c r="B638">
        <v>911</v>
      </c>
      <c r="C638">
        <v>202</v>
      </c>
      <c r="D638">
        <v>7</v>
      </c>
      <c r="E638" t="s">
        <v>883</v>
      </c>
      <c r="F638" t="s">
        <v>893</v>
      </c>
    </row>
    <row r="639" spans="1:6" x14ac:dyDescent="0.25">
      <c r="A639" t="s">
        <v>447</v>
      </c>
      <c r="B639">
        <v>118</v>
      </c>
      <c r="C639">
        <v>35</v>
      </c>
      <c r="D639">
        <v>7</v>
      </c>
      <c r="E639" t="s">
        <v>885</v>
      </c>
      <c r="F639" t="s">
        <v>895</v>
      </c>
    </row>
    <row r="640" spans="1:6" x14ac:dyDescent="0.25">
      <c r="A640" t="s">
        <v>447</v>
      </c>
      <c r="B640">
        <v>462</v>
      </c>
      <c r="C640">
        <v>169</v>
      </c>
      <c r="D640">
        <v>4</v>
      </c>
      <c r="E640" t="s">
        <v>885</v>
      </c>
      <c r="F640" t="s">
        <v>891</v>
      </c>
    </row>
    <row r="641" spans="1:6" x14ac:dyDescent="0.25">
      <c r="A641" t="s">
        <v>449</v>
      </c>
      <c r="B641">
        <v>35</v>
      </c>
      <c r="C641">
        <v>14</v>
      </c>
      <c r="D641">
        <v>2</v>
      </c>
      <c r="E641" t="s">
        <v>885</v>
      </c>
      <c r="F641" t="s">
        <v>886</v>
      </c>
    </row>
    <row r="642" spans="1:6" x14ac:dyDescent="0.25">
      <c r="A642" t="s">
        <v>450</v>
      </c>
      <c r="B642">
        <v>391</v>
      </c>
      <c r="C642">
        <v>113</v>
      </c>
      <c r="D642">
        <v>8</v>
      </c>
      <c r="E642" t="s">
        <v>885</v>
      </c>
      <c r="F642" t="s">
        <v>886</v>
      </c>
    </row>
    <row r="643" spans="1:6" x14ac:dyDescent="0.25">
      <c r="A643" t="s">
        <v>452</v>
      </c>
      <c r="B643">
        <v>743</v>
      </c>
      <c r="C643">
        <v>89</v>
      </c>
      <c r="D643">
        <v>5</v>
      </c>
      <c r="E643" t="s">
        <v>888</v>
      </c>
      <c r="F643" t="s">
        <v>899</v>
      </c>
    </row>
    <row r="644" spans="1:6" x14ac:dyDescent="0.25">
      <c r="A644" t="s">
        <v>454</v>
      </c>
      <c r="B644">
        <v>75</v>
      </c>
      <c r="C644">
        <v>28</v>
      </c>
      <c r="D644">
        <v>9</v>
      </c>
      <c r="E644" t="s">
        <v>885</v>
      </c>
      <c r="F644" t="s">
        <v>887</v>
      </c>
    </row>
    <row r="645" spans="1:6" x14ac:dyDescent="0.25">
      <c r="A645" t="s">
        <v>454</v>
      </c>
      <c r="B645">
        <v>36</v>
      </c>
      <c r="C645">
        <v>0</v>
      </c>
      <c r="D645">
        <v>4</v>
      </c>
      <c r="E645" t="s">
        <v>885</v>
      </c>
      <c r="F645" t="s">
        <v>894</v>
      </c>
    </row>
    <row r="646" spans="1:6" x14ac:dyDescent="0.25">
      <c r="A646" t="s">
        <v>454</v>
      </c>
      <c r="B646">
        <v>32</v>
      </c>
      <c r="C646">
        <v>11</v>
      </c>
      <c r="D646">
        <v>2</v>
      </c>
      <c r="E646" t="s">
        <v>885</v>
      </c>
      <c r="F646" t="s">
        <v>897</v>
      </c>
    </row>
    <row r="647" spans="1:6" x14ac:dyDescent="0.25">
      <c r="A647" t="s">
        <v>454</v>
      </c>
      <c r="B647">
        <v>94</v>
      </c>
      <c r="C647">
        <v>20</v>
      </c>
      <c r="D647">
        <v>2</v>
      </c>
      <c r="E647" t="s">
        <v>883</v>
      </c>
      <c r="F647" t="s">
        <v>901</v>
      </c>
    </row>
    <row r="648" spans="1:6" x14ac:dyDescent="0.25">
      <c r="A648" t="s">
        <v>454</v>
      </c>
      <c r="B648">
        <v>28</v>
      </c>
      <c r="C648">
        <v>14</v>
      </c>
      <c r="D648">
        <v>4</v>
      </c>
      <c r="E648" t="s">
        <v>885</v>
      </c>
      <c r="F648" t="s">
        <v>887</v>
      </c>
    </row>
    <row r="649" spans="1:6" x14ac:dyDescent="0.25">
      <c r="A649" t="s">
        <v>456</v>
      </c>
      <c r="B649">
        <v>417</v>
      </c>
      <c r="C649">
        <v>49</v>
      </c>
      <c r="D649">
        <v>3</v>
      </c>
      <c r="E649" t="s">
        <v>888</v>
      </c>
      <c r="F649" t="s">
        <v>889</v>
      </c>
    </row>
    <row r="650" spans="1:6" x14ac:dyDescent="0.25">
      <c r="A650" t="s">
        <v>458</v>
      </c>
      <c r="B650">
        <v>119</v>
      </c>
      <c r="C650">
        <v>1</v>
      </c>
      <c r="D650">
        <v>1</v>
      </c>
      <c r="E650" t="s">
        <v>883</v>
      </c>
      <c r="F650" t="s">
        <v>893</v>
      </c>
    </row>
    <row r="651" spans="1:6" x14ac:dyDescent="0.25">
      <c r="A651" t="s">
        <v>460</v>
      </c>
      <c r="B651">
        <v>60</v>
      </c>
      <c r="C651">
        <v>21</v>
      </c>
      <c r="D651">
        <v>4</v>
      </c>
      <c r="E651" t="s">
        <v>885</v>
      </c>
      <c r="F651" t="s">
        <v>886</v>
      </c>
    </row>
    <row r="652" spans="1:6" x14ac:dyDescent="0.25">
      <c r="A652" t="s">
        <v>460</v>
      </c>
      <c r="B652">
        <v>17</v>
      </c>
      <c r="C652">
        <v>0</v>
      </c>
      <c r="D652">
        <v>1</v>
      </c>
      <c r="E652" t="s">
        <v>885</v>
      </c>
      <c r="F652" t="s">
        <v>887</v>
      </c>
    </row>
    <row r="653" spans="1:6" x14ac:dyDescent="0.25">
      <c r="A653" t="s">
        <v>460</v>
      </c>
      <c r="B653">
        <v>125</v>
      </c>
      <c r="C653">
        <v>0</v>
      </c>
      <c r="D653">
        <v>3</v>
      </c>
      <c r="E653" t="s">
        <v>888</v>
      </c>
      <c r="F653" t="s">
        <v>900</v>
      </c>
    </row>
    <row r="654" spans="1:6" x14ac:dyDescent="0.25">
      <c r="A654" t="s">
        <v>461</v>
      </c>
      <c r="B654">
        <v>34</v>
      </c>
      <c r="C654">
        <v>13</v>
      </c>
      <c r="D654">
        <v>2</v>
      </c>
      <c r="E654" t="s">
        <v>885</v>
      </c>
      <c r="F654" t="s">
        <v>891</v>
      </c>
    </row>
    <row r="655" spans="1:6" x14ac:dyDescent="0.25">
      <c r="A655" t="s">
        <v>463</v>
      </c>
      <c r="B655">
        <v>2103</v>
      </c>
      <c r="C655">
        <v>322</v>
      </c>
      <c r="D655">
        <v>8</v>
      </c>
      <c r="E655" t="s">
        <v>888</v>
      </c>
      <c r="F655" t="s">
        <v>889</v>
      </c>
    </row>
    <row r="656" spans="1:6" x14ac:dyDescent="0.25">
      <c r="A656" t="s">
        <v>463</v>
      </c>
      <c r="B656">
        <v>104</v>
      </c>
      <c r="C656">
        <v>2</v>
      </c>
      <c r="D656">
        <v>2</v>
      </c>
      <c r="E656" t="s">
        <v>883</v>
      </c>
      <c r="F656" t="s">
        <v>901</v>
      </c>
    </row>
    <row r="657" spans="1:6" x14ac:dyDescent="0.25">
      <c r="A657" t="s">
        <v>463</v>
      </c>
      <c r="B657">
        <v>59</v>
      </c>
      <c r="C657">
        <v>6</v>
      </c>
      <c r="D657">
        <v>1</v>
      </c>
      <c r="E657" t="s">
        <v>888</v>
      </c>
      <c r="F657" t="s">
        <v>900</v>
      </c>
    </row>
    <row r="658" spans="1:6" x14ac:dyDescent="0.25">
      <c r="A658" t="s">
        <v>463</v>
      </c>
      <c r="B658">
        <v>103</v>
      </c>
      <c r="C658">
        <v>50</v>
      </c>
      <c r="D658">
        <v>2</v>
      </c>
      <c r="E658" t="s">
        <v>883</v>
      </c>
      <c r="F658" t="s">
        <v>901</v>
      </c>
    </row>
    <row r="659" spans="1:6" x14ac:dyDescent="0.25">
      <c r="A659" t="s">
        <v>465</v>
      </c>
      <c r="B659">
        <v>101</v>
      </c>
      <c r="C659">
        <v>38</v>
      </c>
      <c r="D659">
        <v>2</v>
      </c>
      <c r="E659" t="s">
        <v>883</v>
      </c>
      <c r="F659" t="s">
        <v>901</v>
      </c>
    </row>
    <row r="660" spans="1:6" x14ac:dyDescent="0.25">
      <c r="A660" t="s">
        <v>467</v>
      </c>
      <c r="B660">
        <v>911</v>
      </c>
      <c r="C660">
        <v>355</v>
      </c>
      <c r="D660">
        <v>5</v>
      </c>
      <c r="E660" t="s">
        <v>888</v>
      </c>
      <c r="F660" t="s">
        <v>890</v>
      </c>
    </row>
    <row r="661" spans="1:6" x14ac:dyDescent="0.25">
      <c r="A661" t="s">
        <v>467</v>
      </c>
      <c r="B661">
        <v>115</v>
      </c>
      <c r="C661">
        <v>25</v>
      </c>
      <c r="D661">
        <v>6</v>
      </c>
      <c r="E661" t="s">
        <v>885</v>
      </c>
      <c r="F661" t="s">
        <v>886</v>
      </c>
    </row>
    <row r="662" spans="1:6" x14ac:dyDescent="0.25">
      <c r="A662" t="s">
        <v>467</v>
      </c>
      <c r="B662">
        <v>140</v>
      </c>
      <c r="C662">
        <v>6</v>
      </c>
      <c r="D662">
        <v>5</v>
      </c>
      <c r="E662" t="s">
        <v>885</v>
      </c>
      <c r="F662" t="s">
        <v>891</v>
      </c>
    </row>
    <row r="663" spans="1:6" x14ac:dyDescent="0.25">
      <c r="A663" t="s">
        <v>468</v>
      </c>
      <c r="B663">
        <v>637</v>
      </c>
      <c r="C663">
        <v>261</v>
      </c>
      <c r="D663">
        <v>2</v>
      </c>
      <c r="E663" t="s">
        <v>888</v>
      </c>
      <c r="F663" t="s">
        <v>899</v>
      </c>
    </row>
    <row r="664" spans="1:6" x14ac:dyDescent="0.25">
      <c r="A664" t="s">
        <v>470</v>
      </c>
      <c r="B664">
        <v>156</v>
      </c>
      <c r="C664">
        <v>21</v>
      </c>
      <c r="D664">
        <v>3</v>
      </c>
      <c r="E664" t="s">
        <v>883</v>
      </c>
      <c r="F664" t="s">
        <v>893</v>
      </c>
    </row>
    <row r="665" spans="1:6" x14ac:dyDescent="0.25">
      <c r="A665" t="s">
        <v>471</v>
      </c>
      <c r="B665">
        <v>537</v>
      </c>
      <c r="C665">
        <v>107</v>
      </c>
      <c r="D665">
        <v>3</v>
      </c>
      <c r="E665" t="s">
        <v>885</v>
      </c>
      <c r="F665" t="s">
        <v>891</v>
      </c>
    </row>
    <row r="666" spans="1:6" x14ac:dyDescent="0.25">
      <c r="A666" t="s">
        <v>471</v>
      </c>
      <c r="B666">
        <v>15</v>
      </c>
      <c r="C666">
        <v>2</v>
      </c>
      <c r="D666">
        <v>1</v>
      </c>
      <c r="E666" t="s">
        <v>885</v>
      </c>
      <c r="F666" t="s">
        <v>897</v>
      </c>
    </row>
    <row r="667" spans="1:6" x14ac:dyDescent="0.25">
      <c r="A667" t="s">
        <v>471</v>
      </c>
      <c r="B667">
        <v>128</v>
      </c>
      <c r="C667">
        <v>-3</v>
      </c>
      <c r="D667">
        <v>3</v>
      </c>
      <c r="E667" t="s">
        <v>885</v>
      </c>
      <c r="F667" t="s">
        <v>891</v>
      </c>
    </row>
    <row r="668" spans="1:6" x14ac:dyDescent="0.25">
      <c r="A668" t="s">
        <v>471</v>
      </c>
      <c r="B668">
        <v>222</v>
      </c>
      <c r="C668">
        <v>35</v>
      </c>
      <c r="D668">
        <v>5</v>
      </c>
      <c r="E668" t="s">
        <v>885</v>
      </c>
      <c r="F668" t="s">
        <v>891</v>
      </c>
    </row>
    <row r="669" spans="1:6" x14ac:dyDescent="0.25">
      <c r="A669" t="s">
        <v>473</v>
      </c>
      <c r="B669">
        <v>345</v>
      </c>
      <c r="C669">
        <v>38</v>
      </c>
      <c r="D669">
        <v>7</v>
      </c>
      <c r="E669" t="s">
        <v>885</v>
      </c>
      <c r="F669" t="s">
        <v>887</v>
      </c>
    </row>
    <row r="670" spans="1:6" x14ac:dyDescent="0.25">
      <c r="A670" t="s">
        <v>475</v>
      </c>
      <c r="B670">
        <v>41</v>
      </c>
      <c r="C670">
        <v>11</v>
      </c>
      <c r="D670">
        <v>6</v>
      </c>
      <c r="E670" t="s">
        <v>885</v>
      </c>
      <c r="F670" t="s">
        <v>887</v>
      </c>
    </row>
    <row r="671" spans="1:6" x14ac:dyDescent="0.25">
      <c r="A671" t="s">
        <v>475</v>
      </c>
      <c r="B671">
        <v>54</v>
      </c>
      <c r="C671">
        <v>1</v>
      </c>
      <c r="D671">
        <v>2</v>
      </c>
      <c r="E671" t="s">
        <v>885</v>
      </c>
      <c r="F671" t="s">
        <v>891</v>
      </c>
    </row>
    <row r="672" spans="1:6" x14ac:dyDescent="0.25">
      <c r="A672" t="s">
        <v>475</v>
      </c>
      <c r="B672">
        <v>71</v>
      </c>
      <c r="C672">
        <v>0</v>
      </c>
      <c r="D672">
        <v>8</v>
      </c>
      <c r="E672" t="s">
        <v>885</v>
      </c>
      <c r="F672" t="s">
        <v>902</v>
      </c>
    </row>
    <row r="673" spans="1:6" x14ac:dyDescent="0.25">
      <c r="A673" t="s">
        <v>475</v>
      </c>
      <c r="B673">
        <v>93</v>
      </c>
      <c r="C673">
        <v>15</v>
      </c>
      <c r="D673">
        <v>2</v>
      </c>
      <c r="E673" t="s">
        <v>888</v>
      </c>
      <c r="F673" t="s">
        <v>900</v>
      </c>
    </row>
    <row r="674" spans="1:6" x14ac:dyDescent="0.25">
      <c r="A674" t="s">
        <v>475</v>
      </c>
      <c r="B674">
        <v>1063</v>
      </c>
      <c r="C674">
        <v>64</v>
      </c>
      <c r="D674">
        <v>7</v>
      </c>
      <c r="E674" t="s">
        <v>888</v>
      </c>
      <c r="F674" t="s">
        <v>890</v>
      </c>
    </row>
    <row r="675" spans="1:6" x14ac:dyDescent="0.25">
      <c r="A675" t="s">
        <v>475</v>
      </c>
      <c r="B675">
        <v>1954</v>
      </c>
      <c r="C675">
        <v>782</v>
      </c>
      <c r="D675">
        <v>3</v>
      </c>
      <c r="E675" t="s">
        <v>888</v>
      </c>
      <c r="F675" t="s">
        <v>890</v>
      </c>
    </row>
    <row r="676" spans="1:6" x14ac:dyDescent="0.25">
      <c r="A676" t="s">
        <v>477</v>
      </c>
      <c r="B676">
        <v>693</v>
      </c>
      <c r="C676">
        <v>254</v>
      </c>
      <c r="D676">
        <v>6</v>
      </c>
      <c r="E676" t="s">
        <v>885</v>
      </c>
      <c r="F676" t="s">
        <v>891</v>
      </c>
    </row>
    <row r="677" spans="1:6" x14ac:dyDescent="0.25">
      <c r="A677" t="s">
        <v>478</v>
      </c>
      <c r="B677">
        <v>504</v>
      </c>
      <c r="C677">
        <v>116</v>
      </c>
      <c r="D677">
        <v>3</v>
      </c>
      <c r="E677" t="s">
        <v>883</v>
      </c>
      <c r="F677" t="s">
        <v>884</v>
      </c>
    </row>
    <row r="678" spans="1:6" x14ac:dyDescent="0.25">
      <c r="A678" t="s">
        <v>480</v>
      </c>
      <c r="B678">
        <v>64</v>
      </c>
      <c r="C678">
        <v>27</v>
      </c>
      <c r="D678">
        <v>5</v>
      </c>
      <c r="E678" t="s">
        <v>885</v>
      </c>
      <c r="F678" t="s">
        <v>887</v>
      </c>
    </row>
    <row r="679" spans="1:6" x14ac:dyDescent="0.25">
      <c r="A679" t="s">
        <v>480</v>
      </c>
      <c r="B679">
        <v>36</v>
      </c>
      <c r="C679">
        <v>4</v>
      </c>
      <c r="D679">
        <v>9</v>
      </c>
      <c r="E679" t="s">
        <v>885</v>
      </c>
      <c r="F679" t="s">
        <v>887</v>
      </c>
    </row>
    <row r="680" spans="1:6" x14ac:dyDescent="0.25">
      <c r="A680" t="s">
        <v>480</v>
      </c>
      <c r="B680">
        <v>45</v>
      </c>
      <c r="C680">
        <v>16</v>
      </c>
      <c r="D680">
        <v>3</v>
      </c>
      <c r="E680" t="s">
        <v>885</v>
      </c>
      <c r="F680" t="s">
        <v>886</v>
      </c>
    </row>
    <row r="681" spans="1:6" x14ac:dyDescent="0.25">
      <c r="A681" t="s">
        <v>482</v>
      </c>
      <c r="B681">
        <v>16</v>
      </c>
      <c r="C681">
        <v>5</v>
      </c>
      <c r="D681">
        <v>1</v>
      </c>
      <c r="E681" t="s">
        <v>885</v>
      </c>
      <c r="F681" t="s">
        <v>886</v>
      </c>
    </row>
    <row r="682" spans="1:6" x14ac:dyDescent="0.25">
      <c r="A682" t="s">
        <v>484</v>
      </c>
      <c r="B682">
        <v>52</v>
      </c>
      <c r="C682">
        <v>11</v>
      </c>
      <c r="D682">
        <v>5</v>
      </c>
      <c r="E682" t="s">
        <v>885</v>
      </c>
      <c r="F682" t="s">
        <v>897</v>
      </c>
    </row>
    <row r="683" spans="1:6" x14ac:dyDescent="0.25">
      <c r="A683" t="s">
        <v>484</v>
      </c>
      <c r="B683">
        <v>27</v>
      </c>
      <c r="C683">
        <v>2</v>
      </c>
      <c r="D683">
        <v>2</v>
      </c>
      <c r="E683" t="s">
        <v>885</v>
      </c>
      <c r="F683" t="s">
        <v>897</v>
      </c>
    </row>
    <row r="684" spans="1:6" x14ac:dyDescent="0.25">
      <c r="A684" t="s">
        <v>484</v>
      </c>
      <c r="B684">
        <v>155</v>
      </c>
      <c r="C684">
        <v>26</v>
      </c>
      <c r="D684">
        <v>3</v>
      </c>
      <c r="E684" t="s">
        <v>885</v>
      </c>
      <c r="F684" t="s">
        <v>886</v>
      </c>
    </row>
    <row r="685" spans="1:6" x14ac:dyDescent="0.25">
      <c r="A685" t="s">
        <v>486</v>
      </c>
      <c r="B685">
        <v>1298</v>
      </c>
      <c r="C685">
        <v>65</v>
      </c>
      <c r="D685">
        <v>9</v>
      </c>
      <c r="E685" t="s">
        <v>888</v>
      </c>
      <c r="F685" t="s">
        <v>899</v>
      </c>
    </row>
    <row r="686" spans="1:6" x14ac:dyDescent="0.25">
      <c r="A686" t="s">
        <v>488</v>
      </c>
      <c r="B686">
        <v>263</v>
      </c>
      <c r="C686">
        <v>50</v>
      </c>
      <c r="D686">
        <v>5</v>
      </c>
      <c r="E686" t="s">
        <v>885</v>
      </c>
      <c r="F686" t="s">
        <v>886</v>
      </c>
    </row>
    <row r="687" spans="1:6" x14ac:dyDescent="0.25">
      <c r="A687" t="s">
        <v>490</v>
      </c>
      <c r="B687">
        <v>70</v>
      </c>
      <c r="C687">
        <v>26</v>
      </c>
      <c r="D687">
        <v>5</v>
      </c>
      <c r="E687" t="s">
        <v>885</v>
      </c>
      <c r="F687" t="s">
        <v>887</v>
      </c>
    </row>
    <row r="688" spans="1:6" x14ac:dyDescent="0.25">
      <c r="A688" t="s">
        <v>490</v>
      </c>
      <c r="B688">
        <v>81</v>
      </c>
      <c r="C688">
        <v>19</v>
      </c>
      <c r="D688">
        <v>7</v>
      </c>
      <c r="E688" t="s">
        <v>885</v>
      </c>
      <c r="F688" t="s">
        <v>887</v>
      </c>
    </row>
    <row r="689" spans="1:6" x14ac:dyDescent="0.25">
      <c r="A689" t="s">
        <v>490</v>
      </c>
      <c r="B689">
        <v>955</v>
      </c>
      <c r="C689">
        <v>305</v>
      </c>
      <c r="D689">
        <v>3</v>
      </c>
      <c r="E689" t="s">
        <v>888</v>
      </c>
      <c r="F689" t="s">
        <v>899</v>
      </c>
    </row>
    <row r="690" spans="1:6" x14ac:dyDescent="0.25">
      <c r="A690" t="s">
        <v>490</v>
      </c>
      <c r="B690">
        <v>161</v>
      </c>
      <c r="C690">
        <v>40</v>
      </c>
      <c r="D690">
        <v>3</v>
      </c>
      <c r="E690" t="s">
        <v>885</v>
      </c>
      <c r="F690" t="s">
        <v>886</v>
      </c>
    </row>
    <row r="691" spans="1:6" x14ac:dyDescent="0.25">
      <c r="A691" t="s">
        <v>491</v>
      </c>
      <c r="B691">
        <v>1250</v>
      </c>
      <c r="C691">
        <v>486</v>
      </c>
      <c r="D691">
        <v>7</v>
      </c>
      <c r="E691" t="s">
        <v>885</v>
      </c>
      <c r="F691" t="s">
        <v>891</v>
      </c>
    </row>
    <row r="692" spans="1:6" x14ac:dyDescent="0.25">
      <c r="A692" t="s">
        <v>493</v>
      </c>
      <c r="B692">
        <v>246</v>
      </c>
      <c r="C692">
        <v>61</v>
      </c>
      <c r="D692">
        <v>2</v>
      </c>
      <c r="E692" t="s">
        <v>883</v>
      </c>
      <c r="F692" t="s">
        <v>884</v>
      </c>
    </row>
    <row r="693" spans="1:6" x14ac:dyDescent="0.25">
      <c r="A693" t="s">
        <v>493</v>
      </c>
      <c r="B693">
        <v>298</v>
      </c>
      <c r="C693">
        <v>74</v>
      </c>
      <c r="D693">
        <v>2</v>
      </c>
      <c r="E693" t="s">
        <v>883</v>
      </c>
      <c r="F693" t="s">
        <v>884</v>
      </c>
    </row>
    <row r="694" spans="1:6" x14ac:dyDescent="0.25">
      <c r="A694" t="s">
        <v>493</v>
      </c>
      <c r="B694">
        <v>262</v>
      </c>
      <c r="C694">
        <v>64</v>
      </c>
      <c r="D694">
        <v>6</v>
      </c>
      <c r="E694" t="s">
        <v>885</v>
      </c>
      <c r="F694" t="s">
        <v>891</v>
      </c>
    </row>
    <row r="695" spans="1:6" x14ac:dyDescent="0.25">
      <c r="A695" t="s">
        <v>495</v>
      </c>
      <c r="B695">
        <v>22</v>
      </c>
      <c r="C695">
        <v>11</v>
      </c>
      <c r="D695">
        <v>2</v>
      </c>
      <c r="E695" t="s">
        <v>885</v>
      </c>
      <c r="F695" t="s">
        <v>902</v>
      </c>
    </row>
    <row r="696" spans="1:6" x14ac:dyDescent="0.25">
      <c r="A696" t="s">
        <v>497</v>
      </c>
      <c r="B696">
        <v>1543</v>
      </c>
      <c r="C696">
        <v>370</v>
      </c>
      <c r="D696">
        <v>8</v>
      </c>
      <c r="E696" t="s">
        <v>888</v>
      </c>
      <c r="F696" t="s">
        <v>899</v>
      </c>
    </row>
    <row r="697" spans="1:6" x14ac:dyDescent="0.25">
      <c r="A697" t="s">
        <v>498</v>
      </c>
      <c r="B697">
        <v>50</v>
      </c>
      <c r="C697">
        <v>7</v>
      </c>
      <c r="D697">
        <v>6</v>
      </c>
      <c r="E697" t="s">
        <v>885</v>
      </c>
      <c r="F697" t="s">
        <v>902</v>
      </c>
    </row>
    <row r="698" spans="1:6" x14ac:dyDescent="0.25">
      <c r="A698" t="s">
        <v>498</v>
      </c>
      <c r="B698">
        <v>214</v>
      </c>
      <c r="C698">
        <v>30</v>
      </c>
      <c r="D698">
        <v>3</v>
      </c>
      <c r="E698" t="s">
        <v>888</v>
      </c>
      <c r="F698" t="s">
        <v>900</v>
      </c>
    </row>
    <row r="699" spans="1:6" x14ac:dyDescent="0.25">
      <c r="A699" t="s">
        <v>498</v>
      </c>
      <c r="B699">
        <v>255</v>
      </c>
      <c r="C699">
        <v>74</v>
      </c>
      <c r="D699">
        <v>5</v>
      </c>
      <c r="E699" t="s">
        <v>885</v>
      </c>
      <c r="F699" t="s">
        <v>887</v>
      </c>
    </row>
    <row r="700" spans="1:6" x14ac:dyDescent="0.25">
      <c r="A700" t="s">
        <v>498</v>
      </c>
      <c r="B700">
        <v>18</v>
      </c>
      <c r="C700">
        <v>6</v>
      </c>
      <c r="D700">
        <v>3</v>
      </c>
      <c r="E700" t="s">
        <v>885</v>
      </c>
      <c r="F700" t="s">
        <v>887</v>
      </c>
    </row>
    <row r="701" spans="1:6" x14ac:dyDescent="0.25">
      <c r="A701" t="s">
        <v>498</v>
      </c>
      <c r="B701">
        <v>45</v>
      </c>
      <c r="C701">
        <v>0</v>
      </c>
      <c r="D701">
        <v>2</v>
      </c>
      <c r="E701" t="s">
        <v>885</v>
      </c>
      <c r="F701" t="s">
        <v>886</v>
      </c>
    </row>
    <row r="702" spans="1:6" x14ac:dyDescent="0.25">
      <c r="A702" t="s">
        <v>500</v>
      </c>
      <c r="B702">
        <v>86</v>
      </c>
      <c r="C702">
        <v>8</v>
      </c>
      <c r="D702">
        <v>2</v>
      </c>
      <c r="E702" t="s">
        <v>885</v>
      </c>
      <c r="F702" t="s">
        <v>891</v>
      </c>
    </row>
    <row r="703" spans="1:6" x14ac:dyDescent="0.25">
      <c r="A703" t="s">
        <v>502</v>
      </c>
      <c r="B703">
        <v>274</v>
      </c>
      <c r="C703">
        <v>-7</v>
      </c>
      <c r="D703">
        <v>4</v>
      </c>
      <c r="E703" t="s">
        <v>888</v>
      </c>
      <c r="F703" t="s">
        <v>890</v>
      </c>
    </row>
    <row r="704" spans="1:6" x14ac:dyDescent="0.25">
      <c r="A704" t="s">
        <v>502</v>
      </c>
      <c r="B704">
        <v>82</v>
      </c>
      <c r="C704">
        <v>33</v>
      </c>
      <c r="D704">
        <v>4</v>
      </c>
      <c r="E704" t="s">
        <v>885</v>
      </c>
      <c r="F704" t="s">
        <v>894</v>
      </c>
    </row>
    <row r="705" spans="1:6" x14ac:dyDescent="0.25">
      <c r="A705" t="s">
        <v>502</v>
      </c>
      <c r="B705">
        <v>757</v>
      </c>
      <c r="C705">
        <v>371</v>
      </c>
      <c r="D705">
        <v>2</v>
      </c>
      <c r="E705" t="s">
        <v>888</v>
      </c>
      <c r="F705" t="s">
        <v>899</v>
      </c>
    </row>
    <row r="706" spans="1:6" x14ac:dyDescent="0.25">
      <c r="A706" t="s">
        <v>502</v>
      </c>
      <c r="B706">
        <v>132</v>
      </c>
      <c r="C706">
        <v>54</v>
      </c>
      <c r="D706">
        <v>5</v>
      </c>
      <c r="E706" t="s">
        <v>885</v>
      </c>
      <c r="F706" t="s">
        <v>886</v>
      </c>
    </row>
    <row r="707" spans="1:6" x14ac:dyDescent="0.25">
      <c r="A707" t="s">
        <v>504</v>
      </c>
      <c r="B707">
        <v>94</v>
      </c>
      <c r="C707">
        <v>7</v>
      </c>
      <c r="D707">
        <v>7</v>
      </c>
      <c r="E707" t="s">
        <v>885</v>
      </c>
      <c r="F707" t="s">
        <v>897</v>
      </c>
    </row>
    <row r="708" spans="1:6" x14ac:dyDescent="0.25">
      <c r="A708" t="s">
        <v>506</v>
      </c>
      <c r="B708">
        <v>643</v>
      </c>
      <c r="C708">
        <v>225</v>
      </c>
      <c r="D708">
        <v>2</v>
      </c>
      <c r="E708" t="s">
        <v>888</v>
      </c>
      <c r="F708" t="s">
        <v>899</v>
      </c>
    </row>
    <row r="709" spans="1:6" x14ac:dyDescent="0.25">
      <c r="A709" t="s">
        <v>506</v>
      </c>
      <c r="B709">
        <v>264</v>
      </c>
      <c r="C709">
        <v>71</v>
      </c>
      <c r="D709">
        <v>10</v>
      </c>
      <c r="E709" t="s">
        <v>883</v>
      </c>
      <c r="F709" t="s">
        <v>901</v>
      </c>
    </row>
    <row r="710" spans="1:6" x14ac:dyDescent="0.25">
      <c r="A710" t="s">
        <v>508</v>
      </c>
      <c r="B710">
        <v>147</v>
      </c>
      <c r="C710">
        <v>21</v>
      </c>
      <c r="D710">
        <v>3</v>
      </c>
      <c r="E710" t="s">
        <v>883</v>
      </c>
      <c r="F710" t="s">
        <v>901</v>
      </c>
    </row>
    <row r="711" spans="1:6" x14ac:dyDescent="0.25">
      <c r="A711" t="s">
        <v>508</v>
      </c>
      <c r="B711">
        <v>16</v>
      </c>
      <c r="C711">
        <v>8</v>
      </c>
      <c r="D711">
        <v>2</v>
      </c>
      <c r="E711" t="s">
        <v>885</v>
      </c>
      <c r="F711" t="s">
        <v>887</v>
      </c>
    </row>
    <row r="712" spans="1:6" x14ac:dyDescent="0.25">
      <c r="A712" t="s">
        <v>508</v>
      </c>
      <c r="B712">
        <v>648</v>
      </c>
      <c r="C712">
        <v>50</v>
      </c>
      <c r="D712">
        <v>6</v>
      </c>
      <c r="E712" t="s">
        <v>888</v>
      </c>
      <c r="F712" t="s">
        <v>889</v>
      </c>
    </row>
    <row r="713" spans="1:6" x14ac:dyDescent="0.25">
      <c r="A713" t="s">
        <v>509</v>
      </c>
      <c r="B713">
        <v>336</v>
      </c>
      <c r="C713">
        <v>123</v>
      </c>
      <c r="D713">
        <v>3</v>
      </c>
      <c r="E713" t="s">
        <v>888</v>
      </c>
      <c r="F713" t="s">
        <v>890</v>
      </c>
    </row>
    <row r="714" spans="1:6" x14ac:dyDescent="0.25">
      <c r="A714" t="s">
        <v>511</v>
      </c>
      <c r="B714">
        <v>45</v>
      </c>
      <c r="C714">
        <v>1</v>
      </c>
      <c r="D714">
        <v>3</v>
      </c>
      <c r="E714" t="s">
        <v>885</v>
      </c>
      <c r="F714" t="s">
        <v>895</v>
      </c>
    </row>
    <row r="715" spans="1:6" x14ac:dyDescent="0.25">
      <c r="A715" t="s">
        <v>511</v>
      </c>
      <c r="B715">
        <v>93</v>
      </c>
      <c r="C715">
        <v>-1</v>
      </c>
      <c r="D715">
        <v>2</v>
      </c>
      <c r="E715" t="s">
        <v>885</v>
      </c>
      <c r="F715" t="s">
        <v>887</v>
      </c>
    </row>
    <row r="716" spans="1:6" x14ac:dyDescent="0.25">
      <c r="A716" t="s">
        <v>511</v>
      </c>
      <c r="B716">
        <v>52</v>
      </c>
      <c r="C716">
        <v>18</v>
      </c>
      <c r="D716">
        <v>5</v>
      </c>
      <c r="E716" t="s">
        <v>885</v>
      </c>
      <c r="F716" t="s">
        <v>897</v>
      </c>
    </row>
    <row r="717" spans="1:6" x14ac:dyDescent="0.25">
      <c r="A717" t="s">
        <v>511</v>
      </c>
      <c r="B717">
        <v>148</v>
      </c>
      <c r="C717">
        <v>24</v>
      </c>
      <c r="D717">
        <v>3</v>
      </c>
      <c r="E717" t="s">
        <v>885</v>
      </c>
      <c r="F717" t="s">
        <v>886</v>
      </c>
    </row>
    <row r="718" spans="1:6" x14ac:dyDescent="0.25">
      <c r="A718" t="s">
        <v>511</v>
      </c>
      <c r="B718">
        <v>24</v>
      </c>
      <c r="C718">
        <v>1</v>
      </c>
      <c r="D718">
        <v>4</v>
      </c>
      <c r="E718" t="s">
        <v>885</v>
      </c>
      <c r="F718" t="s">
        <v>887</v>
      </c>
    </row>
    <row r="719" spans="1:6" x14ac:dyDescent="0.25">
      <c r="A719" t="s">
        <v>511</v>
      </c>
      <c r="B719">
        <v>513</v>
      </c>
      <c r="C719">
        <v>215</v>
      </c>
      <c r="D719">
        <v>2</v>
      </c>
      <c r="E719" t="s">
        <v>888</v>
      </c>
      <c r="F719" t="s">
        <v>900</v>
      </c>
    </row>
    <row r="720" spans="1:6" x14ac:dyDescent="0.25">
      <c r="A720" t="s">
        <v>511</v>
      </c>
      <c r="B720">
        <v>117</v>
      </c>
      <c r="C720">
        <v>36</v>
      </c>
      <c r="D720">
        <v>2</v>
      </c>
      <c r="E720" t="s">
        <v>885</v>
      </c>
      <c r="F720" t="s">
        <v>892</v>
      </c>
    </row>
    <row r="721" spans="1:6" x14ac:dyDescent="0.25">
      <c r="A721" t="s">
        <v>511</v>
      </c>
      <c r="B721">
        <v>916</v>
      </c>
      <c r="C721">
        <v>192</v>
      </c>
      <c r="D721">
        <v>11</v>
      </c>
      <c r="E721" t="s">
        <v>888</v>
      </c>
      <c r="F721" t="s">
        <v>890</v>
      </c>
    </row>
    <row r="722" spans="1:6" x14ac:dyDescent="0.25">
      <c r="A722" t="s">
        <v>511</v>
      </c>
      <c r="B722">
        <v>485</v>
      </c>
      <c r="C722">
        <v>199</v>
      </c>
      <c r="D722">
        <v>4</v>
      </c>
      <c r="E722" t="s">
        <v>885</v>
      </c>
      <c r="F722" t="s">
        <v>891</v>
      </c>
    </row>
    <row r="723" spans="1:6" x14ac:dyDescent="0.25">
      <c r="A723" t="s">
        <v>512</v>
      </c>
      <c r="B723">
        <v>10</v>
      </c>
      <c r="C723">
        <v>2</v>
      </c>
      <c r="D723">
        <v>2</v>
      </c>
      <c r="E723" t="s">
        <v>885</v>
      </c>
      <c r="F723" t="s">
        <v>887</v>
      </c>
    </row>
    <row r="724" spans="1:6" x14ac:dyDescent="0.25">
      <c r="A724" t="s">
        <v>512</v>
      </c>
      <c r="B724">
        <v>300</v>
      </c>
      <c r="C724">
        <v>42</v>
      </c>
      <c r="D724">
        <v>2</v>
      </c>
      <c r="E724" t="s">
        <v>888</v>
      </c>
      <c r="F724" t="s">
        <v>899</v>
      </c>
    </row>
    <row r="725" spans="1:6" x14ac:dyDescent="0.25">
      <c r="A725" t="s">
        <v>512</v>
      </c>
      <c r="B725">
        <v>57</v>
      </c>
      <c r="C725">
        <v>27</v>
      </c>
      <c r="D725">
        <v>2</v>
      </c>
      <c r="E725" t="s">
        <v>885</v>
      </c>
      <c r="F725" t="s">
        <v>895</v>
      </c>
    </row>
    <row r="726" spans="1:6" x14ac:dyDescent="0.25">
      <c r="A726" t="s">
        <v>512</v>
      </c>
      <c r="B726">
        <v>103</v>
      </c>
      <c r="C726">
        <v>46</v>
      </c>
      <c r="D726">
        <v>2</v>
      </c>
      <c r="E726" t="s">
        <v>885</v>
      </c>
      <c r="F726" t="s">
        <v>891</v>
      </c>
    </row>
    <row r="727" spans="1:6" x14ac:dyDescent="0.25">
      <c r="A727" t="s">
        <v>512</v>
      </c>
      <c r="B727">
        <v>336</v>
      </c>
      <c r="C727">
        <v>71</v>
      </c>
      <c r="D727">
        <v>3</v>
      </c>
      <c r="E727" t="s">
        <v>883</v>
      </c>
      <c r="F727" t="s">
        <v>884</v>
      </c>
    </row>
    <row r="728" spans="1:6" x14ac:dyDescent="0.25">
      <c r="A728" t="s">
        <v>512</v>
      </c>
      <c r="B728">
        <v>53</v>
      </c>
      <c r="C728">
        <v>24</v>
      </c>
      <c r="D728">
        <v>6</v>
      </c>
      <c r="E728" t="s">
        <v>885</v>
      </c>
      <c r="F728" t="s">
        <v>887</v>
      </c>
    </row>
    <row r="729" spans="1:6" x14ac:dyDescent="0.25">
      <c r="A729" t="s">
        <v>512</v>
      </c>
      <c r="B729">
        <v>90</v>
      </c>
      <c r="C729">
        <v>29</v>
      </c>
      <c r="D729">
        <v>5</v>
      </c>
      <c r="E729" t="s">
        <v>885</v>
      </c>
      <c r="F729" t="s">
        <v>895</v>
      </c>
    </row>
    <row r="730" spans="1:6" x14ac:dyDescent="0.25">
      <c r="A730" t="s">
        <v>512</v>
      </c>
      <c r="B730">
        <v>62</v>
      </c>
      <c r="C730">
        <v>1</v>
      </c>
      <c r="D730">
        <v>3</v>
      </c>
      <c r="E730" t="s">
        <v>885</v>
      </c>
      <c r="F730" t="s">
        <v>891</v>
      </c>
    </row>
    <row r="731" spans="1:6" x14ac:dyDescent="0.25">
      <c r="A731" t="s">
        <v>512</v>
      </c>
      <c r="B731">
        <v>135</v>
      </c>
      <c r="C731">
        <v>54</v>
      </c>
      <c r="D731">
        <v>5</v>
      </c>
      <c r="E731" t="s">
        <v>885</v>
      </c>
      <c r="F731" t="s">
        <v>894</v>
      </c>
    </row>
    <row r="732" spans="1:6" x14ac:dyDescent="0.25">
      <c r="A732" t="s">
        <v>512</v>
      </c>
      <c r="B732">
        <v>237</v>
      </c>
      <c r="C732">
        <v>47</v>
      </c>
      <c r="D732">
        <v>9</v>
      </c>
      <c r="E732" t="s">
        <v>885</v>
      </c>
      <c r="F732" t="s">
        <v>895</v>
      </c>
    </row>
    <row r="733" spans="1:6" x14ac:dyDescent="0.25">
      <c r="A733" t="s">
        <v>514</v>
      </c>
      <c r="B733">
        <v>320</v>
      </c>
      <c r="C733">
        <v>144</v>
      </c>
      <c r="D733">
        <v>1</v>
      </c>
      <c r="E733" t="s">
        <v>888</v>
      </c>
      <c r="F733" t="s">
        <v>899</v>
      </c>
    </row>
    <row r="734" spans="1:6" x14ac:dyDescent="0.25">
      <c r="A734" t="s">
        <v>514</v>
      </c>
      <c r="B734">
        <v>24</v>
      </c>
      <c r="C734">
        <v>1</v>
      </c>
      <c r="D734">
        <v>2</v>
      </c>
      <c r="E734" t="s">
        <v>885</v>
      </c>
      <c r="F734" t="s">
        <v>887</v>
      </c>
    </row>
    <row r="735" spans="1:6" x14ac:dyDescent="0.25">
      <c r="A735" t="s">
        <v>514</v>
      </c>
      <c r="B735">
        <v>45</v>
      </c>
      <c r="C735">
        <v>12</v>
      </c>
      <c r="D735">
        <v>4</v>
      </c>
      <c r="E735" t="s">
        <v>885</v>
      </c>
      <c r="F735" t="s">
        <v>887</v>
      </c>
    </row>
    <row r="736" spans="1:6" x14ac:dyDescent="0.25">
      <c r="A736" t="s">
        <v>514</v>
      </c>
      <c r="B736">
        <v>97</v>
      </c>
      <c r="C736">
        <v>17</v>
      </c>
      <c r="D736">
        <v>2</v>
      </c>
      <c r="E736" t="s">
        <v>885</v>
      </c>
      <c r="F736" t="s">
        <v>886</v>
      </c>
    </row>
    <row r="737" spans="1:6" x14ac:dyDescent="0.25">
      <c r="A737" t="s">
        <v>514</v>
      </c>
      <c r="B737">
        <v>50</v>
      </c>
      <c r="C737">
        <v>16</v>
      </c>
      <c r="D737">
        <v>1</v>
      </c>
      <c r="E737" t="s">
        <v>885</v>
      </c>
      <c r="F737" t="s">
        <v>886</v>
      </c>
    </row>
    <row r="738" spans="1:6" x14ac:dyDescent="0.25">
      <c r="A738" t="s">
        <v>514</v>
      </c>
      <c r="B738">
        <v>869</v>
      </c>
      <c r="C738">
        <v>67</v>
      </c>
      <c r="D738">
        <v>4</v>
      </c>
      <c r="E738" t="s">
        <v>883</v>
      </c>
      <c r="F738" t="s">
        <v>898</v>
      </c>
    </row>
    <row r="739" spans="1:6" x14ac:dyDescent="0.25">
      <c r="A739" t="s">
        <v>514</v>
      </c>
      <c r="B739">
        <v>105</v>
      </c>
      <c r="C739">
        <v>33</v>
      </c>
      <c r="D739">
        <v>5</v>
      </c>
      <c r="E739" t="s">
        <v>885</v>
      </c>
      <c r="F739" t="s">
        <v>894</v>
      </c>
    </row>
    <row r="740" spans="1:6" x14ac:dyDescent="0.25">
      <c r="A740" t="s">
        <v>516</v>
      </c>
      <c r="B740">
        <v>39</v>
      </c>
      <c r="C740">
        <v>16</v>
      </c>
      <c r="D740">
        <v>6</v>
      </c>
      <c r="E740" t="s">
        <v>885</v>
      </c>
      <c r="F740" t="s">
        <v>902</v>
      </c>
    </row>
    <row r="741" spans="1:6" x14ac:dyDescent="0.25">
      <c r="A741" t="s">
        <v>516</v>
      </c>
      <c r="B741">
        <v>30</v>
      </c>
      <c r="C741">
        <v>14</v>
      </c>
      <c r="D741">
        <v>3</v>
      </c>
      <c r="E741" t="s">
        <v>885</v>
      </c>
      <c r="F741" t="s">
        <v>887</v>
      </c>
    </row>
    <row r="742" spans="1:6" x14ac:dyDescent="0.25">
      <c r="A742" t="s">
        <v>516</v>
      </c>
      <c r="B742">
        <v>26</v>
      </c>
      <c r="C742">
        <v>11</v>
      </c>
      <c r="D742">
        <v>2</v>
      </c>
      <c r="E742" t="s">
        <v>885</v>
      </c>
      <c r="F742" t="s">
        <v>887</v>
      </c>
    </row>
    <row r="743" spans="1:6" x14ac:dyDescent="0.25">
      <c r="A743" t="s">
        <v>516</v>
      </c>
      <c r="B743">
        <v>19</v>
      </c>
      <c r="C743">
        <v>6</v>
      </c>
      <c r="D743">
        <v>2</v>
      </c>
      <c r="E743" t="s">
        <v>885</v>
      </c>
      <c r="F743" t="s">
        <v>891</v>
      </c>
    </row>
    <row r="744" spans="1:6" x14ac:dyDescent="0.25">
      <c r="A744" t="s">
        <v>516</v>
      </c>
      <c r="B744">
        <v>579</v>
      </c>
      <c r="C744">
        <v>139</v>
      </c>
      <c r="D744">
        <v>3</v>
      </c>
      <c r="E744" t="s">
        <v>888</v>
      </c>
      <c r="F744" t="s">
        <v>899</v>
      </c>
    </row>
    <row r="745" spans="1:6" x14ac:dyDescent="0.25">
      <c r="A745" t="s">
        <v>516</v>
      </c>
      <c r="B745">
        <v>2093</v>
      </c>
      <c r="C745">
        <v>721</v>
      </c>
      <c r="D745">
        <v>5</v>
      </c>
      <c r="E745" t="s">
        <v>883</v>
      </c>
      <c r="F745" t="s">
        <v>893</v>
      </c>
    </row>
    <row r="746" spans="1:6" x14ac:dyDescent="0.25">
      <c r="A746" t="s">
        <v>516</v>
      </c>
      <c r="B746">
        <v>95</v>
      </c>
      <c r="C746">
        <v>11</v>
      </c>
      <c r="D746">
        <v>4</v>
      </c>
      <c r="E746" t="s">
        <v>883</v>
      </c>
      <c r="F746" t="s">
        <v>901</v>
      </c>
    </row>
    <row r="747" spans="1:6" x14ac:dyDescent="0.25">
      <c r="A747" t="s">
        <v>516</v>
      </c>
      <c r="B747">
        <v>128</v>
      </c>
      <c r="C747">
        <v>4</v>
      </c>
      <c r="D747">
        <v>3</v>
      </c>
      <c r="E747" t="s">
        <v>885</v>
      </c>
      <c r="F747" t="s">
        <v>891</v>
      </c>
    </row>
    <row r="748" spans="1:6" x14ac:dyDescent="0.25">
      <c r="A748" t="s">
        <v>516</v>
      </c>
      <c r="B748">
        <v>199</v>
      </c>
      <c r="C748">
        <v>48</v>
      </c>
      <c r="D748">
        <v>4</v>
      </c>
      <c r="E748" t="s">
        <v>885</v>
      </c>
      <c r="F748" t="s">
        <v>886</v>
      </c>
    </row>
    <row r="749" spans="1:6" x14ac:dyDescent="0.25">
      <c r="A749" t="s">
        <v>518</v>
      </c>
      <c r="B749">
        <v>149</v>
      </c>
      <c r="C749">
        <v>48</v>
      </c>
      <c r="D749">
        <v>6</v>
      </c>
      <c r="E749" t="s">
        <v>885</v>
      </c>
      <c r="F749" t="s">
        <v>886</v>
      </c>
    </row>
    <row r="750" spans="1:6" x14ac:dyDescent="0.25">
      <c r="A750" t="s">
        <v>518</v>
      </c>
      <c r="B750">
        <v>436</v>
      </c>
      <c r="C750">
        <v>131</v>
      </c>
      <c r="D750">
        <v>9</v>
      </c>
      <c r="E750" t="s">
        <v>885</v>
      </c>
      <c r="F750" t="s">
        <v>887</v>
      </c>
    </row>
    <row r="751" spans="1:6" x14ac:dyDescent="0.25">
      <c r="A751" t="s">
        <v>518</v>
      </c>
      <c r="B751">
        <v>76</v>
      </c>
      <c r="C751">
        <v>19</v>
      </c>
      <c r="D751">
        <v>3</v>
      </c>
      <c r="E751" t="s">
        <v>885</v>
      </c>
      <c r="F751" t="s">
        <v>887</v>
      </c>
    </row>
    <row r="752" spans="1:6" x14ac:dyDescent="0.25">
      <c r="A752" t="s">
        <v>518</v>
      </c>
      <c r="B752">
        <v>88</v>
      </c>
      <c r="C752">
        <v>16</v>
      </c>
      <c r="D752">
        <v>4</v>
      </c>
      <c r="E752" t="s">
        <v>885</v>
      </c>
      <c r="F752" t="s">
        <v>886</v>
      </c>
    </row>
    <row r="753" spans="1:6" x14ac:dyDescent="0.25">
      <c r="A753" t="s">
        <v>518</v>
      </c>
      <c r="B753">
        <v>342</v>
      </c>
      <c r="C753">
        <v>154</v>
      </c>
      <c r="D753">
        <v>7</v>
      </c>
      <c r="E753" t="s">
        <v>883</v>
      </c>
      <c r="F753" t="s">
        <v>901</v>
      </c>
    </row>
    <row r="754" spans="1:6" x14ac:dyDescent="0.25">
      <c r="A754" t="s">
        <v>518</v>
      </c>
      <c r="B754">
        <v>40</v>
      </c>
      <c r="C754">
        <v>16</v>
      </c>
      <c r="D754">
        <v>3</v>
      </c>
      <c r="E754" t="s">
        <v>885</v>
      </c>
      <c r="F754" t="s">
        <v>887</v>
      </c>
    </row>
    <row r="755" spans="1:6" x14ac:dyDescent="0.25">
      <c r="A755" t="s">
        <v>518</v>
      </c>
      <c r="B755">
        <v>53</v>
      </c>
      <c r="C755">
        <v>-2</v>
      </c>
      <c r="D755">
        <v>3</v>
      </c>
      <c r="E755" t="s">
        <v>885</v>
      </c>
      <c r="F755" t="s">
        <v>891</v>
      </c>
    </row>
    <row r="756" spans="1:6" x14ac:dyDescent="0.25">
      <c r="A756" t="s">
        <v>518</v>
      </c>
      <c r="B756">
        <v>381</v>
      </c>
      <c r="C756">
        <v>144</v>
      </c>
      <c r="D756">
        <v>2</v>
      </c>
      <c r="E756" t="s">
        <v>885</v>
      </c>
      <c r="F756" t="s">
        <v>891</v>
      </c>
    </row>
    <row r="757" spans="1:6" x14ac:dyDescent="0.25">
      <c r="A757" t="s">
        <v>519</v>
      </c>
      <c r="B757">
        <v>829</v>
      </c>
      <c r="C757">
        <v>19</v>
      </c>
      <c r="D757">
        <v>4</v>
      </c>
      <c r="E757" t="s">
        <v>888</v>
      </c>
      <c r="F757" t="s">
        <v>899</v>
      </c>
    </row>
    <row r="758" spans="1:6" x14ac:dyDescent="0.25">
      <c r="A758" t="s">
        <v>519</v>
      </c>
      <c r="B758">
        <v>442</v>
      </c>
      <c r="C758">
        <v>31</v>
      </c>
      <c r="D758">
        <v>2</v>
      </c>
      <c r="E758" t="s">
        <v>888</v>
      </c>
      <c r="F758" t="s">
        <v>889</v>
      </c>
    </row>
    <row r="759" spans="1:6" x14ac:dyDescent="0.25">
      <c r="A759" t="s">
        <v>519</v>
      </c>
      <c r="B759">
        <v>90</v>
      </c>
      <c r="C759">
        <v>17</v>
      </c>
      <c r="D759">
        <v>3</v>
      </c>
      <c r="E759" t="s">
        <v>885</v>
      </c>
      <c r="F759" t="s">
        <v>887</v>
      </c>
    </row>
    <row r="760" spans="1:6" x14ac:dyDescent="0.25">
      <c r="A760" t="s">
        <v>519</v>
      </c>
      <c r="B760">
        <v>98</v>
      </c>
      <c r="C760">
        <v>12</v>
      </c>
      <c r="D760">
        <v>2</v>
      </c>
      <c r="E760" t="s">
        <v>885</v>
      </c>
      <c r="F760" t="s">
        <v>887</v>
      </c>
    </row>
    <row r="761" spans="1:6" x14ac:dyDescent="0.25">
      <c r="A761" t="s">
        <v>519</v>
      </c>
      <c r="B761">
        <v>61</v>
      </c>
      <c r="C761">
        <v>30</v>
      </c>
      <c r="D761">
        <v>2</v>
      </c>
      <c r="E761" t="s">
        <v>885</v>
      </c>
      <c r="F761" t="s">
        <v>887</v>
      </c>
    </row>
    <row r="762" spans="1:6" x14ac:dyDescent="0.25">
      <c r="A762" t="s">
        <v>519</v>
      </c>
      <c r="B762">
        <v>1027</v>
      </c>
      <c r="C762">
        <v>441</v>
      </c>
      <c r="D762">
        <v>8</v>
      </c>
      <c r="E762" t="s">
        <v>885</v>
      </c>
      <c r="F762" t="s">
        <v>891</v>
      </c>
    </row>
    <row r="763" spans="1:6" x14ac:dyDescent="0.25">
      <c r="A763" t="s">
        <v>519</v>
      </c>
      <c r="B763">
        <v>1319</v>
      </c>
      <c r="C763">
        <v>567</v>
      </c>
      <c r="D763">
        <v>5</v>
      </c>
      <c r="E763" t="s">
        <v>888</v>
      </c>
      <c r="F763" t="s">
        <v>899</v>
      </c>
    </row>
    <row r="764" spans="1:6" x14ac:dyDescent="0.25">
      <c r="A764" t="s">
        <v>519</v>
      </c>
      <c r="B764">
        <v>197</v>
      </c>
      <c r="C764">
        <v>73</v>
      </c>
      <c r="D764">
        <v>1</v>
      </c>
      <c r="E764" t="s">
        <v>883</v>
      </c>
      <c r="F764" t="s">
        <v>884</v>
      </c>
    </row>
    <row r="765" spans="1:6" x14ac:dyDescent="0.25">
      <c r="A765" t="s">
        <v>519</v>
      </c>
      <c r="B765">
        <v>550</v>
      </c>
      <c r="C765">
        <v>242</v>
      </c>
      <c r="D765">
        <v>5</v>
      </c>
      <c r="E765" t="s">
        <v>883</v>
      </c>
      <c r="F765" t="s">
        <v>901</v>
      </c>
    </row>
    <row r="766" spans="1:6" x14ac:dyDescent="0.25">
      <c r="A766" t="s">
        <v>521</v>
      </c>
      <c r="B766">
        <v>74</v>
      </c>
      <c r="C766">
        <v>29</v>
      </c>
      <c r="D766">
        <v>3</v>
      </c>
      <c r="E766" t="s">
        <v>885</v>
      </c>
      <c r="F766" t="s">
        <v>886</v>
      </c>
    </row>
    <row r="767" spans="1:6" x14ac:dyDescent="0.25">
      <c r="A767" t="s">
        <v>521</v>
      </c>
      <c r="B767">
        <v>10</v>
      </c>
      <c r="C767">
        <v>2</v>
      </c>
      <c r="D767">
        <v>2</v>
      </c>
      <c r="E767" t="s">
        <v>885</v>
      </c>
      <c r="F767" t="s">
        <v>902</v>
      </c>
    </row>
    <row r="768" spans="1:6" x14ac:dyDescent="0.25">
      <c r="A768" t="s">
        <v>521</v>
      </c>
      <c r="B768">
        <v>689</v>
      </c>
      <c r="C768">
        <v>90</v>
      </c>
      <c r="D768">
        <v>5</v>
      </c>
      <c r="E768" t="s">
        <v>885</v>
      </c>
      <c r="F768" t="s">
        <v>891</v>
      </c>
    </row>
    <row r="769" spans="1:6" x14ac:dyDescent="0.25">
      <c r="A769" t="s">
        <v>521</v>
      </c>
      <c r="B769">
        <v>257</v>
      </c>
      <c r="C769">
        <v>3</v>
      </c>
      <c r="D769">
        <v>2</v>
      </c>
      <c r="E769" t="s">
        <v>885</v>
      </c>
      <c r="F769" t="s">
        <v>891</v>
      </c>
    </row>
    <row r="770" spans="1:6" x14ac:dyDescent="0.25">
      <c r="A770" t="s">
        <v>521</v>
      </c>
      <c r="B770">
        <v>48</v>
      </c>
      <c r="C770">
        <v>6</v>
      </c>
      <c r="D770">
        <v>1</v>
      </c>
      <c r="E770" t="s">
        <v>885</v>
      </c>
      <c r="F770" t="s">
        <v>891</v>
      </c>
    </row>
    <row r="771" spans="1:6" x14ac:dyDescent="0.25">
      <c r="A771" t="s">
        <v>522</v>
      </c>
      <c r="B771">
        <v>324</v>
      </c>
      <c r="C771">
        <v>39</v>
      </c>
      <c r="D771">
        <v>8</v>
      </c>
      <c r="E771" t="s">
        <v>888</v>
      </c>
      <c r="F771" t="s">
        <v>900</v>
      </c>
    </row>
    <row r="772" spans="1:6" x14ac:dyDescent="0.25">
      <c r="A772" t="s">
        <v>522</v>
      </c>
      <c r="B772">
        <v>598</v>
      </c>
      <c r="C772">
        <v>166</v>
      </c>
      <c r="D772">
        <v>4</v>
      </c>
      <c r="E772" t="s">
        <v>883</v>
      </c>
      <c r="F772" t="s">
        <v>884</v>
      </c>
    </row>
    <row r="773" spans="1:6" x14ac:dyDescent="0.25">
      <c r="A773" t="s">
        <v>522</v>
      </c>
      <c r="B773">
        <v>227</v>
      </c>
      <c r="C773">
        <v>59</v>
      </c>
      <c r="D773">
        <v>2</v>
      </c>
      <c r="E773" t="s">
        <v>883</v>
      </c>
      <c r="F773" t="s">
        <v>901</v>
      </c>
    </row>
    <row r="774" spans="1:6" x14ac:dyDescent="0.25">
      <c r="A774" t="s">
        <v>524</v>
      </c>
      <c r="B774">
        <v>22</v>
      </c>
      <c r="C774">
        <v>8</v>
      </c>
      <c r="D774">
        <v>3</v>
      </c>
      <c r="E774" t="s">
        <v>885</v>
      </c>
      <c r="F774" t="s">
        <v>887</v>
      </c>
    </row>
    <row r="775" spans="1:6" x14ac:dyDescent="0.25">
      <c r="A775" t="s">
        <v>524</v>
      </c>
      <c r="B775">
        <v>29</v>
      </c>
      <c r="C775">
        <v>11</v>
      </c>
      <c r="D775">
        <v>4</v>
      </c>
      <c r="E775" t="s">
        <v>885</v>
      </c>
      <c r="F775" t="s">
        <v>902</v>
      </c>
    </row>
    <row r="776" spans="1:6" x14ac:dyDescent="0.25">
      <c r="A776" t="s">
        <v>524</v>
      </c>
      <c r="B776">
        <v>27</v>
      </c>
      <c r="C776">
        <v>5</v>
      </c>
      <c r="D776">
        <v>2</v>
      </c>
      <c r="E776" t="s">
        <v>885</v>
      </c>
      <c r="F776" t="s">
        <v>902</v>
      </c>
    </row>
    <row r="777" spans="1:6" x14ac:dyDescent="0.25">
      <c r="A777" t="s">
        <v>524</v>
      </c>
      <c r="B777">
        <v>82</v>
      </c>
      <c r="C777">
        <v>13</v>
      </c>
      <c r="D777">
        <v>2</v>
      </c>
      <c r="E777" t="s">
        <v>885</v>
      </c>
      <c r="F777" t="s">
        <v>896</v>
      </c>
    </row>
    <row r="778" spans="1:6" x14ac:dyDescent="0.25">
      <c r="A778" t="s">
        <v>524</v>
      </c>
      <c r="B778">
        <v>294</v>
      </c>
      <c r="C778">
        <v>109</v>
      </c>
      <c r="D778">
        <v>7</v>
      </c>
      <c r="E778" t="s">
        <v>888</v>
      </c>
      <c r="F778" t="s">
        <v>900</v>
      </c>
    </row>
    <row r="779" spans="1:6" x14ac:dyDescent="0.25">
      <c r="A779" t="s">
        <v>524</v>
      </c>
      <c r="B779">
        <v>16</v>
      </c>
      <c r="C779">
        <v>0</v>
      </c>
      <c r="D779">
        <v>1</v>
      </c>
      <c r="E779" t="s">
        <v>885</v>
      </c>
      <c r="F779" t="s">
        <v>891</v>
      </c>
    </row>
    <row r="780" spans="1:6" x14ac:dyDescent="0.25">
      <c r="A780" t="s">
        <v>524</v>
      </c>
      <c r="B780">
        <v>245</v>
      </c>
      <c r="C780">
        <v>30</v>
      </c>
      <c r="D780">
        <v>2</v>
      </c>
      <c r="E780" t="s">
        <v>885</v>
      </c>
      <c r="F780" t="s">
        <v>891</v>
      </c>
    </row>
    <row r="781" spans="1:6" x14ac:dyDescent="0.25">
      <c r="A781" t="s">
        <v>524</v>
      </c>
      <c r="B781">
        <v>223</v>
      </c>
      <c r="C781">
        <v>27</v>
      </c>
      <c r="D781">
        <v>2</v>
      </c>
      <c r="E781" t="s">
        <v>883</v>
      </c>
      <c r="F781" t="s">
        <v>884</v>
      </c>
    </row>
    <row r="782" spans="1:6" x14ac:dyDescent="0.25">
      <c r="A782" t="s">
        <v>524</v>
      </c>
      <c r="B782">
        <v>2457</v>
      </c>
      <c r="C782">
        <v>665</v>
      </c>
      <c r="D782">
        <v>11</v>
      </c>
      <c r="E782" t="s">
        <v>888</v>
      </c>
      <c r="F782" t="s">
        <v>889</v>
      </c>
    </row>
    <row r="783" spans="1:6" x14ac:dyDescent="0.25">
      <c r="A783" t="s">
        <v>525</v>
      </c>
      <c r="B783">
        <v>724</v>
      </c>
      <c r="C783">
        <v>253</v>
      </c>
      <c r="D783">
        <v>2</v>
      </c>
      <c r="E783" t="s">
        <v>883</v>
      </c>
      <c r="F783" t="s">
        <v>884</v>
      </c>
    </row>
    <row r="784" spans="1:6" x14ac:dyDescent="0.25">
      <c r="A784" t="s">
        <v>527</v>
      </c>
      <c r="B784">
        <v>112</v>
      </c>
      <c r="C784">
        <v>24</v>
      </c>
      <c r="D784">
        <v>3</v>
      </c>
      <c r="E784" t="s">
        <v>885</v>
      </c>
      <c r="F784" t="s">
        <v>894</v>
      </c>
    </row>
    <row r="785" spans="1:6" x14ac:dyDescent="0.25">
      <c r="A785" t="s">
        <v>528</v>
      </c>
      <c r="B785">
        <v>128</v>
      </c>
      <c r="C785">
        <v>4</v>
      </c>
      <c r="D785">
        <v>3</v>
      </c>
      <c r="E785" t="s">
        <v>885</v>
      </c>
      <c r="F785" t="s">
        <v>891</v>
      </c>
    </row>
    <row r="786" spans="1:6" x14ac:dyDescent="0.25">
      <c r="A786" t="s">
        <v>528</v>
      </c>
      <c r="B786">
        <v>50</v>
      </c>
      <c r="C786">
        <v>3</v>
      </c>
      <c r="D786">
        <v>2</v>
      </c>
      <c r="E786" t="s">
        <v>885</v>
      </c>
      <c r="F786" t="s">
        <v>886</v>
      </c>
    </row>
    <row r="787" spans="1:6" x14ac:dyDescent="0.25">
      <c r="A787" t="s">
        <v>528</v>
      </c>
      <c r="B787">
        <v>62</v>
      </c>
      <c r="C787">
        <v>6</v>
      </c>
      <c r="D787">
        <v>5</v>
      </c>
      <c r="E787" t="s">
        <v>885</v>
      </c>
      <c r="F787" t="s">
        <v>887</v>
      </c>
    </row>
    <row r="788" spans="1:6" x14ac:dyDescent="0.25">
      <c r="A788" t="s">
        <v>528</v>
      </c>
      <c r="B788">
        <v>44</v>
      </c>
      <c r="C788">
        <v>14</v>
      </c>
      <c r="D788">
        <v>3</v>
      </c>
      <c r="E788" t="s">
        <v>885</v>
      </c>
      <c r="F788" t="s">
        <v>887</v>
      </c>
    </row>
    <row r="789" spans="1:6" x14ac:dyDescent="0.25">
      <c r="A789" t="s">
        <v>528</v>
      </c>
      <c r="B789">
        <v>56</v>
      </c>
      <c r="C789">
        <v>18</v>
      </c>
      <c r="D789">
        <v>2</v>
      </c>
      <c r="E789" t="s">
        <v>885</v>
      </c>
      <c r="F789" t="s">
        <v>887</v>
      </c>
    </row>
    <row r="790" spans="1:6" x14ac:dyDescent="0.25">
      <c r="A790" t="s">
        <v>528</v>
      </c>
      <c r="B790">
        <v>216</v>
      </c>
      <c r="C790">
        <v>-83</v>
      </c>
      <c r="D790">
        <v>3</v>
      </c>
      <c r="E790" t="s">
        <v>888</v>
      </c>
      <c r="F790" t="s">
        <v>889</v>
      </c>
    </row>
    <row r="791" spans="1:6" x14ac:dyDescent="0.25">
      <c r="A791" t="s">
        <v>530</v>
      </c>
      <c r="B791">
        <v>2061</v>
      </c>
      <c r="C791">
        <v>701</v>
      </c>
      <c r="D791">
        <v>5</v>
      </c>
      <c r="E791" t="s">
        <v>883</v>
      </c>
      <c r="F791" t="s">
        <v>884</v>
      </c>
    </row>
    <row r="792" spans="1:6" x14ac:dyDescent="0.25">
      <c r="A792" t="s">
        <v>530</v>
      </c>
      <c r="B792">
        <v>121</v>
      </c>
      <c r="C792">
        <v>41</v>
      </c>
      <c r="D792">
        <v>4</v>
      </c>
      <c r="E792" t="s">
        <v>885</v>
      </c>
      <c r="F792" t="s">
        <v>886</v>
      </c>
    </row>
    <row r="793" spans="1:6" x14ac:dyDescent="0.25">
      <c r="A793" t="s">
        <v>530</v>
      </c>
      <c r="B793">
        <v>80</v>
      </c>
      <c r="C793">
        <v>3</v>
      </c>
      <c r="D793">
        <v>3</v>
      </c>
      <c r="E793" t="s">
        <v>885</v>
      </c>
      <c r="F793" t="s">
        <v>886</v>
      </c>
    </row>
    <row r="794" spans="1:6" x14ac:dyDescent="0.25">
      <c r="A794" t="s">
        <v>532</v>
      </c>
      <c r="B794">
        <v>189</v>
      </c>
      <c r="C794">
        <v>87</v>
      </c>
      <c r="D794">
        <v>7</v>
      </c>
      <c r="E794" t="s">
        <v>885</v>
      </c>
      <c r="F794" t="s">
        <v>886</v>
      </c>
    </row>
    <row r="795" spans="1:6" x14ac:dyDescent="0.25">
      <c r="A795" t="s">
        <v>534</v>
      </c>
      <c r="B795">
        <v>100</v>
      </c>
      <c r="C795">
        <v>6</v>
      </c>
      <c r="D795">
        <v>4</v>
      </c>
      <c r="E795" t="s">
        <v>885</v>
      </c>
      <c r="F795" t="s">
        <v>886</v>
      </c>
    </row>
    <row r="796" spans="1:6" x14ac:dyDescent="0.25">
      <c r="A796" t="s">
        <v>534</v>
      </c>
      <c r="B796">
        <v>17</v>
      </c>
      <c r="C796">
        <v>5</v>
      </c>
      <c r="D796">
        <v>1</v>
      </c>
      <c r="E796" t="s">
        <v>885</v>
      </c>
      <c r="F796" t="s">
        <v>887</v>
      </c>
    </row>
    <row r="797" spans="1:6" x14ac:dyDescent="0.25">
      <c r="A797" t="s">
        <v>534</v>
      </c>
      <c r="B797">
        <v>22</v>
      </c>
      <c r="C797">
        <v>8</v>
      </c>
      <c r="D797">
        <v>2</v>
      </c>
      <c r="E797" t="s">
        <v>885</v>
      </c>
      <c r="F797" t="s">
        <v>897</v>
      </c>
    </row>
    <row r="798" spans="1:6" x14ac:dyDescent="0.25">
      <c r="A798" t="s">
        <v>534</v>
      </c>
      <c r="B798">
        <v>27</v>
      </c>
      <c r="C798">
        <v>9</v>
      </c>
      <c r="D798">
        <v>2</v>
      </c>
      <c r="E798" t="s">
        <v>885</v>
      </c>
      <c r="F798" t="s">
        <v>887</v>
      </c>
    </row>
    <row r="799" spans="1:6" x14ac:dyDescent="0.25">
      <c r="A799" t="s">
        <v>536</v>
      </c>
      <c r="B799">
        <v>85</v>
      </c>
      <c r="C799">
        <v>-1</v>
      </c>
      <c r="D799">
        <v>3</v>
      </c>
      <c r="E799" t="s">
        <v>885</v>
      </c>
      <c r="F799" t="s">
        <v>891</v>
      </c>
    </row>
    <row r="800" spans="1:6" x14ac:dyDescent="0.25">
      <c r="A800" t="s">
        <v>538</v>
      </c>
      <c r="B800">
        <v>51</v>
      </c>
      <c r="C800">
        <v>14</v>
      </c>
      <c r="D800">
        <v>2</v>
      </c>
      <c r="E800" t="s">
        <v>885</v>
      </c>
      <c r="F800" t="s">
        <v>886</v>
      </c>
    </row>
    <row r="801" spans="1:6" x14ac:dyDescent="0.25">
      <c r="A801" t="s">
        <v>540</v>
      </c>
      <c r="B801">
        <v>31</v>
      </c>
      <c r="C801">
        <v>14</v>
      </c>
      <c r="D801">
        <v>3</v>
      </c>
      <c r="E801" t="s">
        <v>885</v>
      </c>
      <c r="F801" t="s">
        <v>886</v>
      </c>
    </row>
    <row r="802" spans="1:6" x14ac:dyDescent="0.25">
      <c r="A802" t="s">
        <v>540</v>
      </c>
      <c r="B802">
        <v>240</v>
      </c>
      <c r="C802">
        <v>12</v>
      </c>
      <c r="D802">
        <v>6</v>
      </c>
      <c r="E802" t="s">
        <v>885</v>
      </c>
      <c r="F802" t="s">
        <v>894</v>
      </c>
    </row>
    <row r="803" spans="1:6" x14ac:dyDescent="0.25">
      <c r="A803" t="s">
        <v>540</v>
      </c>
      <c r="B803">
        <v>163</v>
      </c>
      <c r="C803">
        <v>26</v>
      </c>
      <c r="D803">
        <v>4</v>
      </c>
      <c r="E803" t="s">
        <v>885</v>
      </c>
      <c r="F803" t="s">
        <v>896</v>
      </c>
    </row>
    <row r="804" spans="1:6" x14ac:dyDescent="0.25">
      <c r="A804" t="s">
        <v>541</v>
      </c>
      <c r="B804">
        <v>170</v>
      </c>
      <c r="C804">
        <v>73</v>
      </c>
      <c r="D804">
        <v>2</v>
      </c>
      <c r="E804" t="s">
        <v>888</v>
      </c>
      <c r="F804" t="s">
        <v>900</v>
      </c>
    </row>
    <row r="805" spans="1:6" x14ac:dyDescent="0.25">
      <c r="A805" t="s">
        <v>541</v>
      </c>
      <c r="B805">
        <v>62</v>
      </c>
      <c r="C805">
        <v>-1</v>
      </c>
      <c r="D805">
        <v>1</v>
      </c>
      <c r="E805" t="s">
        <v>888</v>
      </c>
      <c r="F805" t="s">
        <v>890</v>
      </c>
    </row>
    <row r="806" spans="1:6" x14ac:dyDescent="0.25">
      <c r="A806" t="s">
        <v>541</v>
      </c>
      <c r="B806">
        <v>1118</v>
      </c>
      <c r="C806">
        <v>206</v>
      </c>
      <c r="D806">
        <v>2</v>
      </c>
      <c r="E806" t="s">
        <v>883</v>
      </c>
      <c r="F806" t="s">
        <v>898</v>
      </c>
    </row>
    <row r="807" spans="1:6" x14ac:dyDescent="0.25">
      <c r="A807" t="s">
        <v>543</v>
      </c>
      <c r="B807">
        <v>86</v>
      </c>
      <c r="C807">
        <v>9</v>
      </c>
      <c r="D807">
        <v>3</v>
      </c>
      <c r="E807" t="s">
        <v>885</v>
      </c>
      <c r="F807" t="s">
        <v>891</v>
      </c>
    </row>
    <row r="808" spans="1:6" x14ac:dyDescent="0.25">
      <c r="A808" t="s">
        <v>545</v>
      </c>
      <c r="B808">
        <v>10</v>
      </c>
      <c r="C808">
        <v>4</v>
      </c>
      <c r="D808">
        <v>1</v>
      </c>
      <c r="E808" t="s">
        <v>885</v>
      </c>
      <c r="F808" t="s">
        <v>894</v>
      </c>
    </row>
    <row r="809" spans="1:6" x14ac:dyDescent="0.25">
      <c r="A809" t="s">
        <v>545</v>
      </c>
      <c r="B809">
        <v>845</v>
      </c>
      <c r="C809">
        <v>84</v>
      </c>
      <c r="D809">
        <v>7</v>
      </c>
      <c r="E809" t="s">
        <v>885</v>
      </c>
      <c r="F809" t="s">
        <v>891</v>
      </c>
    </row>
    <row r="810" spans="1:6" x14ac:dyDescent="0.25">
      <c r="A810" t="s">
        <v>545</v>
      </c>
      <c r="B810">
        <v>57</v>
      </c>
      <c r="C810">
        <v>7</v>
      </c>
      <c r="D810">
        <v>3</v>
      </c>
      <c r="E810" t="s">
        <v>883</v>
      </c>
      <c r="F810" t="s">
        <v>901</v>
      </c>
    </row>
    <row r="811" spans="1:6" x14ac:dyDescent="0.25">
      <c r="A811" t="s">
        <v>545</v>
      </c>
      <c r="B811">
        <v>473</v>
      </c>
      <c r="C811">
        <v>113</v>
      </c>
      <c r="D811">
        <v>9</v>
      </c>
      <c r="E811" t="s">
        <v>885</v>
      </c>
      <c r="F811" t="s">
        <v>887</v>
      </c>
    </row>
    <row r="812" spans="1:6" x14ac:dyDescent="0.25">
      <c r="A812" t="s">
        <v>546</v>
      </c>
      <c r="B812">
        <v>118</v>
      </c>
      <c r="C812">
        <v>25</v>
      </c>
      <c r="D812">
        <v>4</v>
      </c>
      <c r="E812" t="s">
        <v>885</v>
      </c>
      <c r="F812" t="s">
        <v>887</v>
      </c>
    </row>
    <row r="813" spans="1:6" x14ac:dyDescent="0.25">
      <c r="A813" t="s">
        <v>549</v>
      </c>
      <c r="B813">
        <v>57</v>
      </c>
      <c r="C813">
        <v>27</v>
      </c>
      <c r="D813">
        <v>2</v>
      </c>
      <c r="E813" t="s">
        <v>885</v>
      </c>
      <c r="F813" t="s">
        <v>896</v>
      </c>
    </row>
    <row r="814" spans="1:6" x14ac:dyDescent="0.25">
      <c r="A814" t="s">
        <v>551</v>
      </c>
      <c r="B814">
        <v>66</v>
      </c>
      <c r="C814">
        <v>12</v>
      </c>
      <c r="D814">
        <v>3</v>
      </c>
      <c r="E814" t="s">
        <v>885</v>
      </c>
      <c r="F814" t="s">
        <v>886</v>
      </c>
    </row>
    <row r="815" spans="1:6" x14ac:dyDescent="0.25">
      <c r="A815" t="s">
        <v>551</v>
      </c>
      <c r="B815">
        <v>367</v>
      </c>
      <c r="C815">
        <v>73</v>
      </c>
      <c r="D815">
        <v>3</v>
      </c>
      <c r="E815" t="s">
        <v>888</v>
      </c>
      <c r="F815" t="s">
        <v>889</v>
      </c>
    </row>
    <row r="816" spans="1:6" x14ac:dyDescent="0.25">
      <c r="A816" t="s">
        <v>551</v>
      </c>
      <c r="B816">
        <v>7</v>
      </c>
      <c r="C816">
        <v>1</v>
      </c>
      <c r="D816">
        <v>1</v>
      </c>
      <c r="E816" t="s">
        <v>885</v>
      </c>
      <c r="F816" t="s">
        <v>887</v>
      </c>
    </row>
    <row r="817" spans="1:6" x14ac:dyDescent="0.25">
      <c r="A817" t="s">
        <v>551</v>
      </c>
      <c r="B817">
        <v>1275</v>
      </c>
      <c r="C817">
        <v>357</v>
      </c>
      <c r="D817">
        <v>2</v>
      </c>
      <c r="E817" t="s">
        <v>888</v>
      </c>
      <c r="F817" t="s">
        <v>890</v>
      </c>
    </row>
    <row r="818" spans="1:6" x14ac:dyDescent="0.25">
      <c r="A818" t="s">
        <v>551</v>
      </c>
      <c r="B818">
        <v>42</v>
      </c>
      <c r="C818">
        <v>12</v>
      </c>
      <c r="D818">
        <v>2</v>
      </c>
      <c r="E818" t="s">
        <v>885</v>
      </c>
      <c r="F818" t="s">
        <v>894</v>
      </c>
    </row>
    <row r="819" spans="1:6" x14ac:dyDescent="0.25">
      <c r="A819" t="s">
        <v>553</v>
      </c>
      <c r="B819">
        <v>124</v>
      </c>
      <c r="C819">
        <v>54</v>
      </c>
      <c r="D819">
        <v>5</v>
      </c>
      <c r="E819" t="s">
        <v>885</v>
      </c>
      <c r="F819" t="s">
        <v>895</v>
      </c>
    </row>
    <row r="820" spans="1:6" x14ac:dyDescent="0.25">
      <c r="A820" t="s">
        <v>555</v>
      </c>
      <c r="B820">
        <v>248</v>
      </c>
      <c r="C820">
        <v>8</v>
      </c>
      <c r="D820">
        <v>2</v>
      </c>
      <c r="E820" t="s">
        <v>885</v>
      </c>
      <c r="F820" t="s">
        <v>891</v>
      </c>
    </row>
    <row r="821" spans="1:6" x14ac:dyDescent="0.25">
      <c r="A821" t="s">
        <v>558</v>
      </c>
      <c r="B821">
        <v>282</v>
      </c>
      <c r="C821">
        <v>14</v>
      </c>
      <c r="D821">
        <v>4</v>
      </c>
      <c r="E821" t="s">
        <v>885</v>
      </c>
      <c r="F821" t="s">
        <v>892</v>
      </c>
    </row>
    <row r="822" spans="1:6" x14ac:dyDescent="0.25">
      <c r="A822" t="s">
        <v>561</v>
      </c>
      <c r="B822">
        <v>1137</v>
      </c>
      <c r="C822">
        <v>568</v>
      </c>
      <c r="D822">
        <v>2</v>
      </c>
      <c r="E822" t="s">
        <v>885</v>
      </c>
      <c r="F822" t="s">
        <v>892</v>
      </c>
    </row>
    <row r="823" spans="1:6" x14ac:dyDescent="0.25">
      <c r="A823" t="s">
        <v>561</v>
      </c>
      <c r="B823">
        <v>269</v>
      </c>
      <c r="C823">
        <v>33</v>
      </c>
      <c r="D823">
        <v>5</v>
      </c>
      <c r="E823" t="s">
        <v>883</v>
      </c>
      <c r="F823" t="s">
        <v>893</v>
      </c>
    </row>
    <row r="824" spans="1:6" x14ac:dyDescent="0.25">
      <c r="A824" t="s">
        <v>561</v>
      </c>
      <c r="B824">
        <v>24</v>
      </c>
      <c r="C824">
        <v>8</v>
      </c>
      <c r="D824">
        <v>2</v>
      </c>
      <c r="E824" t="s">
        <v>885</v>
      </c>
      <c r="F824" t="s">
        <v>902</v>
      </c>
    </row>
    <row r="825" spans="1:6" x14ac:dyDescent="0.25">
      <c r="A825" t="s">
        <v>563</v>
      </c>
      <c r="B825">
        <v>165</v>
      </c>
      <c r="C825">
        <v>46</v>
      </c>
      <c r="D825">
        <v>3</v>
      </c>
      <c r="E825" t="s">
        <v>883</v>
      </c>
      <c r="F825" t="s">
        <v>901</v>
      </c>
    </row>
    <row r="826" spans="1:6" x14ac:dyDescent="0.25">
      <c r="A826" t="s">
        <v>563</v>
      </c>
      <c r="B826">
        <v>46</v>
      </c>
      <c r="C826">
        <v>0</v>
      </c>
      <c r="D826">
        <v>4</v>
      </c>
      <c r="E826" t="s">
        <v>885</v>
      </c>
      <c r="F826" t="s">
        <v>897</v>
      </c>
    </row>
    <row r="827" spans="1:6" x14ac:dyDescent="0.25">
      <c r="A827" t="s">
        <v>563</v>
      </c>
      <c r="B827">
        <v>84</v>
      </c>
      <c r="C827">
        <v>41</v>
      </c>
      <c r="D827">
        <v>3</v>
      </c>
      <c r="E827" t="s">
        <v>885</v>
      </c>
      <c r="F827" t="s">
        <v>895</v>
      </c>
    </row>
    <row r="828" spans="1:6" x14ac:dyDescent="0.25">
      <c r="A828" t="s">
        <v>563</v>
      </c>
      <c r="B828">
        <v>140</v>
      </c>
      <c r="C828">
        <v>15</v>
      </c>
      <c r="D828">
        <v>5</v>
      </c>
      <c r="E828" t="s">
        <v>885</v>
      </c>
      <c r="F828" t="s">
        <v>886</v>
      </c>
    </row>
    <row r="829" spans="1:6" x14ac:dyDescent="0.25">
      <c r="A829" t="s">
        <v>563</v>
      </c>
      <c r="B829">
        <v>741</v>
      </c>
      <c r="C829">
        <v>267</v>
      </c>
      <c r="D829">
        <v>5</v>
      </c>
      <c r="E829" t="s">
        <v>883</v>
      </c>
      <c r="F829" t="s">
        <v>884</v>
      </c>
    </row>
    <row r="830" spans="1:6" x14ac:dyDescent="0.25">
      <c r="A830" t="s">
        <v>563</v>
      </c>
      <c r="B830">
        <v>719</v>
      </c>
      <c r="C830">
        <v>303</v>
      </c>
      <c r="D830">
        <v>6</v>
      </c>
      <c r="E830" t="s">
        <v>883</v>
      </c>
      <c r="F830" t="s">
        <v>893</v>
      </c>
    </row>
    <row r="831" spans="1:6" x14ac:dyDescent="0.25">
      <c r="A831" t="s">
        <v>565</v>
      </c>
      <c r="B831">
        <v>57</v>
      </c>
      <c r="C831">
        <v>28</v>
      </c>
      <c r="D831">
        <v>2</v>
      </c>
      <c r="E831" t="s">
        <v>885</v>
      </c>
      <c r="F831" t="s">
        <v>894</v>
      </c>
    </row>
    <row r="832" spans="1:6" x14ac:dyDescent="0.25">
      <c r="A832" t="s">
        <v>566</v>
      </c>
      <c r="B832">
        <v>108</v>
      </c>
      <c r="C832">
        <v>37</v>
      </c>
      <c r="D832">
        <v>2</v>
      </c>
      <c r="E832" t="s">
        <v>885</v>
      </c>
      <c r="F832" t="s">
        <v>886</v>
      </c>
    </row>
    <row r="833" spans="1:6" x14ac:dyDescent="0.25">
      <c r="A833" t="s">
        <v>568</v>
      </c>
      <c r="B833">
        <v>37</v>
      </c>
      <c r="C833">
        <v>3</v>
      </c>
      <c r="D833">
        <v>3</v>
      </c>
      <c r="E833" t="s">
        <v>885</v>
      </c>
      <c r="F833" t="s">
        <v>887</v>
      </c>
    </row>
    <row r="834" spans="1:6" x14ac:dyDescent="0.25">
      <c r="A834" t="s">
        <v>568</v>
      </c>
      <c r="B834">
        <v>26</v>
      </c>
      <c r="C834">
        <v>9</v>
      </c>
      <c r="D834">
        <v>2</v>
      </c>
      <c r="E834" t="s">
        <v>885</v>
      </c>
      <c r="F834" t="s">
        <v>897</v>
      </c>
    </row>
    <row r="835" spans="1:6" x14ac:dyDescent="0.25">
      <c r="A835" t="s">
        <v>568</v>
      </c>
      <c r="B835">
        <v>1351</v>
      </c>
      <c r="C835">
        <v>111</v>
      </c>
      <c r="D835">
        <v>6</v>
      </c>
      <c r="E835" t="s">
        <v>888</v>
      </c>
      <c r="F835" t="s">
        <v>889</v>
      </c>
    </row>
    <row r="836" spans="1:6" x14ac:dyDescent="0.25">
      <c r="A836" t="s">
        <v>568</v>
      </c>
      <c r="B836">
        <v>2244</v>
      </c>
      <c r="C836">
        <v>247</v>
      </c>
      <c r="D836">
        <v>4</v>
      </c>
      <c r="E836" t="s">
        <v>885</v>
      </c>
      <c r="F836" t="s">
        <v>892</v>
      </c>
    </row>
    <row r="837" spans="1:6" x14ac:dyDescent="0.25">
      <c r="A837" t="s">
        <v>568</v>
      </c>
      <c r="B837">
        <v>36</v>
      </c>
      <c r="C837">
        <v>7</v>
      </c>
      <c r="D837">
        <v>3</v>
      </c>
      <c r="E837" t="s">
        <v>885</v>
      </c>
      <c r="F837" t="s">
        <v>897</v>
      </c>
    </row>
    <row r="838" spans="1:6" x14ac:dyDescent="0.25">
      <c r="A838" t="s">
        <v>568</v>
      </c>
      <c r="B838">
        <v>2115</v>
      </c>
      <c r="C838">
        <v>23</v>
      </c>
      <c r="D838">
        <v>5</v>
      </c>
      <c r="E838" t="s">
        <v>883</v>
      </c>
      <c r="F838" t="s">
        <v>893</v>
      </c>
    </row>
    <row r="839" spans="1:6" x14ac:dyDescent="0.25">
      <c r="A839" t="s">
        <v>569</v>
      </c>
      <c r="B839">
        <v>121</v>
      </c>
      <c r="C839">
        <v>19</v>
      </c>
      <c r="D839">
        <v>4</v>
      </c>
      <c r="E839" t="s">
        <v>885</v>
      </c>
      <c r="F839" t="s">
        <v>886</v>
      </c>
    </row>
    <row r="840" spans="1:6" x14ac:dyDescent="0.25">
      <c r="A840" t="s">
        <v>571</v>
      </c>
      <c r="B840">
        <v>146</v>
      </c>
      <c r="C840">
        <v>42</v>
      </c>
      <c r="D840">
        <v>5</v>
      </c>
      <c r="E840" t="s">
        <v>885</v>
      </c>
      <c r="F840" t="s">
        <v>887</v>
      </c>
    </row>
    <row r="841" spans="1:6" x14ac:dyDescent="0.25">
      <c r="A841" t="s">
        <v>571</v>
      </c>
      <c r="B841">
        <v>105</v>
      </c>
      <c r="C841">
        <v>26</v>
      </c>
      <c r="D841">
        <v>8</v>
      </c>
      <c r="E841" t="s">
        <v>885</v>
      </c>
      <c r="F841" t="s">
        <v>897</v>
      </c>
    </row>
    <row r="842" spans="1:6" x14ac:dyDescent="0.25">
      <c r="A842" t="s">
        <v>571</v>
      </c>
      <c r="B842">
        <v>127</v>
      </c>
      <c r="C842">
        <v>29</v>
      </c>
      <c r="D842">
        <v>3</v>
      </c>
      <c r="E842" t="s">
        <v>883</v>
      </c>
      <c r="F842" t="s">
        <v>901</v>
      </c>
    </row>
    <row r="843" spans="1:6" x14ac:dyDescent="0.25">
      <c r="A843" t="s">
        <v>571</v>
      </c>
      <c r="B843">
        <v>16</v>
      </c>
      <c r="C843">
        <v>-15</v>
      </c>
      <c r="D843">
        <v>4</v>
      </c>
      <c r="E843" t="s">
        <v>885</v>
      </c>
      <c r="F843" t="s">
        <v>887</v>
      </c>
    </row>
    <row r="844" spans="1:6" x14ac:dyDescent="0.25">
      <c r="A844" t="s">
        <v>571</v>
      </c>
      <c r="B844">
        <v>10</v>
      </c>
      <c r="C844">
        <v>-2</v>
      </c>
      <c r="D844">
        <v>2</v>
      </c>
      <c r="E844" t="s">
        <v>885</v>
      </c>
      <c r="F844" t="s">
        <v>897</v>
      </c>
    </row>
    <row r="845" spans="1:6" x14ac:dyDescent="0.25">
      <c r="A845" t="s">
        <v>573</v>
      </c>
      <c r="B845">
        <v>24</v>
      </c>
      <c r="C845">
        <v>2</v>
      </c>
      <c r="D845">
        <v>4</v>
      </c>
      <c r="E845" t="s">
        <v>885</v>
      </c>
      <c r="F845" t="s">
        <v>887</v>
      </c>
    </row>
    <row r="846" spans="1:6" x14ac:dyDescent="0.25">
      <c r="A846" t="s">
        <v>575</v>
      </c>
      <c r="B846">
        <v>94</v>
      </c>
      <c r="C846">
        <v>27</v>
      </c>
      <c r="D846">
        <v>2</v>
      </c>
      <c r="E846" t="s">
        <v>885</v>
      </c>
      <c r="F846" t="s">
        <v>896</v>
      </c>
    </row>
    <row r="847" spans="1:6" x14ac:dyDescent="0.25">
      <c r="A847" t="s">
        <v>575</v>
      </c>
      <c r="B847">
        <v>394</v>
      </c>
      <c r="C847">
        <v>146</v>
      </c>
      <c r="D847">
        <v>2</v>
      </c>
      <c r="E847" t="s">
        <v>883</v>
      </c>
      <c r="F847" t="s">
        <v>884</v>
      </c>
    </row>
    <row r="848" spans="1:6" x14ac:dyDescent="0.25">
      <c r="A848" t="s">
        <v>575</v>
      </c>
      <c r="B848">
        <v>734</v>
      </c>
      <c r="C848">
        <v>248</v>
      </c>
      <c r="D848">
        <v>2</v>
      </c>
      <c r="E848" t="s">
        <v>883</v>
      </c>
      <c r="F848" t="s">
        <v>893</v>
      </c>
    </row>
    <row r="849" spans="1:6" x14ac:dyDescent="0.25">
      <c r="A849" t="s">
        <v>575</v>
      </c>
      <c r="B849">
        <v>349</v>
      </c>
      <c r="C849">
        <v>0</v>
      </c>
      <c r="D849">
        <v>7</v>
      </c>
      <c r="E849" t="s">
        <v>885</v>
      </c>
      <c r="F849" t="s">
        <v>886</v>
      </c>
    </row>
    <row r="850" spans="1:6" x14ac:dyDescent="0.25">
      <c r="A850" t="s">
        <v>577</v>
      </c>
      <c r="B850">
        <v>89</v>
      </c>
      <c r="C850">
        <v>17</v>
      </c>
      <c r="D850">
        <v>2</v>
      </c>
      <c r="E850" t="s">
        <v>885</v>
      </c>
      <c r="F850" t="s">
        <v>886</v>
      </c>
    </row>
    <row r="851" spans="1:6" x14ac:dyDescent="0.25">
      <c r="A851" t="s">
        <v>577</v>
      </c>
      <c r="B851">
        <v>502</v>
      </c>
      <c r="C851">
        <v>84</v>
      </c>
      <c r="D851">
        <v>4</v>
      </c>
      <c r="E851" t="s">
        <v>888</v>
      </c>
      <c r="F851" t="s">
        <v>890</v>
      </c>
    </row>
    <row r="852" spans="1:6" x14ac:dyDescent="0.25">
      <c r="A852" t="s">
        <v>577</v>
      </c>
      <c r="B852">
        <v>63</v>
      </c>
      <c r="C852">
        <v>1</v>
      </c>
      <c r="D852">
        <v>4</v>
      </c>
      <c r="E852" t="s">
        <v>885</v>
      </c>
      <c r="F852" t="s">
        <v>895</v>
      </c>
    </row>
    <row r="853" spans="1:6" x14ac:dyDescent="0.25">
      <c r="A853" t="s">
        <v>577</v>
      </c>
      <c r="B853">
        <v>107</v>
      </c>
      <c r="C853">
        <v>37</v>
      </c>
      <c r="D853">
        <v>3</v>
      </c>
      <c r="E853" t="s">
        <v>885</v>
      </c>
      <c r="F853" t="s">
        <v>896</v>
      </c>
    </row>
    <row r="854" spans="1:6" x14ac:dyDescent="0.25">
      <c r="A854" t="s">
        <v>579</v>
      </c>
      <c r="B854">
        <v>83</v>
      </c>
      <c r="C854">
        <v>6</v>
      </c>
      <c r="D854">
        <v>6</v>
      </c>
      <c r="E854" t="s">
        <v>885</v>
      </c>
      <c r="F854" t="s">
        <v>896</v>
      </c>
    </row>
    <row r="855" spans="1:6" x14ac:dyDescent="0.25">
      <c r="A855" t="s">
        <v>579</v>
      </c>
      <c r="B855">
        <v>2125</v>
      </c>
      <c r="C855">
        <v>234</v>
      </c>
      <c r="D855">
        <v>6</v>
      </c>
      <c r="E855" t="s">
        <v>888</v>
      </c>
      <c r="F855" t="s">
        <v>899</v>
      </c>
    </row>
    <row r="856" spans="1:6" x14ac:dyDescent="0.25">
      <c r="A856" t="s">
        <v>581</v>
      </c>
      <c r="B856">
        <v>18</v>
      </c>
      <c r="C856">
        <v>2</v>
      </c>
      <c r="D856">
        <v>3</v>
      </c>
      <c r="E856" t="s">
        <v>885</v>
      </c>
      <c r="F856" t="s">
        <v>887</v>
      </c>
    </row>
    <row r="857" spans="1:6" x14ac:dyDescent="0.25">
      <c r="A857" t="s">
        <v>581</v>
      </c>
      <c r="B857">
        <v>223</v>
      </c>
      <c r="C857">
        <v>4</v>
      </c>
      <c r="D857">
        <v>3</v>
      </c>
      <c r="E857" t="s">
        <v>888</v>
      </c>
      <c r="F857" t="s">
        <v>890</v>
      </c>
    </row>
    <row r="858" spans="1:6" x14ac:dyDescent="0.25">
      <c r="A858" t="s">
        <v>581</v>
      </c>
      <c r="B858">
        <v>646</v>
      </c>
      <c r="C858">
        <v>213</v>
      </c>
      <c r="D858">
        <v>3</v>
      </c>
      <c r="E858" t="s">
        <v>888</v>
      </c>
      <c r="F858" t="s">
        <v>889</v>
      </c>
    </row>
    <row r="859" spans="1:6" x14ac:dyDescent="0.25">
      <c r="A859" t="s">
        <v>582</v>
      </c>
      <c r="B859">
        <v>31</v>
      </c>
      <c r="C859">
        <v>10</v>
      </c>
      <c r="D859">
        <v>1</v>
      </c>
      <c r="E859" t="s">
        <v>885</v>
      </c>
      <c r="F859" t="s">
        <v>894</v>
      </c>
    </row>
    <row r="860" spans="1:6" x14ac:dyDescent="0.25">
      <c r="A860" t="s">
        <v>582</v>
      </c>
      <c r="B860">
        <v>119</v>
      </c>
      <c r="C860">
        <v>43</v>
      </c>
      <c r="D860">
        <v>7</v>
      </c>
      <c r="E860" t="s">
        <v>885</v>
      </c>
      <c r="F860" t="s">
        <v>894</v>
      </c>
    </row>
    <row r="861" spans="1:6" x14ac:dyDescent="0.25">
      <c r="A861" t="s">
        <v>582</v>
      </c>
      <c r="B861">
        <v>114</v>
      </c>
      <c r="C861">
        <v>11</v>
      </c>
      <c r="D861">
        <v>4</v>
      </c>
      <c r="E861" t="s">
        <v>885</v>
      </c>
      <c r="F861" t="s">
        <v>895</v>
      </c>
    </row>
    <row r="862" spans="1:6" x14ac:dyDescent="0.25">
      <c r="A862" t="s">
        <v>583</v>
      </c>
      <c r="B862">
        <v>465</v>
      </c>
      <c r="C862">
        <v>207</v>
      </c>
      <c r="D862">
        <v>9</v>
      </c>
      <c r="E862" t="s">
        <v>885</v>
      </c>
      <c r="F862" t="s">
        <v>891</v>
      </c>
    </row>
    <row r="863" spans="1:6" x14ac:dyDescent="0.25">
      <c r="A863" t="s">
        <v>585</v>
      </c>
      <c r="B863">
        <v>25</v>
      </c>
      <c r="C863">
        <v>2</v>
      </c>
      <c r="D863">
        <v>2</v>
      </c>
      <c r="E863" t="s">
        <v>885</v>
      </c>
      <c r="F863" t="s">
        <v>887</v>
      </c>
    </row>
    <row r="864" spans="1:6" x14ac:dyDescent="0.25">
      <c r="A864" t="s">
        <v>585</v>
      </c>
      <c r="B864">
        <v>97</v>
      </c>
      <c r="C864">
        <v>36</v>
      </c>
      <c r="D864">
        <v>7</v>
      </c>
      <c r="E864" t="s">
        <v>885</v>
      </c>
      <c r="F864" t="s">
        <v>887</v>
      </c>
    </row>
    <row r="865" spans="1:6" x14ac:dyDescent="0.25">
      <c r="A865" t="s">
        <v>585</v>
      </c>
      <c r="B865">
        <v>121</v>
      </c>
      <c r="C865">
        <v>41</v>
      </c>
      <c r="D865">
        <v>4</v>
      </c>
      <c r="E865" t="s">
        <v>885</v>
      </c>
      <c r="F865" t="s">
        <v>886</v>
      </c>
    </row>
    <row r="866" spans="1:6" x14ac:dyDescent="0.25">
      <c r="A866" t="s">
        <v>586</v>
      </c>
      <c r="B866">
        <v>139</v>
      </c>
      <c r="C866">
        <v>30</v>
      </c>
      <c r="D866">
        <v>3</v>
      </c>
      <c r="E866" t="s">
        <v>885</v>
      </c>
      <c r="F866" t="s">
        <v>896</v>
      </c>
    </row>
    <row r="867" spans="1:6" x14ac:dyDescent="0.25">
      <c r="A867" t="s">
        <v>587</v>
      </c>
      <c r="B867">
        <v>355</v>
      </c>
      <c r="C867">
        <v>114</v>
      </c>
      <c r="D867">
        <v>7</v>
      </c>
      <c r="E867" t="s">
        <v>885</v>
      </c>
      <c r="F867" t="s">
        <v>886</v>
      </c>
    </row>
    <row r="868" spans="1:6" x14ac:dyDescent="0.25">
      <c r="A868" t="s">
        <v>587</v>
      </c>
      <c r="B868">
        <v>61</v>
      </c>
      <c r="C868">
        <v>11</v>
      </c>
      <c r="D868">
        <v>3</v>
      </c>
      <c r="E868" t="s">
        <v>885</v>
      </c>
      <c r="F868" t="s">
        <v>894</v>
      </c>
    </row>
    <row r="869" spans="1:6" x14ac:dyDescent="0.25">
      <c r="A869" t="s">
        <v>587</v>
      </c>
      <c r="B869">
        <v>149</v>
      </c>
      <c r="C869">
        <v>15</v>
      </c>
      <c r="D869">
        <v>3</v>
      </c>
      <c r="E869" t="s">
        <v>885</v>
      </c>
      <c r="F869" t="s">
        <v>891</v>
      </c>
    </row>
    <row r="870" spans="1:6" x14ac:dyDescent="0.25">
      <c r="A870" t="s">
        <v>587</v>
      </c>
      <c r="B870">
        <v>688</v>
      </c>
      <c r="C870">
        <v>103</v>
      </c>
      <c r="D870">
        <v>6</v>
      </c>
      <c r="E870" t="s">
        <v>888</v>
      </c>
      <c r="F870" t="s">
        <v>900</v>
      </c>
    </row>
    <row r="871" spans="1:6" x14ac:dyDescent="0.25">
      <c r="A871" t="s">
        <v>587</v>
      </c>
      <c r="B871">
        <v>372</v>
      </c>
      <c r="C871">
        <v>59</v>
      </c>
      <c r="D871">
        <v>3</v>
      </c>
      <c r="E871" t="s">
        <v>888</v>
      </c>
      <c r="F871" t="s">
        <v>899</v>
      </c>
    </row>
    <row r="872" spans="1:6" x14ac:dyDescent="0.25">
      <c r="A872" t="s">
        <v>587</v>
      </c>
      <c r="B872">
        <v>223</v>
      </c>
      <c r="C872">
        <v>62</v>
      </c>
      <c r="D872">
        <v>7</v>
      </c>
      <c r="E872" t="s">
        <v>885</v>
      </c>
      <c r="F872" t="s">
        <v>896</v>
      </c>
    </row>
    <row r="873" spans="1:6" x14ac:dyDescent="0.25">
      <c r="A873" t="s">
        <v>587</v>
      </c>
      <c r="B873">
        <v>83</v>
      </c>
      <c r="C873">
        <v>12</v>
      </c>
      <c r="D873">
        <v>3</v>
      </c>
      <c r="E873" t="s">
        <v>885</v>
      </c>
      <c r="F873" t="s">
        <v>886</v>
      </c>
    </row>
    <row r="874" spans="1:6" x14ac:dyDescent="0.25">
      <c r="A874" t="s">
        <v>589</v>
      </c>
      <c r="B874">
        <v>1246</v>
      </c>
      <c r="C874">
        <v>62</v>
      </c>
      <c r="D874">
        <v>3</v>
      </c>
      <c r="E874" t="s">
        <v>883</v>
      </c>
      <c r="F874" t="s">
        <v>884</v>
      </c>
    </row>
    <row r="875" spans="1:6" x14ac:dyDescent="0.25">
      <c r="A875" t="s">
        <v>591</v>
      </c>
      <c r="B875">
        <v>388</v>
      </c>
      <c r="C875">
        <v>93</v>
      </c>
      <c r="D875">
        <v>2</v>
      </c>
      <c r="E875" t="s">
        <v>883</v>
      </c>
      <c r="F875" t="s">
        <v>884</v>
      </c>
    </row>
    <row r="876" spans="1:6" x14ac:dyDescent="0.25">
      <c r="A876" t="s">
        <v>593</v>
      </c>
      <c r="B876">
        <v>31</v>
      </c>
      <c r="C876">
        <v>11</v>
      </c>
      <c r="D876">
        <v>3</v>
      </c>
      <c r="E876" t="s">
        <v>885</v>
      </c>
      <c r="F876" t="s">
        <v>902</v>
      </c>
    </row>
    <row r="877" spans="1:6" x14ac:dyDescent="0.25">
      <c r="A877" t="s">
        <v>593</v>
      </c>
      <c r="B877">
        <v>42</v>
      </c>
      <c r="C877">
        <v>7</v>
      </c>
      <c r="D877">
        <v>2</v>
      </c>
      <c r="E877" t="s">
        <v>885</v>
      </c>
      <c r="F877" t="s">
        <v>894</v>
      </c>
    </row>
    <row r="878" spans="1:6" x14ac:dyDescent="0.25">
      <c r="A878" t="s">
        <v>593</v>
      </c>
      <c r="B878">
        <v>190</v>
      </c>
      <c r="C878">
        <v>68</v>
      </c>
      <c r="D878">
        <v>8</v>
      </c>
      <c r="E878" t="s">
        <v>885</v>
      </c>
      <c r="F878" t="s">
        <v>895</v>
      </c>
    </row>
    <row r="879" spans="1:6" x14ac:dyDescent="0.25">
      <c r="A879" t="s">
        <v>593</v>
      </c>
      <c r="B879">
        <v>103</v>
      </c>
      <c r="C879">
        <v>36</v>
      </c>
      <c r="D879">
        <v>2</v>
      </c>
      <c r="E879" t="s">
        <v>885</v>
      </c>
      <c r="F879" t="s">
        <v>887</v>
      </c>
    </row>
    <row r="880" spans="1:6" x14ac:dyDescent="0.25">
      <c r="A880" t="s">
        <v>593</v>
      </c>
      <c r="B880">
        <v>287</v>
      </c>
      <c r="C880">
        <v>66</v>
      </c>
      <c r="D880">
        <v>6</v>
      </c>
      <c r="E880" t="s">
        <v>885</v>
      </c>
      <c r="F880" t="s">
        <v>894</v>
      </c>
    </row>
    <row r="881" spans="1:6" x14ac:dyDescent="0.25">
      <c r="A881" t="s">
        <v>593</v>
      </c>
      <c r="B881">
        <v>23</v>
      </c>
      <c r="C881">
        <v>4</v>
      </c>
      <c r="D881">
        <v>2</v>
      </c>
      <c r="E881" t="s">
        <v>885</v>
      </c>
      <c r="F881" t="s">
        <v>902</v>
      </c>
    </row>
    <row r="882" spans="1:6" x14ac:dyDescent="0.25">
      <c r="A882" t="s">
        <v>593</v>
      </c>
      <c r="B882">
        <v>79</v>
      </c>
      <c r="C882">
        <v>-2</v>
      </c>
      <c r="D882">
        <v>2</v>
      </c>
      <c r="E882" t="s">
        <v>883</v>
      </c>
      <c r="F882" t="s">
        <v>901</v>
      </c>
    </row>
    <row r="883" spans="1:6" x14ac:dyDescent="0.25">
      <c r="A883" t="s">
        <v>594</v>
      </c>
      <c r="B883">
        <v>43</v>
      </c>
      <c r="C883">
        <v>5</v>
      </c>
      <c r="D883">
        <v>3</v>
      </c>
      <c r="E883" t="s">
        <v>885</v>
      </c>
      <c r="F883" t="s">
        <v>886</v>
      </c>
    </row>
    <row r="884" spans="1:6" x14ac:dyDescent="0.25">
      <c r="A884" t="s">
        <v>594</v>
      </c>
      <c r="B884">
        <v>33</v>
      </c>
      <c r="C884">
        <v>10</v>
      </c>
      <c r="D884">
        <v>3</v>
      </c>
      <c r="E884" t="s">
        <v>885</v>
      </c>
      <c r="F884" t="s">
        <v>887</v>
      </c>
    </row>
    <row r="885" spans="1:6" x14ac:dyDescent="0.25">
      <c r="A885" t="s">
        <v>594</v>
      </c>
      <c r="B885">
        <v>24</v>
      </c>
      <c r="C885">
        <v>11</v>
      </c>
      <c r="D885">
        <v>5</v>
      </c>
      <c r="E885" t="s">
        <v>885</v>
      </c>
      <c r="F885" t="s">
        <v>887</v>
      </c>
    </row>
    <row r="886" spans="1:6" x14ac:dyDescent="0.25">
      <c r="A886" t="s">
        <v>594</v>
      </c>
      <c r="B886">
        <v>734</v>
      </c>
      <c r="C886">
        <v>213</v>
      </c>
      <c r="D886">
        <v>6</v>
      </c>
      <c r="E886" t="s">
        <v>888</v>
      </c>
      <c r="F886" t="s">
        <v>889</v>
      </c>
    </row>
    <row r="887" spans="1:6" x14ac:dyDescent="0.25">
      <c r="A887" t="s">
        <v>595</v>
      </c>
      <c r="B887">
        <v>33</v>
      </c>
      <c r="C887">
        <v>13</v>
      </c>
      <c r="D887">
        <v>3</v>
      </c>
      <c r="E887" t="s">
        <v>885</v>
      </c>
      <c r="F887" t="s">
        <v>897</v>
      </c>
    </row>
    <row r="888" spans="1:6" x14ac:dyDescent="0.25">
      <c r="A888" t="s">
        <v>595</v>
      </c>
      <c r="B888">
        <v>499</v>
      </c>
      <c r="C888">
        <v>33</v>
      </c>
      <c r="D888">
        <v>4</v>
      </c>
      <c r="E888" t="s">
        <v>885</v>
      </c>
      <c r="F888" t="s">
        <v>891</v>
      </c>
    </row>
    <row r="889" spans="1:6" x14ac:dyDescent="0.25">
      <c r="A889" t="s">
        <v>595</v>
      </c>
      <c r="B889">
        <v>147</v>
      </c>
      <c r="C889">
        <v>73</v>
      </c>
      <c r="D889">
        <v>3</v>
      </c>
      <c r="E889" t="s">
        <v>885</v>
      </c>
      <c r="F889" t="s">
        <v>886</v>
      </c>
    </row>
    <row r="890" spans="1:6" x14ac:dyDescent="0.25">
      <c r="A890" t="s">
        <v>595</v>
      </c>
      <c r="B890">
        <v>53</v>
      </c>
      <c r="C890">
        <v>5</v>
      </c>
      <c r="D890">
        <v>3</v>
      </c>
      <c r="E890" t="s">
        <v>885</v>
      </c>
      <c r="F890" t="s">
        <v>895</v>
      </c>
    </row>
    <row r="891" spans="1:6" x14ac:dyDescent="0.25">
      <c r="A891" t="s">
        <v>595</v>
      </c>
      <c r="B891">
        <v>171</v>
      </c>
      <c r="C891">
        <v>2</v>
      </c>
      <c r="D891">
        <v>2</v>
      </c>
      <c r="E891" t="s">
        <v>888</v>
      </c>
      <c r="F891" t="s">
        <v>889</v>
      </c>
    </row>
    <row r="892" spans="1:6" x14ac:dyDescent="0.25">
      <c r="A892" t="s">
        <v>595</v>
      </c>
      <c r="B892">
        <v>915</v>
      </c>
      <c r="C892">
        <v>-99</v>
      </c>
      <c r="D892">
        <v>3</v>
      </c>
      <c r="E892" t="s">
        <v>883</v>
      </c>
      <c r="F892" t="s">
        <v>898</v>
      </c>
    </row>
    <row r="893" spans="1:6" x14ac:dyDescent="0.25">
      <c r="A893" t="s">
        <v>595</v>
      </c>
      <c r="B893">
        <v>191</v>
      </c>
      <c r="C893">
        <v>93</v>
      </c>
      <c r="D893">
        <v>4</v>
      </c>
      <c r="E893" t="s">
        <v>885</v>
      </c>
      <c r="F893" t="s">
        <v>896</v>
      </c>
    </row>
    <row r="894" spans="1:6" x14ac:dyDescent="0.25">
      <c r="A894" t="s">
        <v>595</v>
      </c>
      <c r="B894">
        <v>857</v>
      </c>
      <c r="C894">
        <v>274</v>
      </c>
      <c r="D894">
        <v>2</v>
      </c>
      <c r="E894" t="s">
        <v>883</v>
      </c>
      <c r="F894" t="s">
        <v>898</v>
      </c>
    </row>
    <row r="895" spans="1:6" x14ac:dyDescent="0.25">
      <c r="A895" t="s">
        <v>596</v>
      </c>
      <c r="B895">
        <v>22</v>
      </c>
      <c r="C895">
        <v>9</v>
      </c>
      <c r="D895">
        <v>2</v>
      </c>
      <c r="E895" t="s">
        <v>885</v>
      </c>
      <c r="F895" t="s">
        <v>897</v>
      </c>
    </row>
    <row r="896" spans="1:6" x14ac:dyDescent="0.25">
      <c r="A896" t="s">
        <v>596</v>
      </c>
      <c r="B896">
        <v>28</v>
      </c>
      <c r="C896">
        <v>6</v>
      </c>
      <c r="D896">
        <v>4</v>
      </c>
      <c r="E896" t="s">
        <v>885</v>
      </c>
      <c r="F896" t="s">
        <v>902</v>
      </c>
    </row>
    <row r="897" spans="1:6" x14ac:dyDescent="0.25">
      <c r="A897" t="s">
        <v>596</v>
      </c>
      <c r="B897">
        <v>43</v>
      </c>
      <c r="C897">
        <v>17</v>
      </c>
      <c r="D897">
        <v>1</v>
      </c>
      <c r="E897" t="s">
        <v>885</v>
      </c>
      <c r="F897" t="s">
        <v>891</v>
      </c>
    </row>
    <row r="898" spans="1:6" x14ac:dyDescent="0.25">
      <c r="A898" t="s">
        <v>596</v>
      </c>
      <c r="B898">
        <v>846</v>
      </c>
      <c r="C898">
        <v>9</v>
      </c>
      <c r="D898">
        <v>2</v>
      </c>
      <c r="E898" t="s">
        <v>883</v>
      </c>
      <c r="F898" t="s">
        <v>893</v>
      </c>
    </row>
    <row r="899" spans="1:6" x14ac:dyDescent="0.25">
      <c r="A899" t="s">
        <v>598</v>
      </c>
      <c r="B899">
        <v>15</v>
      </c>
      <c r="C899">
        <v>2</v>
      </c>
      <c r="D899">
        <v>1</v>
      </c>
      <c r="E899" t="s">
        <v>885</v>
      </c>
      <c r="F899" t="s">
        <v>897</v>
      </c>
    </row>
    <row r="900" spans="1:6" x14ac:dyDescent="0.25">
      <c r="A900" t="s">
        <v>598</v>
      </c>
      <c r="B900">
        <v>140</v>
      </c>
      <c r="C900">
        <v>68</v>
      </c>
      <c r="D900">
        <v>5</v>
      </c>
      <c r="E900" t="s">
        <v>885</v>
      </c>
      <c r="F900" t="s">
        <v>895</v>
      </c>
    </row>
    <row r="901" spans="1:6" x14ac:dyDescent="0.25">
      <c r="A901" t="s">
        <v>598</v>
      </c>
      <c r="B901">
        <v>210</v>
      </c>
      <c r="C901">
        <v>62</v>
      </c>
      <c r="D901">
        <v>2</v>
      </c>
      <c r="E901" t="s">
        <v>888</v>
      </c>
      <c r="F901" t="s">
        <v>890</v>
      </c>
    </row>
    <row r="902" spans="1:6" x14ac:dyDescent="0.25">
      <c r="A902" t="s">
        <v>599</v>
      </c>
      <c r="B902">
        <v>158</v>
      </c>
      <c r="C902">
        <v>38</v>
      </c>
      <c r="D902">
        <v>3</v>
      </c>
      <c r="E902" t="s">
        <v>885</v>
      </c>
      <c r="F902" t="s">
        <v>887</v>
      </c>
    </row>
    <row r="903" spans="1:6" x14ac:dyDescent="0.25">
      <c r="A903" t="s">
        <v>599</v>
      </c>
      <c r="B903">
        <v>90</v>
      </c>
      <c r="C903">
        <v>27</v>
      </c>
      <c r="D903">
        <v>2</v>
      </c>
      <c r="E903" t="s">
        <v>885</v>
      </c>
      <c r="F903" t="s">
        <v>895</v>
      </c>
    </row>
    <row r="904" spans="1:6" x14ac:dyDescent="0.25">
      <c r="A904" t="s">
        <v>599</v>
      </c>
      <c r="B904">
        <v>159</v>
      </c>
      <c r="C904">
        <v>2</v>
      </c>
      <c r="D904">
        <v>3</v>
      </c>
      <c r="E904" t="s">
        <v>883</v>
      </c>
      <c r="F904" t="s">
        <v>901</v>
      </c>
    </row>
    <row r="905" spans="1:6" x14ac:dyDescent="0.25">
      <c r="A905" t="s">
        <v>599</v>
      </c>
      <c r="B905">
        <v>61</v>
      </c>
      <c r="C905">
        <v>28</v>
      </c>
      <c r="D905">
        <v>2</v>
      </c>
      <c r="E905" t="s">
        <v>885</v>
      </c>
      <c r="F905" t="s">
        <v>887</v>
      </c>
    </row>
    <row r="906" spans="1:6" x14ac:dyDescent="0.25">
      <c r="A906" t="s">
        <v>601</v>
      </c>
      <c r="B906">
        <v>79</v>
      </c>
      <c r="C906">
        <v>6</v>
      </c>
      <c r="D906">
        <v>7</v>
      </c>
      <c r="E906" t="s">
        <v>885</v>
      </c>
      <c r="F906" t="s">
        <v>891</v>
      </c>
    </row>
    <row r="907" spans="1:6" x14ac:dyDescent="0.25">
      <c r="A907" t="s">
        <v>601</v>
      </c>
      <c r="B907">
        <v>268</v>
      </c>
      <c r="C907">
        <v>6</v>
      </c>
      <c r="D907">
        <v>2</v>
      </c>
      <c r="E907" t="s">
        <v>883</v>
      </c>
      <c r="F907" t="s">
        <v>884</v>
      </c>
    </row>
    <row r="908" spans="1:6" x14ac:dyDescent="0.25">
      <c r="A908" t="s">
        <v>601</v>
      </c>
      <c r="B908">
        <v>802</v>
      </c>
      <c r="C908">
        <v>120</v>
      </c>
      <c r="D908">
        <v>7</v>
      </c>
      <c r="E908" t="s">
        <v>888</v>
      </c>
      <c r="F908" t="s">
        <v>900</v>
      </c>
    </row>
    <row r="909" spans="1:6" x14ac:dyDescent="0.25">
      <c r="A909" t="s">
        <v>601</v>
      </c>
      <c r="B909">
        <v>1700</v>
      </c>
      <c r="C909">
        <v>85</v>
      </c>
      <c r="D909">
        <v>3</v>
      </c>
      <c r="E909" t="s">
        <v>885</v>
      </c>
      <c r="F909" t="s">
        <v>892</v>
      </c>
    </row>
    <row r="910" spans="1:6" x14ac:dyDescent="0.25">
      <c r="A910" t="s">
        <v>601</v>
      </c>
      <c r="B910">
        <v>154</v>
      </c>
      <c r="C910">
        <v>26</v>
      </c>
      <c r="D910">
        <v>4</v>
      </c>
      <c r="E910" t="s">
        <v>888</v>
      </c>
      <c r="F910" t="s">
        <v>900</v>
      </c>
    </row>
    <row r="911" spans="1:6" x14ac:dyDescent="0.25">
      <c r="A911" t="s">
        <v>603</v>
      </c>
      <c r="B911">
        <v>455</v>
      </c>
      <c r="C911">
        <v>77</v>
      </c>
      <c r="D911">
        <v>8</v>
      </c>
      <c r="E911" t="s">
        <v>888</v>
      </c>
      <c r="F911" t="s">
        <v>900</v>
      </c>
    </row>
    <row r="912" spans="1:6" x14ac:dyDescent="0.25">
      <c r="A912" t="s">
        <v>603</v>
      </c>
      <c r="B912">
        <v>19</v>
      </c>
      <c r="C912">
        <v>8</v>
      </c>
      <c r="D912">
        <v>2</v>
      </c>
      <c r="E912" t="s">
        <v>885</v>
      </c>
      <c r="F912" t="s">
        <v>887</v>
      </c>
    </row>
    <row r="913" spans="1:6" x14ac:dyDescent="0.25">
      <c r="A913" t="s">
        <v>603</v>
      </c>
      <c r="B913">
        <v>25</v>
      </c>
      <c r="C913">
        <v>11</v>
      </c>
      <c r="D913">
        <v>3</v>
      </c>
      <c r="E913" t="s">
        <v>885</v>
      </c>
      <c r="F913" t="s">
        <v>897</v>
      </c>
    </row>
    <row r="914" spans="1:6" x14ac:dyDescent="0.25">
      <c r="A914" t="s">
        <v>603</v>
      </c>
      <c r="B914">
        <v>37</v>
      </c>
      <c r="C914">
        <v>17</v>
      </c>
      <c r="D914">
        <v>3</v>
      </c>
      <c r="E914" t="s">
        <v>885</v>
      </c>
      <c r="F914" t="s">
        <v>887</v>
      </c>
    </row>
    <row r="915" spans="1:6" x14ac:dyDescent="0.25">
      <c r="A915" t="s">
        <v>603</v>
      </c>
      <c r="B915">
        <v>60</v>
      </c>
      <c r="C915">
        <v>-10</v>
      </c>
      <c r="D915">
        <v>2</v>
      </c>
      <c r="E915" t="s">
        <v>883</v>
      </c>
      <c r="F915" t="s">
        <v>901</v>
      </c>
    </row>
    <row r="916" spans="1:6" x14ac:dyDescent="0.25">
      <c r="A916" t="s">
        <v>603</v>
      </c>
      <c r="B916">
        <v>204</v>
      </c>
      <c r="C916">
        <v>94</v>
      </c>
      <c r="D916">
        <v>4</v>
      </c>
      <c r="E916" t="s">
        <v>885</v>
      </c>
      <c r="F916" t="s">
        <v>887</v>
      </c>
    </row>
    <row r="917" spans="1:6" x14ac:dyDescent="0.25">
      <c r="A917" t="s">
        <v>603</v>
      </c>
      <c r="B917">
        <v>74</v>
      </c>
      <c r="C917">
        <v>33</v>
      </c>
      <c r="D917">
        <v>2</v>
      </c>
      <c r="E917" t="s">
        <v>885</v>
      </c>
      <c r="F917" t="s">
        <v>896</v>
      </c>
    </row>
    <row r="918" spans="1:6" x14ac:dyDescent="0.25">
      <c r="A918" t="s">
        <v>603</v>
      </c>
      <c r="B918">
        <v>336</v>
      </c>
      <c r="C918">
        <v>57</v>
      </c>
      <c r="D918">
        <v>2</v>
      </c>
      <c r="E918" t="s">
        <v>888</v>
      </c>
      <c r="F918" t="s">
        <v>890</v>
      </c>
    </row>
    <row r="919" spans="1:6" x14ac:dyDescent="0.25">
      <c r="A919" t="s">
        <v>605</v>
      </c>
      <c r="B919">
        <v>871</v>
      </c>
      <c r="C919">
        <v>131</v>
      </c>
      <c r="D919">
        <v>2</v>
      </c>
      <c r="E919" t="s">
        <v>883</v>
      </c>
      <c r="F919" t="s">
        <v>884</v>
      </c>
    </row>
    <row r="920" spans="1:6" x14ac:dyDescent="0.25">
      <c r="A920" t="s">
        <v>605</v>
      </c>
      <c r="B920">
        <v>83</v>
      </c>
      <c r="C920">
        <v>12</v>
      </c>
      <c r="D920">
        <v>2</v>
      </c>
      <c r="E920" t="s">
        <v>883</v>
      </c>
      <c r="F920" t="s">
        <v>893</v>
      </c>
    </row>
    <row r="921" spans="1:6" x14ac:dyDescent="0.25">
      <c r="A921" t="s">
        <v>607</v>
      </c>
      <c r="B921">
        <v>152</v>
      </c>
      <c r="C921">
        <v>50</v>
      </c>
      <c r="D921">
        <v>6</v>
      </c>
      <c r="E921" t="s">
        <v>885</v>
      </c>
      <c r="F921" t="s">
        <v>886</v>
      </c>
    </row>
    <row r="922" spans="1:6" x14ac:dyDescent="0.25">
      <c r="A922" t="s">
        <v>609</v>
      </c>
      <c r="B922">
        <v>78</v>
      </c>
      <c r="C922">
        <v>27</v>
      </c>
      <c r="D922">
        <v>3</v>
      </c>
      <c r="E922" t="s">
        <v>885</v>
      </c>
      <c r="F922" t="s">
        <v>886</v>
      </c>
    </row>
    <row r="923" spans="1:6" x14ac:dyDescent="0.25">
      <c r="A923" t="s">
        <v>611</v>
      </c>
      <c r="B923">
        <v>30</v>
      </c>
      <c r="C923">
        <v>11</v>
      </c>
      <c r="D923">
        <v>5</v>
      </c>
      <c r="E923" t="s">
        <v>885</v>
      </c>
      <c r="F923" t="s">
        <v>887</v>
      </c>
    </row>
    <row r="924" spans="1:6" x14ac:dyDescent="0.25">
      <c r="A924" t="s">
        <v>613</v>
      </c>
      <c r="B924">
        <v>179</v>
      </c>
      <c r="C924">
        <v>25</v>
      </c>
      <c r="D924">
        <v>5</v>
      </c>
      <c r="E924" t="s">
        <v>885</v>
      </c>
      <c r="F924" t="s">
        <v>894</v>
      </c>
    </row>
    <row r="925" spans="1:6" x14ac:dyDescent="0.25">
      <c r="A925" t="s">
        <v>615</v>
      </c>
      <c r="B925">
        <v>168</v>
      </c>
      <c r="C925">
        <v>56</v>
      </c>
      <c r="D925">
        <v>3</v>
      </c>
      <c r="E925" t="s">
        <v>885</v>
      </c>
      <c r="F925" t="s">
        <v>891</v>
      </c>
    </row>
    <row r="926" spans="1:6" x14ac:dyDescent="0.25">
      <c r="A926" t="s">
        <v>615</v>
      </c>
      <c r="B926">
        <v>108</v>
      </c>
      <c r="C926">
        <v>22</v>
      </c>
      <c r="D926">
        <v>3</v>
      </c>
      <c r="E926" t="s">
        <v>888</v>
      </c>
      <c r="F926" t="s">
        <v>900</v>
      </c>
    </row>
    <row r="927" spans="1:6" x14ac:dyDescent="0.25">
      <c r="A927" t="s">
        <v>615</v>
      </c>
      <c r="B927">
        <v>1622</v>
      </c>
      <c r="C927">
        <v>248</v>
      </c>
      <c r="D927">
        <v>3</v>
      </c>
      <c r="E927" t="s">
        <v>888</v>
      </c>
      <c r="F927" t="s">
        <v>890</v>
      </c>
    </row>
    <row r="928" spans="1:6" x14ac:dyDescent="0.25">
      <c r="A928" t="s">
        <v>615</v>
      </c>
      <c r="B928">
        <v>323</v>
      </c>
      <c r="C928">
        <v>122</v>
      </c>
      <c r="D928">
        <v>5</v>
      </c>
      <c r="E928" t="s">
        <v>888</v>
      </c>
      <c r="F928" t="s">
        <v>890</v>
      </c>
    </row>
    <row r="929" spans="1:6" x14ac:dyDescent="0.25">
      <c r="A929" t="s">
        <v>615</v>
      </c>
      <c r="B929">
        <v>12</v>
      </c>
      <c r="C929">
        <v>2</v>
      </c>
      <c r="D929">
        <v>2</v>
      </c>
      <c r="E929" t="s">
        <v>885</v>
      </c>
      <c r="F929" t="s">
        <v>902</v>
      </c>
    </row>
    <row r="930" spans="1:6" x14ac:dyDescent="0.25">
      <c r="A930" t="s">
        <v>617</v>
      </c>
      <c r="B930">
        <v>125</v>
      </c>
      <c r="C930">
        <v>15</v>
      </c>
      <c r="D930">
        <v>5</v>
      </c>
      <c r="E930" t="s">
        <v>885</v>
      </c>
      <c r="F930" t="s">
        <v>896</v>
      </c>
    </row>
    <row r="931" spans="1:6" x14ac:dyDescent="0.25">
      <c r="A931" t="s">
        <v>617</v>
      </c>
      <c r="B931">
        <v>685</v>
      </c>
      <c r="C931">
        <v>7</v>
      </c>
      <c r="D931">
        <v>7</v>
      </c>
      <c r="E931" t="s">
        <v>885</v>
      </c>
      <c r="F931" t="s">
        <v>892</v>
      </c>
    </row>
    <row r="932" spans="1:6" x14ac:dyDescent="0.25">
      <c r="A932" t="s">
        <v>617</v>
      </c>
      <c r="B932">
        <v>850</v>
      </c>
      <c r="C932">
        <v>289</v>
      </c>
      <c r="D932">
        <v>5</v>
      </c>
      <c r="E932" t="s">
        <v>888</v>
      </c>
      <c r="F932" t="s">
        <v>889</v>
      </c>
    </row>
    <row r="933" spans="1:6" x14ac:dyDescent="0.25">
      <c r="A933" t="s">
        <v>617</v>
      </c>
      <c r="B933">
        <v>1622</v>
      </c>
      <c r="C933">
        <v>-624</v>
      </c>
      <c r="D933">
        <v>5</v>
      </c>
      <c r="E933" t="s">
        <v>883</v>
      </c>
      <c r="F933" t="s">
        <v>898</v>
      </c>
    </row>
    <row r="934" spans="1:6" x14ac:dyDescent="0.25">
      <c r="A934" t="s">
        <v>617</v>
      </c>
      <c r="B934">
        <v>259</v>
      </c>
      <c r="C934">
        <v>47</v>
      </c>
      <c r="D934">
        <v>5</v>
      </c>
      <c r="E934" t="s">
        <v>885</v>
      </c>
      <c r="F934" t="s">
        <v>887</v>
      </c>
    </row>
    <row r="935" spans="1:6" x14ac:dyDescent="0.25">
      <c r="A935" t="s">
        <v>617</v>
      </c>
      <c r="B935">
        <v>33</v>
      </c>
      <c r="C935">
        <v>1</v>
      </c>
      <c r="D935">
        <v>2</v>
      </c>
      <c r="E935" t="s">
        <v>885</v>
      </c>
      <c r="F935" t="s">
        <v>896</v>
      </c>
    </row>
    <row r="936" spans="1:6" x14ac:dyDescent="0.25">
      <c r="A936" t="s">
        <v>619</v>
      </c>
      <c r="B936">
        <v>40</v>
      </c>
      <c r="C936">
        <v>15</v>
      </c>
      <c r="D936">
        <v>1</v>
      </c>
      <c r="E936" t="s">
        <v>885</v>
      </c>
      <c r="F936" t="s">
        <v>894</v>
      </c>
    </row>
    <row r="937" spans="1:6" x14ac:dyDescent="0.25">
      <c r="A937" t="s">
        <v>621</v>
      </c>
      <c r="B937">
        <v>102</v>
      </c>
      <c r="C937">
        <v>11</v>
      </c>
      <c r="D937">
        <v>6</v>
      </c>
      <c r="E937" t="s">
        <v>885</v>
      </c>
      <c r="F937" t="s">
        <v>895</v>
      </c>
    </row>
    <row r="938" spans="1:6" x14ac:dyDescent="0.25">
      <c r="A938" t="s">
        <v>623</v>
      </c>
      <c r="B938">
        <v>103</v>
      </c>
      <c r="C938">
        <v>21</v>
      </c>
      <c r="D938">
        <v>7</v>
      </c>
      <c r="E938" t="s">
        <v>885</v>
      </c>
      <c r="F938" t="s">
        <v>886</v>
      </c>
    </row>
    <row r="939" spans="1:6" x14ac:dyDescent="0.25">
      <c r="A939" t="s">
        <v>625</v>
      </c>
      <c r="B939">
        <v>460</v>
      </c>
      <c r="C939">
        <v>143</v>
      </c>
      <c r="D939">
        <v>3</v>
      </c>
      <c r="E939" t="s">
        <v>883</v>
      </c>
      <c r="F939" t="s">
        <v>893</v>
      </c>
    </row>
    <row r="940" spans="1:6" x14ac:dyDescent="0.25">
      <c r="A940" t="s">
        <v>625</v>
      </c>
      <c r="B940">
        <v>125</v>
      </c>
      <c r="C940">
        <v>22</v>
      </c>
      <c r="D940">
        <v>3</v>
      </c>
      <c r="E940" t="s">
        <v>885</v>
      </c>
      <c r="F940" t="s">
        <v>886</v>
      </c>
    </row>
    <row r="941" spans="1:6" x14ac:dyDescent="0.25">
      <c r="A941" t="s">
        <v>627</v>
      </c>
      <c r="B941">
        <v>277</v>
      </c>
      <c r="C941">
        <v>3</v>
      </c>
      <c r="D941">
        <v>1</v>
      </c>
      <c r="E941" t="s">
        <v>888</v>
      </c>
      <c r="F941" t="s">
        <v>889</v>
      </c>
    </row>
    <row r="942" spans="1:6" x14ac:dyDescent="0.25">
      <c r="A942" t="s">
        <v>629</v>
      </c>
      <c r="B942">
        <v>80</v>
      </c>
      <c r="C942">
        <v>26</v>
      </c>
      <c r="D942">
        <v>9</v>
      </c>
      <c r="E942" t="s">
        <v>885</v>
      </c>
      <c r="F942" t="s">
        <v>902</v>
      </c>
    </row>
    <row r="943" spans="1:6" x14ac:dyDescent="0.25">
      <c r="A943" t="s">
        <v>631</v>
      </c>
      <c r="B943">
        <v>100</v>
      </c>
      <c r="C943">
        <v>12</v>
      </c>
      <c r="D943">
        <v>2</v>
      </c>
      <c r="E943" t="s">
        <v>885</v>
      </c>
      <c r="F943" t="s">
        <v>895</v>
      </c>
    </row>
    <row r="944" spans="1:6" x14ac:dyDescent="0.25">
      <c r="A944" t="s">
        <v>632</v>
      </c>
      <c r="B944">
        <v>244</v>
      </c>
      <c r="C944">
        <v>122</v>
      </c>
      <c r="D944">
        <v>5</v>
      </c>
      <c r="E944" t="s">
        <v>883</v>
      </c>
      <c r="F944" t="s">
        <v>901</v>
      </c>
    </row>
    <row r="945" spans="1:6" x14ac:dyDescent="0.25">
      <c r="A945" t="s">
        <v>634</v>
      </c>
      <c r="B945">
        <v>28</v>
      </c>
      <c r="C945">
        <v>4</v>
      </c>
      <c r="D945">
        <v>1</v>
      </c>
      <c r="E945" t="s">
        <v>885</v>
      </c>
      <c r="F945" t="s">
        <v>895</v>
      </c>
    </row>
    <row r="946" spans="1:6" x14ac:dyDescent="0.25">
      <c r="A946" t="s">
        <v>634</v>
      </c>
      <c r="B946">
        <v>110</v>
      </c>
      <c r="C946">
        <v>12</v>
      </c>
      <c r="D946">
        <v>7</v>
      </c>
      <c r="E946" t="s">
        <v>885</v>
      </c>
      <c r="F946" t="s">
        <v>886</v>
      </c>
    </row>
    <row r="947" spans="1:6" x14ac:dyDescent="0.25">
      <c r="A947" t="s">
        <v>634</v>
      </c>
      <c r="B947">
        <v>636</v>
      </c>
      <c r="C947">
        <v>204</v>
      </c>
      <c r="D947">
        <v>2</v>
      </c>
      <c r="E947" t="s">
        <v>888</v>
      </c>
      <c r="F947" t="s">
        <v>899</v>
      </c>
    </row>
    <row r="948" spans="1:6" x14ac:dyDescent="0.25">
      <c r="A948" t="s">
        <v>634</v>
      </c>
      <c r="B948">
        <v>1599</v>
      </c>
      <c r="C948">
        <v>37</v>
      </c>
      <c r="D948">
        <v>6</v>
      </c>
      <c r="E948" t="s">
        <v>888</v>
      </c>
      <c r="F948" t="s">
        <v>889</v>
      </c>
    </row>
    <row r="949" spans="1:6" x14ac:dyDescent="0.25">
      <c r="A949" t="s">
        <v>634</v>
      </c>
      <c r="B949">
        <v>977</v>
      </c>
      <c r="C949">
        <v>244</v>
      </c>
      <c r="D949">
        <v>7</v>
      </c>
      <c r="E949" t="s">
        <v>888</v>
      </c>
      <c r="F949" t="s">
        <v>890</v>
      </c>
    </row>
    <row r="950" spans="1:6" x14ac:dyDescent="0.25">
      <c r="A950" t="s">
        <v>636</v>
      </c>
      <c r="B950">
        <v>100</v>
      </c>
      <c r="C950">
        <v>7</v>
      </c>
      <c r="D950">
        <v>2</v>
      </c>
      <c r="E950" t="s">
        <v>885</v>
      </c>
      <c r="F950" t="s">
        <v>895</v>
      </c>
    </row>
    <row r="951" spans="1:6" x14ac:dyDescent="0.25">
      <c r="A951" t="s">
        <v>638</v>
      </c>
      <c r="B951">
        <v>170</v>
      </c>
      <c r="C951">
        <v>19</v>
      </c>
      <c r="D951">
        <v>5</v>
      </c>
      <c r="E951" t="s">
        <v>885</v>
      </c>
      <c r="F951" t="s">
        <v>895</v>
      </c>
    </row>
    <row r="952" spans="1:6" x14ac:dyDescent="0.25">
      <c r="A952" t="s">
        <v>638</v>
      </c>
      <c r="B952">
        <v>84</v>
      </c>
      <c r="C952">
        <v>-42</v>
      </c>
      <c r="D952">
        <v>2</v>
      </c>
      <c r="E952" t="s">
        <v>888</v>
      </c>
      <c r="F952" t="s">
        <v>900</v>
      </c>
    </row>
    <row r="953" spans="1:6" x14ac:dyDescent="0.25">
      <c r="A953" t="s">
        <v>638</v>
      </c>
      <c r="B953">
        <v>71</v>
      </c>
      <c r="C953">
        <v>-44</v>
      </c>
      <c r="D953">
        <v>5</v>
      </c>
      <c r="E953" t="s">
        <v>888</v>
      </c>
      <c r="F953" t="s">
        <v>900</v>
      </c>
    </row>
    <row r="954" spans="1:6" x14ac:dyDescent="0.25">
      <c r="A954" t="s">
        <v>640</v>
      </c>
      <c r="B954">
        <v>52</v>
      </c>
      <c r="C954">
        <v>18</v>
      </c>
      <c r="D954">
        <v>2</v>
      </c>
      <c r="E954" t="s">
        <v>885</v>
      </c>
      <c r="F954" t="s">
        <v>886</v>
      </c>
    </row>
    <row r="955" spans="1:6" x14ac:dyDescent="0.25">
      <c r="A955" t="s">
        <v>642</v>
      </c>
      <c r="B955">
        <v>226</v>
      </c>
      <c r="C955">
        <v>58</v>
      </c>
      <c r="D955">
        <v>3</v>
      </c>
      <c r="E955" t="s">
        <v>888</v>
      </c>
      <c r="F955" t="s">
        <v>900</v>
      </c>
    </row>
    <row r="956" spans="1:6" x14ac:dyDescent="0.25">
      <c r="A956" t="s">
        <v>642</v>
      </c>
      <c r="B956">
        <v>484</v>
      </c>
      <c r="C956">
        <v>28</v>
      </c>
      <c r="D956">
        <v>3</v>
      </c>
      <c r="E956" t="s">
        <v>888</v>
      </c>
      <c r="F956" t="s">
        <v>899</v>
      </c>
    </row>
    <row r="957" spans="1:6" x14ac:dyDescent="0.25">
      <c r="A957" t="s">
        <v>642</v>
      </c>
      <c r="B957">
        <v>253</v>
      </c>
      <c r="C957">
        <v>-11</v>
      </c>
      <c r="D957">
        <v>1</v>
      </c>
      <c r="E957" t="s">
        <v>885</v>
      </c>
      <c r="F957" t="s">
        <v>892</v>
      </c>
    </row>
    <row r="958" spans="1:6" x14ac:dyDescent="0.25">
      <c r="A958" t="s">
        <v>642</v>
      </c>
      <c r="B958">
        <v>3873</v>
      </c>
      <c r="C958">
        <v>891</v>
      </c>
      <c r="D958">
        <v>6</v>
      </c>
      <c r="E958" t="s">
        <v>888</v>
      </c>
      <c r="F958" t="s">
        <v>890</v>
      </c>
    </row>
    <row r="959" spans="1:6" x14ac:dyDescent="0.25">
      <c r="A959" t="s">
        <v>644</v>
      </c>
      <c r="B959">
        <v>148</v>
      </c>
      <c r="C959">
        <v>54</v>
      </c>
      <c r="D959">
        <v>2</v>
      </c>
      <c r="E959" t="s">
        <v>883</v>
      </c>
      <c r="F959" t="s">
        <v>893</v>
      </c>
    </row>
    <row r="960" spans="1:6" x14ac:dyDescent="0.25">
      <c r="A960" t="s">
        <v>646</v>
      </c>
      <c r="B960">
        <v>27</v>
      </c>
      <c r="C960">
        <v>12</v>
      </c>
      <c r="D960">
        <v>1</v>
      </c>
      <c r="E960" t="s">
        <v>885</v>
      </c>
      <c r="F960" t="s">
        <v>886</v>
      </c>
    </row>
    <row r="961" spans="1:6" x14ac:dyDescent="0.25">
      <c r="A961" t="s">
        <v>646</v>
      </c>
      <c r="B961">
        <v>314</v>
      </c>
      <c r="C961">
        <v>-41</v>
      </c>
      <c r="D961">
        <v>3</v>
      </c>
      <c r="E961" t="s">
        <v>888</v>
      </c>
      <c r="F961" t="s">
        <v>889</v>
      </c>
    </row>
    <row r="962" spans="1:6" x14ac:dyDescent="0.25">
      <c r="A962" t="s">
        <v>646</v>
      </c>
      <c r="B962">
        <v>1228</v>
      </c>
      <c r="C962">
        <v>14</v>
      </c>
      <c r="D962">
        <v>3</v>
      </c>
      <c r="E962" t="s">
        <v>883</v>
      </c>
      <c r="F962" t="s">
        <v>893</v>
      </c>
    </row>
    <row r="963" spans="1:6" x14ac:dyDescent="0.25">
      <c r="A963" t="s">
        <v>647</v>
      </c>
      <c r="B963">
        <v>57</v>
      </c>
      <c r="C963">
        <v>6</v>
      </c>
      <c r="D963">
        <v>5</v>
      </c>
      <c r="E963" t="s">
        <v>885</v>
      </c>
      <c r="F963" t="s">
        <v>897</v>
      </c>
    </row>
    <row r="964" spans="1:6" x14ac:dyDescent="0.25">
      <c r="A964" t="s">
        <v>649</v>
      </c>
      <c r="B964">
        <v>200</v>
      </c>
      <c r="C964">
        <v>7</v>
      </c>
      <c r="D964">
        <v>4</v>
      </c>
      <c r="E964" t="s">
        <v>888</v>
      </c>
      <c r="F964" t="s">
        <v>889</v>
      </c>
    </row>
    <row r="965" spans="1:6" x14ac:dyDescent="0.25">
      <c r="A965" t="s">
        <v>650</v>
      </c>
      <c r="B965">
        <v>25</v>
      </c>
      <c r="C965">
        <v>10</v>
      </c>
      <c r="D965">
        <v>1</v>
      </c>
      <c r="E965" t="s">
        <v>883</v>
      </c>
      <c r="F965" t="s">
        <v>901</v>
      </c>
    </row>
    <row r="966" spans="1:6" x14ac:dyDescent="0.25">
      <c r="A966" t="s">
        <v>650</v>
      </c>
      <c r="B966">
        <v>122</v>
      </c>
      <c r="C966">
        <v>15</v>
      </c>
      <c r="D966">
        <v>3</v>
      </c>
      <c r="E966" t="s">
        <v>888</v>
      </c>
      <c r="F966" t="s">
        <v>900</v>
      </c>
    </row>
    <row r="967" spans="1:6" x14ac:dyDescent="0.25">
      <c r="A967" t="s">
        <v>652</v>
      </c>
      <c r="B967">
        <v>1308</v>
      </c>
      <c r="C967">
        <v>536</v>
      </c>
      <c r="D967">
        <v>3</v>
      </c>
      <c r="E967" t="s">
        <v>883</v>
      </c>
      <c r="F967" t="s">
        <v>884</v>
      </c>
    </row>
    <row r="968" spans="1:6" x14ac:dyDescent="0.25">
      <c r="A968" t="s">
        <v>652</v>
      </c>
      <c r="B968">
        <v>216</v>
      </c>
      <c r="C968">
        <v>-135</v>
      </c>
      <c r="D968">
        <v>3</v>
      </c>
      <c r="E968" t="s">
        <v>883</v>
      </c>
      <c r="F968" t="s">
        <v>893</v>
      </c>
    </row>
    <row r="969" spans="1:6" x14ac:dyDescent="0.25">
      <c r="A969" t="s">
        <v>652</v>
      </c>
      <c r="B969">
        <v>154</v>
      </c>
      <c r="C969">
        <v>-85</v>
      </c>
      <c r="D969">
        <v>3</v>
      </c>
      <c r="E969" t="s">
        <v>883</v>
      </c>
      <c r="F969" t="s">
        <v>893</v>
      </c>
    </row>
    <row r="970" spans="1:6" x14ac:dyDescent="0.25">
      <c r="A970" t="s">
        <v>654</v>
      </c>
      <c r="B970">
        <v>40</v>
      </c>
      <c r="C970">
        <v>13</v>
      </c>
      <c r="D970">
        <v>3</v>
      </c>
      <c r="E970" t="s">
        <v>885</v>
      </c>
      <c r="F970" t="s">
        <v>895</v>
      </c>
    </row>
    <row r="971" spans="1:6" x14ac:dyDescent="0.25">
      <c r="A971" t="s">
        <v>654</v>
      </c>
      <c r="B971">
        <v>351</v>
      </c>
      <c r="C971">
        <v>-94</v>
      </c>
      <c r="D971">
        <v>5</v>
      </c>
      <c r="E971" t="s">
        <v>888</v>
      </c>
      <c r="F971" t="s">
        <v>889</v>
      </c>
    </row>
    <row r="972" spans="1:6" x14ac:dyDescent="0.25">
      <c r="A972" t="s">
        <v>654</v>
      </c>
      <c r="B972">
        <v>595</v>
      </c>
      <c r="C972">
        <v>119</v>
      </c>
      <c r="D972">
        <v>4</v>
      </c>
      <c r="E972" t="s">
        <v>883</v>
      </c>
      <c r="F972" t="s">
        <v>884</v>
      </c>
    </row>
    <row r="973" spans="1:6" x14ac:dyDescent="0.25">
      <c r="A973" t="s">
        <v>654</v>
      </c>
      <c r="B973">
        <v>151</v>
      </c>
      <c r="C973">
        <v>29</v>
      </c>
      <c r="D973">
        <v>5</v>
      </c>
      <c r="E973" t="s">
        <v>885</v>
      </c>
      <c r="F973" t="s">
        <v>887</v>
      </c>
    </row>
    <row r="974" spans="1:6" x14ac:dyDescent="0.25">
      <c r="A974" t="s">
        <v>654</v>
      </c>
      <c r="B974">
        <v>58</v>
      </c>
      <c r="C974">
        <v>17</v>
      </c>
      <c r="D974">
        <v>2</v>
      </c>
      <c r="E974" t="s">
        <v>885</v>
      </c>
      <c r="F974" t="s">
        <v>887</v>
      </c>
    </row>
    <row r="975" spans="1:6" x14ac:dyDescent="0.25">
      <c r="A975" t="s">
        <v>654</v>
      </c>
      <c r="B975">
        <v>202</v>
      </c>
      <c r="C975">
        <v>89</v>
      </c>
      <c r="D975">
        <v>9</v>
      </c>
      <c r="E975" t="s">
        <v>885</v>
      </c>
      <c r="F975" t="s">
        <v>895</v>
      </c>
    </row>
    <row r="976" spans="1:6" x14ac:dyDescent="0.25">
      <c r="A976" t="s">
        <v>656</v>
      </c>
      <c r="B976">
        <v>73</v>
      </c>
      <c r="C976">
        <v>-36</v>
      </c>
      <c r="D976">
        <v>3</v>
      </c>
      <c r="E976" t="s">
        <v>883</v>
      </c>
      <c r="F976" t="s">
        <v>893</v>
      </c>
    </row>
    <row r="977" spans="1:6" x14ac:dyDescent="0.25">
      <c r="A977" t="s">
        <v>658</v>
      </c>
      <c r="B977">
        <v>71</v>
      </c>
      <c r="C977">
        <v>-14</v>
      </c>
      <c r="D977">
        <v>4</v>
      </c>
      <c r="E977" t="s">
        <v>883</v>
      </c>
      <c r="F977" t="s">
        <v>901</v>
      </c>
    </row>
    <row r="978" spans="1:6" x14ac:dyDescent="0.25">
      <c r="A978" t="s">
        <v>660</v>
      </c>
      <c r="B978">
        <v>81</v>
      </c>
      <c r="C978">
        <v>-44</v>
      </c>
      <c r="D978">
        <v>3</v>
      </c>
      <c r="E978" t="s">
        <v>885</v>
      </c>
      <c r="F978" t="s">
        <v>886</v>
      </c>
    </row>
    <row r="979" spans="1:6" x14ac:dyDescent="0.25">
      <c r="A979" t="s">
        <v>660</v>
      </c>
      <c r="B979">
        <v>412</v>
      </c>
      <c r="C979">
        <v>-412</v>
      </c>
      <c r="D979">
        <v>6</v>
      </c>
      <c r="E979" t="s">
        <v>885</v>
      </c>
      <c r="F979" t="s">
        <v>891</v>
      </c>
    </row>
    <row r="980" spans="1:6" x14ac:dyDescent="0.25">
      <c r="A980" t="s">
        <v>660</v>
      </c>
      <c r="B980">
        <v>207</v>
      </c>
      <c r="C980">
        <v>-100</v>
      </c>
      <c r="D980">
        <v>2</v>
      </c>
      <c r="E980" t="s">
        <v>885</v>
      </c>
      <c r="F980" t="s">
        <v>891</v>
      </c>
    </row>
    <row r="981" spans="1:6" x14ac:dyDescent="0.25">
      <c r="A981" t="s">
        <v>662</v>
      </c>
      <c r="B981">
        <v>105</v>
      </c>
      <c r="C981">
        <v>33</v>
      </c>
      <c r="D981">
        <v>6</v>
      </c>
      <c r="E981" t="s">
        <v>885</v>
      </c>
      <c r="F981" t="s">
        <v>891</v>
      </c>
    </row>
    <row r="982" spans="1:6" x14ac:dyDescent="0.25">
      <c r="A982" t="s">
        <v>664</v>
      </c>
      <c r="B982">
        <v>162</v>
      </c>
      <c r="C982">
        <v>20</v>
      </c>
      <c r="D982">
        <v>3</v>
      </c>
      <c r="E982" t="s">
        <v>883</v>
      </c>
      <c r="F982" t="s">
        <v>893</v>
      </c>
    </row>
    <row r="983" spans="1:6" x14ac:dyDescent="0.25">
      <c r="A983" t="s">
        <v>664</v>
      </c>
      <c r="B983">
        <v>150</v>
      </c>
      <c r="C983">
        <v>32</v>
      </c>
      <c r="D983">
        <v>3</v>
      </c>
      <c r="E983" t="s">
        <v>885</v>
      </c>
      <c r="F983" t="s">
        <v>887</v>
      </c>
    </row>
    <row r="984" spans="1:6" x14ac:dyDescent="0.25">
      <c r="A984" t="s">
        <v>664</v>
      </c>
      <c r="B984">
        <v>1657</v>
      </c>
      <c r="C984">
        <v>460</v>
      </c>
      <c r="D984">
        <v>4</v>
      </c>
      <c r="E984" t="s">
        <v>883</v>
      </c>
      <c r="F984" t="s">
        <v>893</v>
      </c>
    </row>
    <row r="985" spans="1:6" x14ac:dyDescent="0.25">
      <c r="A985" t="s">
        <v>666</v>
      </c>
      <c r="B985">
        <v>61</v>
      </c>
      <c r="C985">
        <v>25</v>
      </c>
      <c r="D985">
        <v>4</v>
      </c>
      <c r="E985" t="s">
        <v>885</v>
      </c>
      <c r="F985" t="s">
        <v>891</v>
      </c>
    </row>
    <row r="986" spans="1:6" x14ac:dyDescent="0.25">
      <c r="A986" t="s">
        <v>668</v>
      </c>
      <c r="B986">
        <v>1101</v>
      </c>
      <c r="C986">
        <v>352</v>
      </c>
      <c r="D986">
        <v>3</v>
      </c>
      <c r="E986" t="s">
        <v>883</v>
      </c>
      <c r="F986" t="s">
        <v>884</v>
      </c>
    </row>
    <row r="987" spans="1:6" x14ac:dyDescent="0.25">
      <c r="A987" t="s">
        <v>669</v>
      </c>
      <c r="B987">
        <v>61</v>
      </c>
      <c r="C987">
        <v>1</v>
      </c>
      <c r="D987">
        <v>2</v>
      </c>
      <c r="E987" t="s">
        <v>883</v>
      </c>
      <c r="F987" t="s">
        <v>901</v>
      </c>
    </row>
    <row r="988" spans="1:6" x14ac:dyDescent="0.25">
      <c r="A988" t="s">
        <v>669</v>
      </c>
      <c r="B988">
        <v>59</v>
      </c>
      <c r="C988">
        <v>25</v>
      </c>
      <c r="D988">
        <v>3</v>
      </c>
      <c r="E988" t="s">
        <v>885</v>
      </c>
      <c r="F988" t="s">
        <v>886</v>
      </c>
    </row>
    <row r="989" spans="1:6" x14ac:dyDescent="0.25">
      <c r="A989" t="s">
        <v>670</v>
      </c>
      <c r="B989">
        <v>61</v>
      </c>
      <c r="C989">
        <v>18</v>
      </c>
      <c r="D989">
        <v>2</v>
      </c>
      <c r="E989" t="s">
        <v>888</v>
      </c>
      <c r="F989" t="s">
        <v>900</v>
      </c>
    </row>
    <row r="990" spans="1:6" x14ac:dyDescent="0.25">
      <c r="A990" t="s">
        <v>670</v>
      </c>
      <c r="B990">
        <v>136</v>
      </c>
      <c r="C990">
        <v>41</v>
      </c>
      <c r="D990">
        <v>3</v>
      </c>
      <c r="E990" t="s">
        <v>888</v>
      </c>
      <c r="F990" t="s">
        <v>900</v>
      </c>
    </row>
    <row r="991" spans="1:6" x14ac:dyDescent="0.25">
      <c r="A991" t="s">
        <v>670</v>
      </c>
      <c r="B991">
        <v>469</v>
      </c>
      <c r="C991">
        <v>33</v>
      </c>
      <c r="D991">
        <v>4</v>
      </c>
      <c r="E991" t="s">
        <v>888</v>
      </c>
      <c r="F991" t="s">
        <v>889</v>
      </c>
    </row>
    <row r="992" spans="1:6" x14ac:dyDescent="0.25">
      <c r="A992" t="s">
        <v>672</v>
      </c>
      <c r="B992">
        <v>55</v>
      </c>
      <c r="C992">
        <v>4</v>
      </c>
      <c r="D992">
        <v>2</v>
      </c>
      <c r="E992" t="s">
        <v>885</v>
      </c>
      <c r="F992" t="s">
        <v>886</v>
      </c>
    </row>
    <row r="993" spans="1:6" x14ac:dyDescent="0.25">
      <c r="A993" t="s">
        <v>672</v>
      </c>
      <c r="B993">
        <v>13</v>
      </c>
      <c r="C993">
        <v>3</v>
      </c>
      <c r="D993">
        <v>2</v>
      </c>
      <c r="E993" t="s">
        <v>885</v>
      </c>
      <c r="F993" t="s">
        <v>887</v>
      </c>
    </row>
    <row r="994" spans="1:6" x14ac:dyDescent="0.25">
      <c r="A994" t="s">
        <v>672</v>
      </c>
      <c r="B994">
        <v>46</v>
      </c>
      <c r="C994">
        <v>0</v>
      </c>
      <c r="D994">
        <v>4</v>
      </c>
      <c r="E994" t="s">
        <v>885</v>
      </c>
      <c r="F994" t="s">
        <v>897</v>
      </c>
    </row>
    <row r="995" spans="1:6" x14ac:dyDescent="0.25">
      <c r="A995" t="s">
        <v>674</v>
      </c>
      <c r="B995">
        <v>177</v>
      </c>
      <c r="C995">
        <v>41</v>
      </c>
      <c r="D995">
        <v>4</v>
      </c>
      <c r="E995" t="s">
        <v>885</v>
      </c>
      <c r="F995" t="s">
        <v>896</v>
      </c>
    </row>
    <row r="996" spans="1:6" x14ac:dyDescent="0.25">
      <c r="A996" t="s">
        <v>676</v>
      </c>
      <c r="B996">
        <v>646</v>
      </c>
      <c r="C996">
        <v>-23</v>
      </c>
      <c r="D996">
        <v>2</v>
      </c>
      <c r="E996" t="s">
        <v>888</v>
      </c>
      <c r="F996" t="s">
        <v>899</v>
      </c>
    </row>
    <row r="997" spans="1:6" x14ac:dyDescent="0.25">
      <c r="A997" t="s">
        <v>677</v>
      </c>
      <c r="B997">
        <v>48</v>
      </c>
      <c r="C997">
        <v>20</v>
      </c>
      <c r="D997">
        <v>4</v>
      </c>
      <c r="E997" t="s">
        <v>885</v>
      </c>
      <c r="F997" t="s">
        <v>886</v>
      </c>
    </row>
    <row r="998" spans="1:6" x14ac:dyDescent="0.25">
      <c r="A998" t="s">
        <v>677</v>
      </c>
      <c r="B998">
        <v>26</v>
      </c>
      <c r="C998">
        <v>7</v>
      </c>
      <c r="D998">
        <v>4</v>
      </c>
      <c r="E998" t="s">
        <v>885</v>
      </c>
      <c r="F998" t="s">
        <v>887</v>
      </c>
    </row>
    <row r="999" spans="1:6" x14ac:dyDescent="0.25">
      <c r="A999" t="s">
        <v>677</v>
      </c>
      <c r="B999">
        <v>149</v>
      </c>
      <c r="C999">
        <v>15</v>
      </c>
      <c r="D999">
        <v>3</v>
      </c>
      <c r="E999" t="s">
        <v>885</v>
      </c>
      <c r="F999" t="s">
        <v>891</v>
      </c>
    </row>
    <row r="1000" spans="1:6" x14ac:dyDescent="0.25">
      <c r="A1000" t="s">
        <v>677</v>
      </c>
      <c r="B1000">
        <v>1547</v>
      </c>
      <c r="C1000">
        <v>340</v>
      </c>
      <c r="D1000">
        <v>6</v>
      </c>
      <c r="E1000" t="s">
        <v>888</v>
      </c>
      <c r="F1000" t="s">
        <v>900</v>
      </c>
    </row>
    <row r="1001" spans="1:6" x14ac:dyDescent="0.25">
      <c r="A1001" t="s">
        <v>677</v>
      </c>
      <c r="B1001">
        <v>137</v>
      </c>
      <c r="C1001">
        <v>38</v>
      </c>
      <c r="D1001">
        <v>5</v>
      </c>
      <c r="E1001" t="s">
        <v>885</v>
      </c>
      <c r="F1001" t="s">
        <v>887</v>
      </c>
    </row>
    <row r="1002" spans="1:6" x14ac:dyDescent="0.25">
      <c r="A1002" t="s">
        <v>679</v>
      </c>
      <c r="B1002">
        <v>169</v>
      </c>
      <c r="C1002">
        <v>38</v>
      </c>
      <c r="D1002">
        <v>3</v>
      </c>
      <c r="E1002" t="s">
        <v>885</v>
      </c>
      <c r="F1002" t="s">
        <v>891</v>
      </c>
    </row>
    <row r="1003" spans="1:6" x14ac:dyDescent="0.25">
      <c r="A1003" t="s">
        <v>681</v>
      </c>
      <c r="B1003">
        <v>245</v>
      </c>
      <c r="C1003">
        <v>10</v>
      </c>
      <c r="D1003">
        <v>2</v>
      </c>
      <c r="E1003" t="s">
        <v>883</v>
      </c>
      <c r="F1003" t="s">
        <v>884</v>
      </c>
    </row>
    <row r="1004" spans="1:6" x14ac:dyDescent="0.25">
      <c r="A1004" t="s">
        <v>681</v>
      </c>
      <c r="B1004">
        <v>60</v>
      </c>
      <c r="C1004">
        <v>3</v>
      </c>
      <c r="D1004">
        <v>3</v>
      </c>
      <c r="E1004" t="s">
        <v>885</v>
      </c>
      <c r="F1004" t="s">
        <v>891</v>
      </c>
    </row>
    <row r="1005" spans="1:6" x14ac:dyDescent="0.25">
      <c r="A1005" t="s">
        <v>681</v>
      </c>
      <c r="B1005">
        <v>63</v>
      </c>
      <c r="C1005">
        <v>14</v>
      </c>
      <c r="D1005">
        <v>2</v>
      </c>
      <c r="E1005" t="s">
        <v>885</v>
      </c>
      <c r="F1005" t="s">
        <v>896</v>
      </c>
    </row>
    <row r="1006" spans="1:6" x14ac:dyDescent="0.25">
      <c r="A1006" t="s">
        <v>681</v>
      </c>
      <c r="B1006">
        <v>765</v>
      </c>
      <c r="C1006">
        <v>-36</v>
      </c>
      <c r="D1006">
        <v>3</v>
      </c>
      <c r="E1006" t="s">
        <v>888</v>
      </c>
      <c r="F1006" t="s">
        <v>889</v>
      </c>
    </row>
    <row r="1007" spans="1:6" x14ac:dyDescent="0.25">
      <c r="A1007" t="s">
        <v>683</v>
      </c>
      <c r="B1007">
        <v>146</v>
      </c>
      <c r="C1007">
        <v>7</v>
      </c>
      <c r="D1007">
        <v>2</v>
      </c>
      <c r="E1007" t="s">
        <v>888</v>
      </c>
      <c r="F1007" t="s">
        <v>890</v>
      </c>
    </row>
    <row r="1008" spans="1:6" x14ac:dyDescent="0.25">
      <c r="A1008" t="s">
        <v>684</v>
      </c>
      <c r="B1008">
        <v>290</v>
      </c>
      <c r="C1008">
        <v>35</v>
      </c>
      <c r="D1008">
        <v>6</v>
      </c>
      <c r="E1008" t="s">
        <v>885</v>
      </c>
      <c r="F1008" t="s">
        <v>887</v>
      </c>
    </row>
    <row r="1009" spans="1:6" x14ac:dyDescent="0.25">
      <c r="A1009" t="s">
        <v>684</v>
      </c>
      <c r="B1009">
        <v>207</v>
      </c>
      <c r="C1009">
        <v>33</v>
      </c>
      <c r="D1009">
        <v>2</v>
      </c>
      <c r="E1009" t="s">
        <v>888</v>
      </c>
      <c r="F1009" t="s">
        <v>900</v>
      </c>
    </row>
    <row r="1010" spans="1:6" x14ac:dyDescent="0.25">
      <c r="A1010" t="s">
        <v>686</v>
      </c>
      <c r="B1010">
        <v>152</v>
      </c>
      <c r="C1010">
        <v>23</v>
      </c>
      <c r="D1010">
        <v>3</v>
      </c>
      <c r="E1010" t="s">
        <v>883</v>
      </c>
      <c r="F1010" t="s">
        <v>901</v>
      </c>
    </row>
    <row r="1011" spans="1:6" x14ac:dyDescent="0.25">
      <c r="A1011" t="s">
        <v>688</v>
      </c>
      <c r="B1011">
        <v>24</v>
      </c>
      <c r="C1011">
        <v>11</v>
      </c>
      <c r="D1011">
        <v>3</v>
      </c>
      <c r="E1011" t="s">
        <v>885</v>
      </c>
      <c r="F1011" t="s">
        <v>887</v>
      </c>
    </row>
    <row r="1012" spans="1:6" x14ac:dyDescent="0.25">
      <c r="A1012" t="s">
        <v>688</v>
      </c>
      <c r="B1012">
        <v>140</v>
      </c>
      <c r="C1012">
        <v>57</v>
      </c>
      <c r="D1012">
        <v>2</v>
      </c>
      <c r="E1012" t="s">
        <v>885</v>
      </c>
      <c r="F1012" t="s">
        <v>892</v>
      </c>
    </row>
    <row r="1013" spans="1:6" x14ac:dyDescent="0.25">
      <c r="A1013" t="s">
        <v>688</v>
      </c>
      <c r="B1013">
        <v>151</v>
      </c>
      <c r="C1013">
        <v>9</v>
      </c>
      <c r="D1013">
        <v>3</v>
      </c>
      <c r="E1013" t="s">
        <v>885</v>
      </c>
      <c r="F1013" t="s">
        <v>887</v>
      </c>
    </row>
    <row r="1014" spans="1:6" x14ac:dyDescent="0.25">
      <c r="A1014" t="s">
        <v>690</v>
      </c>
      <c r="B1014">
        <v>13</v>
      </c>
      <c r="C1014">
        <v>4</v>
      </c>
      <c r="D1014">
        <v>1</v>
      </c>
      <c r="E1014" t="s">
        <v>885</v>
      </c>
      <c r="F1014" t="s">
        <v>897</v>
      </c>
    </row>
    <row r="1015" spans="1:6" x14ac:dyDescent="0.25">
      <c r="A1015" t="s">
        <v>690</v>
      </c>
      <c r="B1015">
        <v>54</v>
      </c>
      <c r="C1015">
        <v>27</v>
      </c>
      <c r="D1015">
        <v>2</v>
      </c>
      <c r="E1015" t="s">
        <v>885</v>
      </c>
      <c r="F1015" t="s">
        <v>886</v>
      </c>
    </row>
    <row r="1016" spans="1:6" x14ac:dyDescent="0.25">
      <c r="A1016" t="s">
        <v>690</v>
      </c>
      <c r="B1016">
        <v>644</v>
      </c>
      <c r="C1016">
        <v>167</v>
      </c>
      <c r="D1016">
        <v>2</v>
      </c>
      <c r="E1016" t="s">
        <v>888</v>
      </c>
      <c r="F1016" t="s">
        <v>899</v>
      </c>
    </row>
    <row r="1017" spans="1:6" x14ac:dyDescent="0.25">
      <c r="A1017" t="s">
        <v>690</v>
      </c>
      <c r="B1017">
        <v>261</v>
      </c>
      <c r="C1017">
        <v>13</v>
      </c>
      <c r="D1017">
        <v>6</v>
      </c>
      <c r="E1017" t="s">
        <v>885</v>
      </c>
      <c r="F1017" t="s">
        <v>896</v>
      </c>
    </row>
    <row r="1018" spans="1:6" x14ac:dyDescent="0.25">
      <c r="A1018" t="s">
        <v>690</v>
      </c>
      <c r="B1018">
        <v>1622</v>
      </c>
      <c r="C1018">
        <v>95</v>
      </c>
      <c r="D1018">
        <v>5</v>
      </c>
      <c r="E1018" t="s">
        <v>888</v>
      </c>
      <c r="F1018" t="s">
        <v>899</v>
      </c>
    </row>
    <row r="1019" spans="1:6" x14ac:dyDescent="0.25">
      <c r="A1019" t="s">
        <v>690</v>
      </c>
      <c r="B1019">
        <v>190</v>
      </c>
      <c r="C1019">
        <v>19</v>
      </c>
      <c r="D1019">
        <v>9</v>
      </c>
      <c r="E1019" t="s">
        <v>883</v>
      </c>
      <c r="F1019" t="s">
        <v>901</v>
      </c>
    </row>
    <row r="1020" spans="1:6" x14ac:dyDescent="0.25">
      <c r="A1020" t="s">
        <v>690</v>
      </c>
      <c r="B1020">
        <v>158</v>
      </c>
      <c r="C1020">
        <v>-29</v>
      </c>
      <c r="D1020">
        <v>10</v>
      </c>
      <c r="E1020" t="s">
        <v>885</v>
      </c>
      <c r="F1020" t="s">
        <v>887</v>
      </c>
    </row>
    <row r="1021" spans="1:6" x14ac:dyDescent="0.25">
      <c r="A1021" t="s">
        <v>690</v>
      </c>
      <c r="B1021">
        <v>136</v>
      </c>
      <c r="C1021">
        <v>-33</v>
      </c>
      <c r="D1021">
        <v>5</v>
      </c>
      <c r="E1021" t="s">
        <v>885</v>
      </c>
      <c r="F1021" t="s">
        <v>891</v>
      </c>
    </row>
    <row r="1022" spans="1:6" x14ac:dyDescent="0.25">
      <c r="A1022" t="s">
        <v>690</v>
      </c>
      <c r="B1022">
        <v>133</v>
      </c>
      <c r="C1022">
        <v>5</v>
      </c>
      <c r="D1022">
        <v>5</v>
      </c>
      <c r="E1022" t="s">
        <v>885</v>
      </c>
      <c r="F1022" t="s">
        <v>886</v>
      </c>
    </row>
    <row r="1023" spans="1:6" x14ac:dyDescent="0.25">
      <c r="A1023" t="s">
        <v>691</v>
      </c>
      <c r="B1023">
        <v>102</v>
      </c>
      <c r="C1023">
        <v>13</v>
      </c>
      <c r="D1023">
        <v>2</v>
      </c>
      <c r="E1023" t="s">
        <v>885</v>
      </c>
      <c r="F1023" t="s">
        <v>886</v>
      </c>
    </row>
    <row r="1024" spans="1:6" x14ac:dyDescent="0.25">
      <c r="A1024" t="s">
        <v>691</v>
      </c>
      <c r="B1024">
        <v>50</v>
      </c>
      <c r="C1024">
        <v>14</v>
      </c>
      <c r="D1024">
        <v>1</v>
      </c>
      <c r="E1024" t="s">
        <v>888</v>
      </c>
      <c r="F1024" t="s">
        <v>889</v>
      </c>
    </row>
    <row r="1025" spans="1:6" x14ac:dyDescent="0.25">
      <c r="A1025" t="s">
        <v>691</v>
      </c>
      <c r="B1025">
        <v>111</v>
      </c>
      <c r="C1025">
        <v>11</v>
      </c>
      <c r="D1025">
        <v>9</v>
      </c>
      <c r="E1025" t="s">
        <v>885</v>
      </c>
      <c r="F1025" t="s">
        <v>887</v>
      </c>
    </row>
    <row r="1026" spans="1:6" x14ac:dyDescent="0.25">
      <c r="A1026" t="s">
        <v>691</v>
      </c>
      <c r="B1026">
        <v>120</v>
      </c>
      <c r="C1026">
        <v>23</v>
      </c>
      <c r="D1026">
        <v>5</v>
      </c>
      <c r="E1026" t="s">
        <v>885</v>
      </c>
      <c r="F1026" t="s">
        <v>886</v>
      </c>
    </row>
    <row r="1027" spans="1:6" x14ac:dyDescent="0.25">
      <c r="A1027" t="s">
        <v>691</v>
      </c>
      <c r="B1027">
        <v>40</v>
      </c>
      <c r="C1027">
        <v>18</v>
      </c>
      <c r="D1027">
        <v>1</v>
      </c>
      <c r="E1027" t="s">
        <v>888</v>
      </c>
      <c r="F1027" t="s">
        <v>900</v>
      </c>
    </row>
    <row r="1028" spans="1:6" x14ac:dyDescent="0.25">
      <c r="A1028" t="s">
        <v>691</v>
      </c>
      <c r="B1028">
        <v>250</v>
      </c>
      <c r="C1028">
        <v>100</v>
      </c>
      <c r="D1028">
        <v>3</v>
      </c>
      <c r="E1028" t="s">
        <v>885</v>
      </c>
      <c r="F1028" t="s">
        <v>892</v>
      </c>
    </row>
    <row r="1029" spans="1:6" x14ac:dyDescent="0.25">
      <c r="A1029" t="s">
        <v>691</v>
      </c>
      <c r="B1029">
        <v>89</v>
      </c>
      <c r="C1029">
        <v>29</v>
      </c>
      <c r="D1029">
        <v>2</v>
      </c>
      <c r="E1029" t="s">
        <v>885</v>
      </c>
      <c r="F1029" t="s">
        <v>886</v>
      </c>
    </row>
    <row r="1030" spans="1:6" x14ac:dyDescent="0.25">
      <c r="A1030" t="s">
        <v>691</v>
      </c>
      <c r="B1030">
        <v>30</v>
      </c>
      <c r="C1030">
        <v>5</v>
      </c>
      <c r="D1030">
        <v>2</v>
      </c>
      <c r="E1030" t="s">
        <v>885</v>
      </c>
      <c r="F1030" t="s">
        <v>894</v>
      </c>
    </row>
    <row r="1031" spans="1:6" x14ac:dyDescent="0.25">
      <c r="A1031" t="s">
        <v>691</v>
      </c>
      <c r="B1031">
        <v>248</v>
      </c>
      <c r="C1031">
        <v>105</v>
      </c>
      <c r="D1031">
        <v>2</v>
      </c>
      <c r="E1031" t="s">
        <v>888</v>
      </c>
      <c r="F1031" t="s">
        <v>890</v>
      </c>
    </row>
    <row r="1032" spans="1:6" x14ac:dyDescent="0.25">
      <c r="A1032" t="s">
        <v>691</v>
      </c>
      <c r="B1032">
        <v>742</v>
      </c>
      <c r="C1032">
        <v>198</v>
      </c>
      <c r="D1032">
        <v>2</v>
      </c>
      <c r="E1032" t="s">
        <v>883</v>
      </c>
      <c r="F1032" t="s">
        <v>884</v>
      </c>
    </row>
    <row r="1033" spans="1:6" x14ac:dyDescent="0.25">
      <c r="A1033" t="s">
        <v>693</v>
      </c>
      <c r="B1033">
        <v>14</v>
      </c>
      <c r="C1033">
        <v>0</v>
      </c>
      <c r="D1033">
        <v>4</v>
      </c>
      <c r="E1033" t="s">
        <v>885</v>
      </c>
      <c r="F1033" t="s">
        <v>887</v>
      </c>
    </row>
    <row r="1034" spans="1:6" x14ac:dyDescent="0.25">
      <c r="A1034" t="s">
        <v>693</v>
      </c>
      <c r="B1034">
        <v>87</v>
      </c>
      <c r="C1034">
        <v>32</v>
      </c>
      <c r="D1034">
        <v>9</v>
      </c>
      <c r="E1034" t="s">
        <v>885</v>
      </c>
      <c r="F1034" t="s">
        <v>902</v>
      </c>
    </row>
    <row r="1035" spans="1:6" x14ac:dyDescent="0.25">
      <c r="A1035" t="s">
        <v>693</v>
      </c>
      <c r="B1035">
        <v>935</v>
      </c>
      <c r="C1035">
        <v>114</v>
      </c>
      <c r="D1035">
        <v>4</v>
      </c>
      <c r="E1035" t="s">
        <v>888</v>
      </c>
      <c r="F1035" t="s">
        <v>889</v>
      </c>
    </row>
    <row r="1036" spans="1:6" x14ac:dyDescent="0.25">
      <c r="A1036" t="s">
        <v>693</v>
      </c>
      <c r="B1036">
        <v>173</v>
      </c>
      <c r="C1036">
        <v>69</v>
      </c>
      <c r="D1036">
        <v>3</v>
      </c>
      <c r="E1036" t="s">
        <v>883</v>
      </c>
      <c r="F1036" t="s">
        <v>893</v>
      </c>
    </row>
    <row r="1037" spans="1:6" x14ac:dyDescent="0.25">
      <c r="A1037" t="s">
        <v>693</v>
      </c>
      <c r="B1037">
        <v>352</v>
      </c>
      <c r="C1037">
        <v>18</v>
      </c>
      <c r="D1037">
        <v>5</v>
      </c>
      <c r="E1037" t="s">
        <v>885</v>
      </c>
      <c r="F1037" t="s">
        <v>892</v>
      </c>
    </row>
    <row r="1038" spans="1:6" x14ac:dyDescent="0.25">
      <c r="A1038" t="s">
        <v>693</v>
      </c>
      <c r="B1038">
        <v>147</v>
      </c>
      <c r="C1038">
        <v>48</v>
      </c>
      <c r="D1038">
        <v>3</v>
      </c>
      <c r="E1038" t="s">
        <v>885</v>
      </c>
      <c r="F1038" t="s">
        <v>891</v>
      </c>
    </row>
    <row r="1039" spans="1:6" x14ac:dyDescent="0.25">
      <c r="A1039" t="s">
        <v>693</v>
      </c>
      <c r="B1039">
        <v>44</v>
      </c>
      <c r="C1039">
        <v>14</v>
      </c>
      <c r="D1039">
        <v>3</v>
      </c>
      <c r="E1039" t="s">
        <v>885</v>
      </c>
      <c r="F1039" t="s">
        <v>887</v>
      </c>
    </row>
    <row r="1040" spans="1:6" x14ac:dyDescent="0.25">
      <c r="A1040" t="s">
        <v>694</v>
      </c>
      <c r="B1040">
        <v>22</v>
      </c>
      <c r="C1040">
        <v>-8</v>
      </c>
      <c r="D1040">
        <v>4</v>
      </c>
      <c r="E1040" t="s">
        <v>885</v>
      </c>
      <c r="F1040" t="s">
        <v>887</v>
      </c>
    </row>
    <row r="1041" spans="1:6" x14ac:dyDescent="0.25">
      <c r="A1041" t="s">
        <v>694</v>
      </c>
      <c r="B1041">
        <v>188</v>
      </c>
      <c r="C1041">
        <v>-193</v>
      </c>
      <c r="D1041">
        <v>2</v>
      </c>
      <c r="E1041" t="s">
        <v>888</v>
      </c>
      <c r="F1041" t="s">
        <v>889</v>
      </c>
    </row>
    <row r="1042" spans="1:6" x14ac:dyDescent="0.25">
      <c r="A1042" t="s">
        <v>694</v>
      </c>
      <c r="B1042">
        <v>81</v>
      </c>
      <c r="C1042">
        <v>41</v>
      </c>
      <c r="D1042">
        <v>3</v>
      </c>
      <c r="E1042" t="s">
        <v>885</v>
      </c>
      <c r="F1042" t="s">
        <v>886</v>
      </c>
    </row>
    <row r="1043" spans="1:6" x14ac:dyDescent="0.25">
      <c r="A1043" t="s">
        <v>694</v>
      </c>
      <c r="B1043">
        <v>44</v>
      </c>
      <c r="C1043">
        <v>2</v>
      </c>
      <c r="D1043">
        <v>3</v>
      </c>
      <c r="E1043" t="s">
        <v>885</v>
      </c>
      <c r="F1043" t="s">
        <v>887</v>
      </c>
    </row>
    <row r="1044" spans="1:6" x14ac:dyDescent="0.25">
      <c r="A1044" t="s">
        <v>694</v>
      </c>
      <c r="B1044">
        <v>116</v>
      </c>
      <c r="C1044">
        <v>22</v>
      </c>
      <c r="D1044">
        <v>1</v>
      </c>
      <c r="E1044" t="s">
        <v>888</v>
      </c>
      <c r="F1044" t="s">
        <v>900</v>
      </c>
    </row>
    <row r="1045" spans="1:6" x14ac:dyDescent="0.25">
      <c r="A1045" t="s">
        <v>694</v>
      </c>
      <c r="B1045">
        <v>67</v>
      </c>
      <c r="C1045">
        <v>20</v>
      </c>
      <c r="D1045">
        <v>4</v>
      </c>
      <c r="E1045" t="s">
        <v>885</v>
      </c>
      <c r="F1045" t="s">
        <v>895</v>
      </c>
    </row>
    <row r="1046" spans="1:6" x14ac:dyDescent="0.25">
      <c r="A1046" t="s">
        <v>694</v>
      </c>
      <c r="B1046">
        <v>744</v>
      </c>
      <c r="C1046">
        <v>119</v>
      </c>
      <c r="D1046">
        <v>6</v>
      </c>
      <c r="E1046" t="s">
        <v>888</v>
      </c>
      <c r="F1046" t="s">
        <v>899</v>
      </c>
    </row>
    <row r="1047" spans="1:6" x14ac:dyDescent="0.25">
      <c r="A1047" t="s">
        <v>694</v>
      </c>
      <c r="B1047">
        <v>1218</v>
      </c>
      <c r="C1047">
        <v>352</v>
      </c>
      <c r="D1047">
        <v>9</v>
      </c>
      <c r="E1047" t="s">
        <v>883</v>
      </c>
      <c r="F1047" t="s">
        <v>884</v>
      </c>
    </row>
    <row r="1048" spans="1:6" x14ac:dyDescent="0.25">
      <c r="A1048" t="s">
        <v>694</v>
      </c>
      <c r="B1048">
        <v>87</v>
      </c>
      <c r="C1048">
        <v>36</v>
      </c>
      <c r="D1048">
        <v>5</v>
      </c>
      <c r="E1048" t="s">
        <v>885</v>
      </c>
      <c r="F1048" t="s">
        <v>886</v>
      </c>
    </row>
    <row r="1049" spans="1:6" x14ac:dyDescent="0.25">
      <c r="A1049" t="s">
        <v>695</v>
      </c>
      <c r="B1049">
        <v>891</v>
      </c>
      <c r="C1049">
        <v>0</v>
      </c>
      <c r="D1049">
        <v>5</v>
      </c>
      <c r="E1049" t="s">
        <v>885</v>
      </c>
      <c r="F1049" t="s">
        <v>891</v>
      </c>
    </row>
    <row r="1050" spans="1:6" x14ac:dyDescent="0.25">
      <c r="A1050" t="s">
        <v>695</v>
      </c>
      <c r="B1050">
        <v>146</v>
      </c>
      <c r="C1050">
        <v>66</v>
      </c>
      <c r="D1050">
        <v>1</v>
      </c>
      <c r="E1050" t="s">
        <v>888</v>
      </c>
      <c r="F1050" t="s">
        <v>890</v>
      </c>
    </row>
    <row r="1051" spans="1:6" x14ac:dyDescent="0.25">
      <c r="A1051" t="s">
        <v>695</v>
      </c>
      <c r="B1051">
        <v>44</v>
      </c>
      <c r="C1051">
        <v>10</v>
      </c>
      <c r="D1051">
        <v>3</v>
      </c>
      <c r="E1051" t="s">
        <v>885</v>
      </c>
      <c r="F1051" t="s">
        <v>886</v>
      </c>
    </row>
    <row r="1052" spans="1:6" x14ac:dyDescent="0.25">
      <c r="A1052" t="s">
        <v>695</v>
      </c>
      <c r="B1052">
        <v>27</v>
      </c>
      <c r="C1052">
        <v>0</v>
      </c>
      <c r="D1052">
        <v>2</v>
      </c>
      <c r="E1052" t="s">
        <v>885</v>
      </c>
      <c r="F1052" t="s">
        <v>897</v>
      </c>
    </row>
    <row r="1053" spans="1:6" x14ac:dyDescent="0.25">
      <c r="A1053" t="s">
        <v>695</v>
      </c>
      <c r="B1053">
        <v>48</v>
      </c>
      <c r="C1053">
        <v>11</v>
      </c>
      <c r="D1053">
        <v>2</v>
      </c>
      <c r="E1053" t="s">
        <v>885</v>
      </c>
      <c r="F1053" t="s">
        <v>896</v>
      </c>
    </row>
    <row r="1054" spans="1:6" x14ac:dyDescent="0.25">
      <c r="A1054" t="s">
        <v>695</v>
      </c>
      <c r="B1054">
        <v>189</v>
      </c>
      <c r="C1054">
        <v>60</v>
      </c>
      <c r="D1054">
        <v>4</v>
      </c>
      <c r="E1054" t="s">
        <v>883</v>
      </c>
      <c r="F1054" t="s">
        <v>901</v>
      </c>
    </row>
    <row r="1055" spans="1:6" x14ac:dyDescent="0.25">
      <c r="A1055" t="s">
        <v>695</v>
      </c>
      <c r="B1055">
        <v>524</v>
      </c>
      <c r="C1055">
        <v>-25</v>
      </c>
      <c r="D1055">
        <v>2</v>
      </c>
      <c r="E1055" t="s">
        <v>888</v>
      </c>
      <c r="F1055" t="s">
        <v>889</v>
      </c>
    </row>
    <row r="1056" spans="1:6" x14ac:dyDescent="0.25">
      <c r="A1056" t="s">
        <v>695</v>
      </c>
      <c r="B1056">
        <v>148</v>
      </c>
      <c r="C1056">
        <v>9</v>
      </c>
      <c r="D1056">
        <v>1</v>
      </c>
      <c r="E1056" t="s">
        <v>888</v>
      </c>
      <c r="F1056" t="s">
        <v>889</v>
      </c>
    </row>
    <row r="1057" spans="1:6" x14ac:dyDescent="0.25">
      <c r="A1057" t="s">
        <v>697</v>
      </c>
      <c r="B1057">
        <v>1716</v>
      </c>
      <c r="C1057">
        <v>309</v>
      </c>
      <c r="D1057">
        <v>7</v>
      </c>
      <c r="E1057" t="s">
        <v>888</v>
      </c>
      <c r="F1057" t="s">
        <v>900</v>
      </c>
    </row>
    <row r="1058" spans="1:6" x14ac:dyDescent="0.25">
      <c r="A1058" t="s">
        <v>697</v>
      </c>
      <c r="B1058">
        <v>45</v>
      </c>
      <c r="C1058">
        <v>8</v>
      </c>
      <c r="D1058">
        <v>4</v>
      </c>
      <c r="E1058" t="s">
        <v>885</v>
      </c>
      <c r="F1058" t="s">
        <v>902</v>
      </c>
    </row>
    <row r="1059" spans="1:6" x14ac:dyDescent="0.25">
      <c r="A1059" t="s">
        <v>697</v>
      </c>
      <c r="B1059">
        <v>39</v>
      </c>
      <c r="C1059">
        <v>2</v>
      </c>
      <c r="D1059">
        <v>2</v>
      </c>
      <c r="E1059" t="s">
        <v>885</v>
      </c>
      <c r="F1059" t="s">
        <v>891</v>
      </c>
    </row>
    <row r="1060" spans="1:6" x14ac:dyDescent="0.25">
      <c r="A1060" t="s">
        <v>697</v>
      </c>
      <c r="B1060">
        <v>110</v>
      </c>
      <c r="C1060">
        <v>20</v>
      </c>
      <c r="D1060">
        <v>5</v>
      </c>
      <c r="E1060" t="s">
        <v>885</v>
      </c>
      <c r="F1060" t="s">
        <v>886</v>
      </c>
    </row>
    <row r="1061" spans="1:6" x14ac:dyDescent="0.25">
      <c r="A1061" t="s">
        <v>697</v>
      </c>
      <c r="B1061">
        <v>54</v>
      </c>
      <c r="C1061">
        <v>14</v>
      </c>
      <c r="D1061">
        <v>3</v>
      </c>
      <c r="E1061" t="s">
        <v>885</v>
      </c>
      <c r="F1061" t="s">
        <v>895</v>
      </c>
    </row>
    <row r="1062" spans="1:6" x14ac:dyDescent="0.25">
      <c r="A1062" t="s">
        <v>697</v>
      </c>
      <c r="B1062">
        <v>954</v>
      </c>
      <c r="C1062">
        <v>95</v>
      </c>
      <c r="D1062">
        <v>3</v>
      </c>
      <c r="E1062" t="s">
        <v>888</v>
      </c>
      <c r="F1062" t="s">
        <v>899</v>
      </c>
    </row>
    <row r="1063" spans="1:6" x14ac:dyDescent="0.25">
      <c r="A1063" t="s">
        <v>697</v>
      </c>
      <c r="B1063">
        <v>2927</v>
      </c>
      <c r="C1063">
        <v>146</v>
      </c>
      <c r="D1063">
        <v>8</v>
      </c>
      <c r="E1063" t="s">
        <v>883</v>
      </c>
      <c r="F1063" t="s">
        <v>884</v>
      </c>
    </row>
    <row r="1064" spans="1:6" x14ac:dyDescent="0.25">
      <c r="A1064" t="s">
        <v>697</v>
      </c>
      <c r="B1064">
        <v>294</v>
      </c>
      <c r="C1064">
        <v>62</v>
      </c>
      <c r="D1064">
        <v>9</v>
      </c>
      <c r="E1064" t="s">
        <v>885</v>
      </c>
      <c r="F1064" t="s">
        <v>895</v>
      </c>
    </row>
    <row r="1065" spans="1:6" x14ac:dyDescent="0.25">
      <c r="A1065" t="s">
        <v>697</v>
      </c>
      <c r="B1065">
        <v>200</v>
      </c>
      <c r="C1065">
        <v>13</v>
      </c>
      <c r="D1065">
        <v>5</v>
      </c>
      <c r="E1065" t="s">
        <v>888</v>
      </c>
      <c r="F1065" t="s">
        <v>890</v>
      </c>
    </row>
    <row r="1066" spans="1:6" x14ac:dyDescent="0.25">
      <c r="A1066" t="s">
        <v>698</v>
      </c>
      <c r="B1066">
        <v>89</v>
      </c>
      <c r="C1066">
        <v>-37</v>
      </c>
      <c r="D1066">
        <v>4</v>
      </c>
      <c r="E1066" t="s">
        <v>885</v>
      </c>
      <c r="F1066" t="s">
        <v>896</v>
      </c>
    </row>
    <row r="1067" spans="1:6" x14ac:dyDescent="0.25">
      <c r="A1067" t="s">
        <v>698</v>
      </c>
      <c r="B1067">
        <v>59</v>
      </c>
      <c r="C1067">
        <v>10</v>
      </c>
      <c r="D1067">
        <v>2</v>
      </c>
      <c r="E1067" t="s">
        <v>885</v>
      </c>
      <c r="F1067" t="s">
        <v>887</v>
      </c>
    </row>
    <row r="1068" spans="1:6" x14ac:dyDescent="0.25">
      <c r="A1068" t="s">
        <v>698</v>
      </c>
      <c r="B1068">
        <v>33</v>
      </c>
      <c r="C1068">
        <v>10</v>
      </c>
      <c r="D1068">
        <v>3</v>
      </c>
      <c r="E1068" t="s">
        <v>885</v>
      </c>
      <c r="F1068" t="s">
        <v>887</v>
      </c>
    </row>
    <row r="1069" spans="1:6" x14ac:dyDescent="0.25">
      <c r="A1069" t="s">
        <v>698</v>
      </c>
      <c r="B1069">
        <v>474</v>
      </c>
      <c r="C1069">
        <v>56</v>
      </c>
      <c r="D1069">
        <v>4</v>
      </c>
      <c r="E1069" t="s">
        <v>888</v>
      </c>
      <c r="F1069" t="s">
        <v>890</v>
      </c>
    </row>
    <row r="1070" spans="1:6" x14ac:dyDescent="0.25">
      <c r="A1070" t="s">
        <v>698</v>
      </c>
      <c r="B1070">
        <v>140</v>
      </c>
      <c r="C1070">
        <v>28</v>
      </c>
      <c r="D1070">
        <v>2</v>
      </c>
      <c r="E1070" t="s">
        <v>888</v>
      </c>
      <c r="F1070" t="s">
        <v>890</v>
      </c>
    </row>
    <row r="1071" spans="1:6" x14ac:dyDescent="0.25">
      <c r="A1071" t="s">
        <v>699</v>
      </c>
      <c r="B1071">
        <v>147</v>
      </c>
      <c r="C1071">
        <v>73</v>
      </c>
      <c r="D1071">
        <v>3</v>
      </c>
      <c r="E1071" t="s">
        <v>885</v>
      </c>
      <c r="F1071" t="s">
        <v>886</v>
      </c>
    </row>
    <row r="1072" spans="1:6" x14ac:dyDescent="0.25">
      <c r="A1072" t="s">
        <v>699</v>
      </c>
      <c r="B1072">
        <v>16</v>
      </c>
      <c r="C1072">
        <v>2</v>
      </c>
      <c r="D1072">
        <v>1</v>
      </c>
      <c r="E1072" t="s">
        <v>885</v>
      </c>
      <c r="F1072" t="s">
        <v>891</v>
      </c>
    </row>
    <row r="1073" spans="1:6" x14ac:dyDescent="0.25">
      <c r="A1073" t="s">
        <v>699</v>
      </c>
      <c r="B1073">
        <v>1157</v>
      </c>
      <c r="C1073">
        <v>-13</v>
      </c>
      <c r="D1073">
        <v>9</v>
      </c>
      <c r="E1073" t="s">
        <v>883</v>
      </c>
      <c r="F1073" t="s">
        <v>884</v>
      </c>
    </row>
    <row r="1074" spans="1:6" x14ac:dyDescent="0.25">
      <c r="A1074" t="s">
        <v>700</v>
      </c>
      <c r="B1074">
        <v>105</v>
      </c>
      <c r="C1074">
        <v>25</v>
      </c>
      <c r="D1074">
        <v>2</v>
      </c>
      <c r="E1074" t="s">
        <v>885</v>
      </c>
      <c r="F1074" t="s">
        <v>887</v>
      </c>
    </row>
    <row r="1075" spans="1:6" x14ac:dyDescent="0.25">
      <c r="A1075" t="s">
        <v>700</v>
      </c>
      <c r="B1075">
        <v>360</v>
      </c>
      <c r="C1075">
        <v>32</v>
      </c>
      <c r="D1075">
        <v>3</v>
      </c>
      <c r="E1075" t="s">
        <v>885</v>
      </c>
      <c r="F1075" t="s">
        <v>891</v>
      </c>
    </row>
    <row r="1076" spans="1:6" x14ac:dyDescent="0.25">
      <c r="A1076" t="s">
        <v>702</v>
      </c>
      <c r="B1076">
        <v>252</v>
      </c>
      <c r="C1076">
        <v>56</v>
      </c>
      <c r="D1076">
        <v>2</v>
      </c>
      <c r="E1076" t="s">
        <v>888</v>
      </c>
      <c r="F1076" t="s">
        <v>890</v>
      </c>
    </row>
    <row r="1077" spans="1:6" x14ac:dyDescent="0.25">
      <c r="A1077" t="s">
        <v>702</v>
      </c>
      <c r="B1077">
        <v>681</v>
      </c>
      <c r="C1077">
        <v>259</v>
      </c>
      <c r="D1077">
        <v>4</v>
      </c>
      <c r="E1077" t="s">
        <v>883</v>
      </c>
      <c r="F1077" t="s">
        <v>893</v>
      </c>
    </row>
    <row r="1078" spans="1:6" x14ac:dyDescent="0.25">
      <c r="A1078" t="s">
        <v>702</v>
      </c>
      <c r="B1078">
        <v>32</v>
      </c>
      <c r="C1078">
        <v>2</v>
      </c>
      <c r="D1078">
        <v>2</v>
      </c>
      <c r="E1078" t="s">
        <v>885</v>
      </c>
      <c r="F1078" t="s">
        <v>894</v>
      </c>
    </row>
    <row r="1079" spans="1:6" x14ac:dyDescent="0.25">
      <c r="A1079" t="s">
        <v>702</v>
      </c>
      <c r="B1079">
        <v>132</v>
      </c>
      <c r="C1079">
        <v>49</v>
      </c>
      <c r="D1079">
        <v>3</v>
      </c>
      <c r="E1079" t="s">
        <v>885</v>
      </c>
      <c r="F1079" t="s">
        <v>896</v>
      </c>
    </row>
    <row r="1080" spans="1:6" x14ac:dyDescent="0.25">
      <c r="A1080" t="s">
        <v>702</v>
      </c>
      <c r="B1080">
        <v>637</v>
      </c>
      <c r="C1080">
        <v>212</v>
      </c>
      <c r="D1080">
        <v>8</v>
      </c>
      <c r="E1080" t="s">
        <v>888</v>
      </c>
      <c r="F1080" t="s">
        <v>890</v>
      </c>
    </row>
    <row r="1081" spans="1:6" x14ac:dyDescent="0.25">
      <c r="A1081" t="s">
        <v>702</v>
      </c>
      <c r="B1081">
        <v>429</v>
      </c>
      <c r="C1081">
        <v>17</v>
      </c>
      <c r="D1081">
        <v>3</v>
      </c>
      <c r="E1081" t="s">
        <v>883</v>
      </c>
      <c r="F1081" t="s">
        <v>893</v>
      </c>
    </row>
    <row r="1082" spans="1:6" x14ac:dyDescent="0.25">
      <c r="A1082" t="s">
        <v>702</v>
      </c>
      <c r="B1082">
        <v>82</v>
      </c>
      <c r="C1082">
        <v>24</v>
      </c>
      <c r="D1082">
        <v>6</v>
      </c>
      <c r="E1082" t="s">
        <v>885</v>
      </c>
      <c r="F1082" t="s">
        <v>887</v>
      </c>
    </row>
    <row r="1083" spans="1:6" x14ac:dyDescent="0.25">
      <c r="A1083" t="s">
        <v>702</v>
      </c>
      <c r="B1083">
        <v>23</v>
      </c>
      <c r="C1083">
        <v>8</v>
      </c>
      <c r="D1083">
        <v>2</v>
      </c>
      <c r="E1083" t="s">
        <v>885</v>
      </c>
      <c r="F1083" t="s">
        <v>887</v>
      </c>
    </row>
    <row r="1084" spans="1:6" x14ac:dyDescent="0.25">
      <c r="A1084" t="s">
        <v>704</v>
      </c>
      <c r="B1084">
        <v>171</v>
      </c>
      <c r="C1084">
        <v>-140</v>
      </c>
      <c r="D1084">
        <v>2</v>
      </c>
      <c r="E1084" t="s">
        <v>883</v>
      </c>
      <c r="F1084" t="s">
        <v>884</v>
      </c>
    </row>
    <row r="1085" spans="1:6" x14ac:dyDescent="0.25">
      <c r="A1085" t="s">
        <v>705</v>
      </c>
      <c r="B1085">
        <v>34</v>
      </c>
      <c r="C1085">
        <v>-12</v>
      </c>
      <c r="D1085">
        <v>5</v>
      </c>
      <c r="E1085" t="s">
        <v>885</v>
      </c>
      <c r="F1085" t="s">
        <v>897</v>
      </c>
    </row>
    <row r="1086" spans="1:6" x14ac:dyDescent="0.25">
      <c r="A1086" t="s">
        <v>705</v>
      </c>
      <c r="B1086">
        <v>366</v>
      </c>
      <c r="C1086">
        <v>84</v>
      </c>
      <c r="D1086">
        <v>3</v>
      </c>
      <c r="E1086" t="s">
        <v>883</v>
      </c>
      <c r="F1086" t="s">
        <v>884</v>
      </c>
    </row>
    <row r="1087" spans="1:6" x14ac:dyDescent="0.25">
      <c r="A1087" t="s">
        <v>705</v>
      </c>
      <c r="B1087">
        <v>26</v>
      </c>
      <c r="C1087">
        <v>3</v>
      </c>
      <c r="D1087">
        <v>3</v>
      </c>
      <c r="E1087" t="s">
        <v>885</v>
      </c>
      <c r="F1087" t="s">
        <v>902</v>
      </c>
    </row>
    <row r="1088" spans="1:6" x14ac:dyDescent="0.25">
      <c r="A1088" t="s">
        <v>705</v>
      </c>
      <c r="B1088">
        <v>446</v>
      </c>
      <c r="C1088">
        <v>53</v>
      </c>
      <c r="D1088">
        <v>3</v>
      </c>
      <c r="E1088" t="s">
        <v>888</v>
      </c>
      <c r="F1088" t="s">
        <v>899</v>
      </c>
    </row>
    <row r="1089" spans="1:6" x14ac:dyDescent="0.25">
      <c r="A1089" t="s">
        <v>705</v>
      </c>
      <c r="B1089">
        <v>48</v>
      </c>
      <c r="C1089">
        <v>16</v>
      </c>
      <c r="D1089">
        <v>3</v>
      </c>
      <c r="E1089" t="s">
        <v>885</v>
      </c>
      <c r="F1089" t="s">
        <v>896</v>
      </c>
    </row>
    <row r="1090" spans="1:6" x14ac:dyDescent="0.25">
      <c r="A1090" t="s">
        <v>705</v>
      </c>
      <c r="B1090">
        <v>34</v>
      </c>
      <c r="C1090">
        <v>10</v>
      </c>
      <c r="D1090">
        <v>3</v>
      </c>
      <c r="E1090" t="s">
        <v>885</v>
      </c>
      <c r="F1090" t="s">
        <v>902</v>
      </c>
    </row>
    <row r="1091" spans="1:6" x14ac:dyDescent="0.25">
      <c r="A1091" t="s">
        <v>706</v>
      </c>
      <c r="B1091">
        <v>260</v>
      </c>
      <c r="C1091">
        <v>68</v>
      </c>
      <c r="D1091">
        <v>2</v>
      </c>
      <c r="E1091" t="s">
        <v>888</v>
      </c>
      <c r="F1091" t="s">
        <v>899</v>
      </c>
    </row>
    <row r="1092" spans="1:6" x14ac:dyDescent="0.25">
      <c r="A1092" t="s">
        <v>706</v>
      </c>
      <c r="B1092">
        <v>312</v>
      </c>
      <c r="C1092">
        <v>62</v>
      </c>
      <c r="D1092">
        <v>1</v>
      </c>
      <c r="E1092" t="s">
        <v>888</v>
      </c>
      <c r="F1092" t="s">
        <v>889</v>
      </c>
    </row>
    <row r="1093" spans="1:6" x14ac:dyDescent="0.25">
      <c r="A1093" t="s">
        <v>706</v>
      </c>
      <c r="B1093">
        <v>544</v>
      </c>
      <c r="C1093">
        <v>-152</v>
      </c>
      <c r="D1093">
        <v>3</v>
      </c>
      <c r="E1093" t="s">
        <v>883</v>
      </c>
      <c r="F1093" t="s">
        <v>884</v>
      </c>
    </row>
    <row r="1094" spans="1:6" x14ac:dyDescent="0.25">
      <c r="A1094" t="s">
        <v>708</v>
      </c>
      <c r="B1094">
        <v>53</v>
      </c>
      <c r="C1094">
        <v>8</v>
      </c>
      <c r="D1094">
        <v>3</v>
      </c>
      <c r="E1094" t="s">
        <v>883</v>
      </c>
      <c r="F1094" t="s">
        <v>901</v>
      </c>
    </row>
    <row r="1095" spans="1:6" x14ac:dyDescent="0.25">
      <c r="A1095" t="s">
        <v>710</v>
      </c>
      <c r="B1095">
        <v>199</v>
      </c>
      <c r="C1095">
        <v>0</v>
      </c>
      <c r="D1095">
        <v>4</v>
      </c>
      <c r="E1095" t="s">
        <v>885</v>
      </c>
      <c r="F1095" t="s">
        <v>886</v>
      </c>
    </row>
    <row r="1096" spans="1:6" x14ac:dyDescent="0.25">
      <c r="A1096" t="s">
        <v>710</v>
      </c>
      <c r="B1096">
        <v>89</v>
      </c>
      <c r="C1096">
        <v>6</v>
      </c>
      <c r="D1096">
        <v>5</v>
      </c>
      <c r="E1096" t="s">
        <v>885</v>
      </c>
      <c r="F1096" t="s">
        <v>891</v>
      </c>
    </row>
    <row r="1097" spans="1:6" x14ac:dyDescent="0.25">
      <c r="A1097" t="s">
        <v>710</v>
      </c>
      <c r="B1097">
        <v>1270</v>
      </c>
      <c r="C1097">
        <v>546</v>
      </c>
      <c r="D1097">
        <v>11</v>
      </c>
      <c r="E1097" t="s">
        <v>888</v>
      </c>
      <c r="F1097" t="s">
        <v>889</v>
      </c>
    </row>
    <row r="1098" spans="1:6" x14ac:dyDescent="0.25">
      <c r="A1098" t="s">
        <v>710</v>
      </c>
      <c r="B1098">
        <v>346</v>
      </c>
      <c r="C1098">
        <v>108</v>
      </c>
      <c r="D1098">
        <v>3</v>
      </c>
      <c r="E1098" t="s">
        <v>883</v>
      </c>
      <c r="F1098" t="s">
        <v>893</v>
      </c>
    </row>
    <row r="1099" spans="1:6" x14ac:dyDescent="0.25">
      <c r="A1099" t="s">
        <v>712</v>
      </c>
      <c r="B1099">
        <v>17</v>
      </c>
      <c r="C1099">
        <v>7</v>
      </c>
      <c r="D1099">
        <v>3</v>
      </c>
      <c r="E1099" t="s">
        <v>885</v>
      </c>
      <c r="F1099" t="s">
        <v>887</v>
      </c>
    </row>
    <row r="1100" spans="1:6" x14ac:dyDescent="0.25">
      <c r="A1100" t="s">
        <v>714</v>
      </c>
      <c r="B1100">
        <v>510</v>
      </c>
      <c r="C1100">
        <v>234</v>
      </c>
      <c r="D1100">
        <v>6</v>
      </c>
      <c r="E1100" t="s">
        <v>888</v>
      </c>
      <c r="F1100" t="s">
        <v>889</v>
      </c>
    </row>
    <row r="1101" spans="1:6" x14ac:dyDescent="0.25">
      <c r="A1101" t="s">
        <v>715</v>
      </c>
      <c r="B1101">
        <v>17</v>
      </c>
      <c r="C1101">
        <v>2</v>
      </c>
      <c r="D1101">
        <v>2</v>
      </c>
      <c r="E1101" t="s">
        <v>885</v>
      </c>
      <c r="F1101" t="s">
        <v>902</v>
      </c>
    </row>
    <row r="1102" spans="1:6" x14ac:dyDescent="0.25">
      <c r="A1102" t="s">
        <v>715</v>
      </c>
      <c r="B1102">
        <v>119</v>
      </c>
      <c r="C1102">
        <v>-24</v>
      </c>
      <c r="D1102">
        <v>4</v>
      </c>
      <c r="E1102" t="s">
        <v>883</v>
      </c>
      <c r="F1102" t="s">
        <v>901</v>
      </c>
    </row>
    <row r="1103" spans="1:6" x14ac:dyDescent="0.25">
      <c r="A1103" t="s">
        <v>715</v>
      </c>
      <c r="B1103">
        <v>229</v>
      </c>
      <c r="C1103">
        <v>59</v>
      </c>
      <c r="D1103">
        <v>9</v>
      </c>
      <c r="E1103" t="s">
        <v>885</v>
      </c>
      <c r="F1103" t="s">
        <v>891</v>
      </c>
    </row>
    <row r="1104" spans="1:6" x14ac:dyDescent="0.25">
      <c r="A1104" t="s">
        <v>716</v>
      </c>
      <c r="B1104">
        <v>811</v>
      </c>
      <c r="C1104">
        <v>154</v>
      </c>
      <c r="D1104">
        <v>7</v>
      </c>
      <c r="E1104" t="s">
        <v>888</v>
      </c>
      <c r="F1104" t="s">
        <v>900</v>
      </c>
    </row>
    <row r="1105" spans="1:6" x14ac:dyDescent="0.25">
      <c r="A1105" t="s">
        <v>718</v>
      </c>
      <c r="B1105">
        <v>720</v>
      </c>
      <c r="C1105">
        <v>43</v>
      </c>
      <c r="D1105">
        <v>2</v>
      </c>
      <c r="E1105" t="s">
        <v>888</v>
      </c>
      <c r="F1105" t="s">
        <v>899</v>
      </c>
    </row>
    <row r="1106" spans="1:6" x14ac:dyDescent="0.25">
      <c r="A1106" t="s">
        <v>718</v>
      </c>
      <c r="B1106">
        <v>2452</v>
      </c>
      <c r="C1106">
        <v>191</v>
      </c>
      <c r="D1106">
        <v>7</v>
      </c>
      <c r="E1106" t="s">
        <v>883</v>
      </c>
      <c r="F1106" t="s">
        <v>884</v>
      </c>
    </row>
    <row r="1107" spans="1:6" x14ac:dyDescent="0.25">
      <c r="A1107" t="s">
        <v>718</v>
      </c>
      <c r="B1107">
        <v>171</v>
      </c>
      <c r="C1107">
        <v>17</v>
      </c>
      <c r="D1107">
        <v>6</v>
      </c>
      <c r="E1107" t="s">
        <v>885</v>
      </c>
      <c r="F1107" t="s">
        <v>895</v>
      </c>
    </row>
    <row r="1108" spans="1:6" x14ac:dyDescent="0.25">
      <c r="A1108" t="s">
        <v>720</v>
      </c>
      <c r="B1108">
        <v>203</v>
      </c>
      <c r="C1108">
        <v>84</v>
      </c>
      <c r="D1108">
        <v>2</v>
      </c>
      <c r="E1108" t="s">
        <v>888</v>
      </c>
      <c r="F1108" t="s">
        <v>899</v>
      </c>
    </row>
    <row r="1109" spans="1:6" x14ac:dyDescent="0.25">
      <c r="A1109" t="s">
        <v>720</v>
      </c>
      <c r="B1109">
        <v>742</v>
      </c>
      <c r="C1109">
        <v>198</v>
      </c>
      <c r="D1109">
        <v>2</v>
      </c>
      <c r="E1109" t="s">
        <v>883</v>
      </c>
      <c r="F1109" t="s">
        <v>884</v>
      </c>
    </row>
    <row r="1110" spans="1:6" x14ac:dyDescent="0.25">
      <c r="A1110" t="s">
        <v>720</v>
      </c>
      <c r="B1110">
        <v>111</v>
      </c>
      <c r="C1110">
        <v>9</v>
      </c>
      <c r="D1110">
        <v>4</v>
      </c>
      <c r="E1110" t="s">
        <v>885</v>
      </c>
      <c r="F1110" t="s">
        <v>886</v>
      </c>
    </row>
    <row r="1111" spans="1:6" x14ac:dyDescent="0.25">
      <c r="A1111" t="s">
        <v>720</v>
      </c>
      <c r="B1111">
        <v>365</v>
      </c>
      <c r="C1111">
        <v>107</v>
      </c>
      <c r="D1111">
        <v>3</v>
      </c>
      <c r="E1111" t="s">
        <v>888</v>
      </c>
      <c r="F1111" t="s">
        <v>890</v>
      </c>
    </row>
    <row r="1112" spans="1:6" x14ac:dyDescent="0.25">
      <c r="A1112" t="s">
        <v>721</v>
      </c>
      <c r="B1112">
        <v>244</v>
      </c>
      <c r="C1112">
        <v>83</v>
      </c>
      <c r="D1112">
        <v>2</v>
      </c>
      <c r="E1112" t="s">
        <v>883</v>
      </c>
      <c r="F1112" t="s">
        <v>884</v>
      </c>
    </row>
    <row r="1113" spans="1:6" x14ac:dyDescent="0.25">
      <c r="A1113" t="s">
        <v>722</v>
      </c>
      <c r="B1113">
        <v>115</v>
      </c>
      <c r="C1113">
        <v>47</v>
      </c>
      <c r="D1113">
        <v>2</v>
      </c>
      <c r="E1113" t="s">
        <v>888</v>
      </c>
      <c r="F1113" t="s">
        <v>900</v>
      </c>
    </row>
    <row r="1114" spans="1:6" x14ac:dyDescent="0.25">
      <c r="A1114" t="s">
        <v>724</v>
      </c>
      <c r="B1114">
        <v>571</v>
      </c>
      <c r="C1114">
        <v>108</v>
      </c>
      <c r="D1114">
        <v>12</v>
      </c>
      <c r="E1114" t="s">
        <v>885</v>
      </c>
      <c r="F1114" t="s">
        <v>886</v>
      </c>
    </row>
    <row r="1115" spans="1:6" x14ac:dyDescent="0.25">
      <c r="A1115" t="s">
        <v>724</v>
      </c>
      <c r="B1115">
        <v>398</v>
      </c>
      <c r="C1115">
        <v>111</v>
      </c>
      <c r="D1115">
        <v>8</v>
      </c>
      <c r="E1115" t="s">
        <v>885</v>
      </c>
      <c r="F1115" t="s">
        <v>887</v>
      </c>
    </row>
    <row r="1116" spans="1:6" x14ac:dyDescent="0.25">
      <c r="A1116" t="s">
        <v>724</v>
      </c>
      <c r="B1116">
        <v>79</v>
      </c>
      <c r="C1116">
        <v>39</v>
      </c>
      <c r="D1116">
        <v>2</v>
      </c>
      <c r="E1116" t="s">
        <v>885</v>
      </c>
      <c r="F1116" t="s">
        <v>896</v>
      </c>
    </row>
    <row r="1117" spans="1:6" x14ac:dyDescent="0.25">
      <c r="A1117" t="s">
        <v>724</v>
      </c>
      <c r="B1117">
        <v>39</v>
      </c>
      <c r="C1117">
        <v>14</v>
      </c>
      <c r="D1117">
        <v>5</v>
      </c>
      <c r="E1117" t="s">
        <v>885</v>
      </c>
      <c r="F1117" t="s">
        <v>897</v>
      </c>
    </row>
    <row r="1118" spans="1:6" x14ac:dyDescent="0.25">
      <c r="A1118" t="s">
        <v>724</v>
      </c>
      <c r="B1118">
        <v>4141</v>
      </c>
      <c r="C1118">
        <v>1698</v>
      </c>
      <c r="D1118">
        <v>13</v>
      </c>
      <c r="E1118" t="s">
        <v>888</v>
      </c>
      <c r="F1118" t="s">
        <v>899</v>
      </c>
    </row>
    <row r="1119" spans="1:6" x14ac:dyDescent="0.25">
      <c r="A1119" t="s">
        <v>726</v>
      </c>
      <c r="B1119">
        <v>662</v>
      </c>
      <c r="C1119">
        <v>240</v>
      </c>
      <c r="D1119">
        <v>2</v>
      </c>
      <c r="E1119" t="s">
        <v>883</v>
      </c>
      <c r="F1119" t="s">
        <v>884</v>
      </c>
    </row>
    <row r="1120" spans="1:6" x14ac:dyDescent="0.25">
      <c r="A1120" t="s">
        <v>728</v>
      </c>
      <c r="B1120">
        <v>29</v>
      </c>
      <c r="C1120">
        <v>2</v>
      </c>
      <c r="D1120">
        <v>3</v>
      </c>
      <c r="E1120" t="s">
        <v>885</v>
      </c>
      <c r="F1120" t="s">
        <v>902</v>
      </c>
    </row>
    <row r="1121" spans="1:6" x14ac:dyDescent="0.25">
      <c r="A1121" t="s">
        <v>729</v>
      </c>
      <c r="B1121">
        <v>193</v>
      </c>
      <c r="C1121">
        <v>8</v>
      </c>
      <c r="D1121">
        <v>4</v>
      </c>
      <c r="E1121" t="s">
        <v>885</v>
      </c>
      <c r="F1121" t="s">
        <v>895</v>
      </c>
    </row>
    <row r="1122" spans="1:6" x14ac:dyDescent="0.25">
      <c r="A1122" t="s">
        <v>731</v>
      </c>
      <c r="B1122">
        <v>27</v>
      </c>
      <c r="C1122">
        <v>1</v>
      </c>
      <c r="D1122">
        <v>1</v>
      </c>
      <c r="E1122" t="s">
        <v>885</v>
      </c>
      <c r="F1122" t="s">
        <v>886</v>
      </c>
    </row>
    <row r="1123" spans="1:6" x14ac:dyDescent="0.25">
      <c r="A1123" t="s">
        <v>731</v>
      </c>
      <c r="B1123">
        <v>74</v>
      </c>
      <c r="C1123">
        <v>29</v>
      </c>
      <c r="D1123">
        <v>3</v>
      </c>
      <c r="E1123" t="s">
        <v>885</v>
      </c>
      <c r="F1123" t="s">
        <v>886</v>
      </c>
    </row>
    <row r="1124" spans="1:6" x14ac:dyDescent="0.25">
      <c r="A1124" t="s">
        <v>731</v>
      </c>
      <c r="B1124">
        <v>180</v>
      </c>
      <c r="C1124">
        <v>54</v>
      </c>
      <c r="D1124">
        <v>4</v>
      </c>
      <c r="E1124" t="s">
        <v>885</v>
      </c>
      <c r="F1124" t="s">
        <v>895</v>
      </c>
    </row>
    <row r="1125" spans="1:6" x14ac:dyDescent="0.25">
      <c r="A1125" t="s">
        <v>732</v>
      </c>
      <c r="B1125">
        <v>1063</v>
      </c>
      <c r="C1125">
        <v>-175</v>
      </c>
      <c r="D1125">
        <v>4</v>
      </c>
      <c r="E1125" t="s">
        <v>888</v>
      </c>
      <c r="F1125" t="s">
        <v>889</v>
      </c>
    </row>
    <row r="1126" spans="1:6" x14ac:dyDescent="0.25">
      <c r="A1126" t="s">
        <v>732</v>
      </c>
      <c r="B1126">
        <v>341</v>
      </c>
      <c r="C1126">
        <v>160</v>
      </c>
      <c r="D1126">
        <v>7</v>
      </c>
      <c r="E1126" t="s">
        <v>885</v>
      </c>
      <c r="F1126" t="s">
        <v>886</v>
      </c>
    </row>
    <row r="1127" spans="1:6" x14ac:dyDescent="0.25">
      <c r="A1127" t="s">
        <v>734</v>
      </c>
      <c r="B1127">
        <v>560</v>
      </c>
      <c r="C1127">
        <v>44</v>
      </c>
      <c r="D1127">
        <v>3</v>
      </c>
      <c r="E1127" t="s">
        <v>885</v>
      </c>
      <c r="F1127" t="s">
        <v>891</v>
      </c>
    </row>
    <row r="1128" spans="1:6" x14ac:dyDescent="0.25">
      <c r="A1128" t="s">
        <v>734</v>
      </c>
      <c r="B1128">
        <v>57</v>
      </c>
      <c r="C1128">
        <v>27</v>
      </c>
      <c r="D1128">
        <v>2</v>
      </c>
      <c r="E1128" t="s">
        <v>885</v>
      </c>
      <c r="F1128" t="s">
        <v>896</v>
      </c>
    </row>
    <row r="1129" spans="1:6" x14ac:dyDescent="0.25">
      <c r="A1129" t="s">
        <v>734</v>
      </c>
      <c r="B1129">
        <v>284</v>
      </c>
      <c r="C1129">
        <v>45</v>
      </c>
      <c r="D1129">
        <v>2</v>
      </c>
      <c r="E1129" t="s">
        <v>883</v>
      </c>
      <c r="F1129" t="s">
        <v>884</v>
      </c>
    </row>
    <row r="1130" spans="1:6" x14ac:dyDescent="0.25">
      <c r="A1130" t="s">
        <v>734</v>
      </c>
      <c r="B1130">
        <v>12</v>
      </c>
      <c r="C1130">
        <v>1</v>
      </c>
      <c r="D1130">
        <v>2</v>
      </c>
      <c r="E1130" t="s">
        <v>885</v>
      </c>
      <c r="F1130" t="s">
        <v>887</v>
      </c>
    </row>
    <row r="1131" spans="1:6" x14ac:dyDescent="0.25">
      <c r="A1131" t="s">
        <v>734</v>
      </c>
      <c r="B1131">
        <v>82</v>
      </c>
      <c r="C1131">
        <v>27</v>
      </c>
      <c r="D1131">
        <v>3</v>
      </c>
      <c r="E1131" t="s">
        <v>885</v>
      </c>
      <c r="F1131" t="s">
        <v>894</v>
      </c>
    </row>
    <row r="1132" spans="1:6" x14ac:dyDescent="0.25">
      <c r="A1132" t="s">
        <v>735</v>
      </c>
      <c r="B1132">
        <v>22</v>
      </c>
      <c r="C1132">
        <v>11</v>
      </c>
      <c r="D1132">
        <v>3</v>
      </c>
      <c r="E1132" t="s">
        <v>885</v>
      </c>
      <c r="F1132" t="s">
        <v>894</v>
      </c>
    </row>
    <row r="1133" spans="1:6" x14ac:dyDescent="0.25">
      <c r="A1133" t="s">
        <v>736</v>
      </c>
      <c r="B1133">
        <v>42</v>
      </c>
      <c r="C1133">
        <v>13</v>
      </c>
      <c r="D1133">
        <v>3</v>
      </c>
      <c r="E1133" t="s">
        <v>885</v>
      </c>
      <c r="F1133" t="s">
        <v>897</v>
      </c>
    </row>
    <row r="1134" spans="1:6" x14ac:dyDescent="0.25">
      <c r="A1134" t="s">
        <v>736</v>
      </c>
      <c r="B1134">
        <v>54</v>
      </c>
      <c r="C1134">
        <v>12</v>
      </c>
      <c r="D1134">
        <v>3</v>
      </c>
      <c r="E1134" t="s">
        <v>885</v>
      </c>
      <c r="F1134" t="s">
        <v>891</v>
      </c>
    </row>
    <row r="1135" spans="1:6" x14ac:dyDescent="0.25">
      <c r="A1135" t="s">
        <v>736</v>
      </c>
      <c r="B1135">
        <v>62</v>
      </c>
      <c r="C1135">
        <v>8</v>
      </c>
      <c r="D1135">
        <v>2</v>
      </c>
      <c r="E1135" t="s">
        <v>885</v>
      </c>
      <c r="F1135" t="s">
        <v>895</v>
      </c>
    </row>
    <row r="1136" spans="1:6" x14ac:dyDescent="0.25">
      <c r="A1136" t="s">
        <v>736</v>
      </c>
      <c r="B1136">
        <v>245</v>
      </c>
      <c r="C1136">
        <v>91</v>
      </c>
      <c r="D1136">
        <v>2</v>
      </c>
      <c r="E1136" t="s">
        <v>883</v>
      </c>
      <c r="F1136" t="s">
        <v>884</v>
      </c>
    </row>
    <row r="1137" spans="1:6" x14ac:dyDescent="0.25">
      <c r="A1137" t="s">
        <v>736</v>
      </c>
      <c r="B1137">
        <v>867</v>
      </c>
      <c r="C1137">
        <v>251</v>
      </c>
      <c r="D1137">
        <v>5</v>
      </c>
      <c r="E1137" t="s">
        <v>888</v>
      </c>
      <c r="F1137" t="s">
        <v>890</v>
      </c>
    </row>
    <row r="1138" spans="1:6" x14ac:dyDescent="0.25">
      <c r="A1138" t="s">
        <v>736</v>
      </c>
      <c r="B1138">
        <v>48</v>
      </c>
      <c r="C1138">
        <v>2</v>
      </c>
      <c r="D1138">
        <v>3</v>
      </c>
      <c r="E1138" t="s">
        <v>885</v>
      </c>
      <c r="F1138" t="s">
        <v>886</v>
      </c>
    </row>
    <row r="1139" spans="1:6" x14ac:dyDescent="0.25">
      <c r="A1139" t="s">
        <v>738</v>
      </c>
      <c r="B1139">
        <v>13</v>
      </c>
      <c r="C1139">
        <v>3</v>
      </c>
      <c r="D1139">
        <v>1</v>
      </c>
      <c r="E1139" t="s">
        <v>885</v>
      </c>
      <c r="F1139" t="s">
        <v>897</v>
      </c>
    </row>
    <row r="1140" spans="1:6" x14ac:dyDescent="0.25">
      <c r="A1140" t="s">
        <v>740</v>
      </c>
      <c r="B1140">
        <v>230</v>
      </c>
      <c r="C1140">
        <v>5</v>
      </c>
      <c r="D1140">
        <v>2</v>
      </c>
      <c r="E1140" t="s">
        <v>885</v>
      </c>
      <c r="F1140" t="s">
        <v>891</v>
      </c>
    </row>
    <row r="1141" spans="1:6" x14ac:dyDescent="0.25">
      <c r="A1141" t="s">
        <v>740</v>
      </c>
      <c r="B1141">
        <v>32</v>
      </c>
      <c r="C1141">
        <v>-12</v>
      </c>
      <c r="D1141">
        <v>1</v>
      </c>
      <c r="E1141" t="s">
        <v>883</v>
      </c>
      <c r="F1141" t="s">
        <v>893</v>
      </c>
    </row>
    <row r="1142" spans="1:6" x14ac:dyDescent="0.25">
      <c r="A1142" t="s">
        <v>740</v>
      </c>
      <c r="B1142">
        <v>161</v>
      </c>
      <c r="C1142">
        <v>-229</v>
      </c>
      <c r="D1142">
        <v>8</v>
      </c>
      <c r="E1142" t="s">
        <v>883</v>
      </c>
      <c r="F1142" t="s">
        <v>901</v>
      </c>
    </row>
    <row r="1143" spans="1:6" x14ac:dyDescent="0.25">
      <c r="A1143" t="s">
        <v>740</v>
      </c>
      <c r="B1143">
        <v>50</v>
      </c>
      <c r="C1143">
        <v>-4</v>
      </c>
      <c r="D1143">
        <v>6</v>
      </c>
      <c r="E1143" t="s">
        <v>885</v>
      </c>
      <c r="F1143" t="s">
        <v>895</v>
      </c>
    </row>
    <row r="1144" spans="1:6" x14ac:dyDescent="0.25">
      <c r="A1144" t="s">
        <v>740</v>
      </c>
      <c r="B1144">
        <v>561</v>
      </c>
      <c r="C1144">
        <v>118</v>
      </c>
      <c r="D1144">
        <v>5</v>
      </c>
      <c r="E1144" t="s">
        <v>883</v>
      </c>
      <c r="F1144" t="s">
        <v>884</v>
      </c>
    </row>
    <row r="1145" spans="1:6" x14ac:dyDescent="0.25">
      <c r="A1145" t="s">
        <v>742</v>
      </c>
      <c r="B1145">
        <v>304</v>
      </c>
      <c r="C1145">
        <v>97</v>
      </c>
      <c r="D1145">
        <v>6</v>
      </c>
      <c r="E1145" t="s">
        <v>885</v>
      </c>
      <c r="F1145" t="s">
        <v>886</v>
      </c>
    </row>
    <row r="1146" spans="1:6" x14ac:dyDescent="0.25">
      <c r="A1146" t="s">
        <v>743</v>
      </c>
      <c r="B1146">
        <v>197</v>
      </c>
      <c r="C1146">
        <v>20</v>
      </c>
      <c r="D1146">
        <v>4</v>
      </c>
      <c r="E1146" t="s">
        <v>885</v>
      </c>
      <c r="F1146" t="s">
        <v>894</v>
      </c>
    </row>
    <row r="1147" spans="1:6" x14ac:dyDescent="0.25">
      <c r="A1147" t="s">
        <v>743</v>
      </c>
      <c r="B1147">
        <v>108</v>
      </c>
      <c r="C1147">
        <v>26</v>
      </c>
      <c r="D1147">
        <v>4</v>
      </c>
      <c r="E1147" t="s">
        <v>885</v>
      </c>
      <c r="F1147" t="s">
        <v>896</v>
      </c>
    </row>
    <row r="1148" spans="1:6" x14ac:dyDescent="0.25">
      <c r="A1148" t="s">
        <v>743</v>
      </c>
      <c r="B1148">
        <v>32</v>
      </c>
      <c r="C1148">
        <v>8</v>
      </c>
      <c r="D1148">
        <v>5</v>
      </c>
      <c r="E1148" t="s">
        <v>885</v>
      </c>
      <c r="F1148" t="s">
        <v>887</v>
      </c>
    </row>
    <row r="1149" spans="1:6" x14ac:dyDescent="0.25">
      <c r="A1149" t="s">
        <v>743</v>
      </c>
      <c r="B1149">
        <v>44</v>
      </c>
      <c r="C1149">
        <v>11</v>
      </c>
      <c r="D1149">
        <v>4</v>
      </c>
      <c r="E1149" t="s">
        <v>885</v>
      </c>
      <c r="F1149" t="s">
        <v>886</v>
      </c>
    </row>
    <row r="1150" spans="1:6" x14ac:dyDescent="0.25">
      <c r="A1150" t="s">
        <v>745</v>
      </c>
      <c r="B1150">
        <v>749</v>
      </c>
      <c r="C1150">
        <v>307</v>
      </c>
      <c r="D1150">
        <v>7</v>
      </c>
      <c r="E1150" t="s">
        <v>883</v>
      </c>
      <c r="F1150" t="s">
        <v>901</v>
      </c>
    </row>
    <row r="1151" spans="1:6" x14ac:dyDescent="0.25">
      <c r="A1151" t="s">
        <v>745</v>
      </c>
      <c r="B1151">
        <v>71</v>
      </c>
      <c r="C1151">
        <v>4</v>
      </c>
      <c r="D1151">
        <v>5</v>
      </c>
      <c r="E1151" t="s">
        <v>885</v>
      </c>
      <c r="F1151" t="s">
        <v>897</v>
      </c>
    </row>
    <row r="1152" spans="1:6" x14ac:dyDescent="0.25">
      <c r="A1152" t="s">
        <v>745</v>
      </c>
      <c r="B1152">
        <v>487</v>
      </c>
      <c r="C1152">
        <v>-23</v>
      </c>
      <c r="D1152">
        <v>3</v>
      </c>
      <c r="E1152" t="s">
        <v>888</v>
      </c>
      <c r="F1152" t="s">
        <v>899</v>
      </c>
    </row>
    <row r="1153" spans="1:6" x14ac:dyDescent="0.25">
      <c r="A1153" t="s">
        <v>745</v>
      </c>
      <c r="B1153">
        <v>918</v>
      </c>
      <c r="C1153">
        <v>22</v>
      </c>
      <c r="D1153">
        <v>9</v>
      </c>
      <c r="E1153" t="s">
        <v>888</v>
      </c>
      <c r="F1153" t="s">
        <v>889</v>
      </c>
    </row>
    <row r="1154" spans="1:6" x14ac:dyDescent="0.25">
      <c r="A1154" t="s">
        <v>746</v>
      </c>
      <c r="B1154">
        <v>299</v>
      </c>
      <c r="C1154">
        <v>0</v>
      </c>
      <c r="D1154">
        <v>6</v>
      </c>
      <c r="E1154" t="s">
        <v>885</v>
      </c>
      <c r="F1154" t="s">
        <v>886</v>
      </c>
    </row>
    <row r="1155" spans="1:6" x14ac:dyDescent="0.25">
      <c r="A1155" t="s">
        <v>746</v>
      </c>
      <c r="B1155">
        <v>88</v>
      </c>
      <c r="C1155">
        <v>11</v>
      </c>
      <c r="D1155">
        <v>7</v>
      </c>
      <c r="E1155" t="s">
        <v>885</v>
      </c>
      <c r="F1155" t="s">
        <v>887</v>
      </c>
    </row>
    <row r="1156" spans="1:6" x14ac:dyDescent="0.25">
      <c r="A1156" t="s">
        <v>748</v>
      </c>
      <c r="B1156">
        <v>79</v>
      </c>
      <c r="C1156">
        <v>24</v>
      </c>
      <c r="D1156">
        <v>9</v>
      </c>
      <c r="E1156" t="s">
        <v>885</v>
      </c>
      <c r="F1156" t="s">
        <v>902</v>
      </c>
    </row>
    <row r="1157" spans="1:6" x14ac:dyDescent="0.25">
      <c r="A1157" t="s">
        <v>750</v>
      </c>
      <c r="B1157">
        <v>44</v>
      </c>
      <c r="C1157">
        <v>14</v>
      </c>
      <c r="D1157">
        <v>3</v>
      </c>
      <c r="E1157" t="s">
        <v>885</v>
      </c>
      <c r="F1157" t="s">
        <v>887</v>
      </c>
    </row>
    <row r="1158" spans="1:6" x14ac:dyDescent="0.25">
      <c r="A1158" t="s">
        <v>750</v>
      </c>
      <c r="B1158">
        <v>10</v>
      </c>
      <c r="C1158">
        <v>5</v>
      </c>
      <c r="D1158">
        <v>1</v>
      </c>
      <c r="E1158" t="s">
        <v>885</v>
      </c>
      <c r="F1158" t="s">
        <v>886</v>
      </c>
    </row>
    <row r="1159" spans="1:6" x14ac:dyDescent="0.25">
      <c r="A1159" t="s">
        <v>750</v>
      </c>
      <c r="B1159">
        <v>42</v>
      </c>
      <c r="C1159">
        <v>15</v>
      </c>
      <c r="D1159">
        <v>1</v>
      </c>
      <c r="E1159" t="s">
        <v>888</v>
      </c>
      <c r="F1159" t="s">
        <v>900</v>
      </c>
    </row>
    <row r="1160" spans="1:6" x14ac:dyDescent="0.25">
      <c r="A1160" t="s">
        <v>750</v>
      </c>
      <c r="B1160">
        <v>330</v>
      </c>
      <c r="C1160">
        <v>81</v>
      </c>
      <c r="D1160">
        <v>1</v>
      </c>
      <c r="E1160" t="s">
        <v>883</v>
      </c>
      <c r="F1160" t="s">
        <v>884</v>
      </c>
    </row>
    <row r="1161" spans="1:6" x14ac:dyDescent="0.25">
      <c r="A1161" t="s">
        <v>750</v>
      </c>
      <c r="B1161">
        <v>338</v>
      </c>
      <c r="C1161">
        <v>41</v>
      </c>
      <c r="D1161">
        <v>7</v>
      </c>
      <c r="E1161" t="s">
        <v>885</v>
      </c>
      <c r="F1161" t="s">
        <v>887</v>
      </c>
    </row>
    <row r="1162" spans="1:6" x14ac:dyDescent="0.25">
      <c r="A1162" t="s">
        <v>751</v>
      </c>
      <c r="B1162">
        <v>71</v>
      </c>
      <c r="C1162">
        <v>32</v>
      </c>
      <c r="D1162">
        <v>3</v>
      </c>
      <c r="E1162" t="s">
        <v>885</v>
      </c>
      <c r="F1162" t="s">
        <v>891</v>
      </c>
    </row>
    <row r="1163" spans="1:6" x14ac:dyDescent="0.25">
      <c r="A1163" t="s">
        <v>753</v>
      </c>
      <c r="B1163">
        <v>188</v>
      </c>
      <c r="C1163">
        <v>13</v>
      </c>
      <c r="D1163">
        <v>7</v>
      </c>
      <c r="E1163" t="s">
        <v>885</v>
      </c>
      <c r="F1163" t="s">
        <v>896</v>
      </c>
    </row>
    <row r="1164" spans="1:6" x14ac:dyDescent="0.25">
      <c r="A1164" t="s">
        <v>753</v>
      </c>
      <c r="B1164">
        <v>90</v>
      </c>
      <c r="C1164">
        <v>30</v>
      </c>
      <c r="D1164">
        <v>2</v>
      </c>
      <c r="E1164" t="s">
        <v>883</v>
      </c>
      <c r="F1164" t="s">
        <v>893</v>
      </c>
    </row>
    <row r="1165" spans="1:6" x14ac:dyDescent="0.25">
      <c r="A1165" t="s">
        <v>753</v>
      </c>
      <c r="B1165">
        <v>13</v>
      </c>
      <c r="C1165">
        <v>5</v>
      </c>
      <c r="D1165">
        <v>2</v>
      </c>
      <c r="E1165" t="s">
        <v>885</v>
      </c>
      <c r="F1165" t="s">
        <v>887</v>
      </c>
    </row>
    <row r="1166" spans="1:6" x14ac:dyDescent="0.25">
      <c r="A1166" t="s">
        <v>755</v>
      </c>
      <c r="B1166">
        <v>141</v>
      </c>
      <c r="C1166">
        <v>41</v>
      </c>
      <c r="D1166">
        <v>3</v>
      </c>
      <c r="E1166" t="s">
        <v>885</v>
      </c>
      <c r="F1166" t="s">
        <v>896</v>
      </c>
    </row>
    <row r="1167" spans="1:6" x14ac:dyDescent="0.25">
      <c r="A1167" t="s">
        <v>756</v>
      </c>
      <c r="B1167">
        <v>44</v>
      </c>
      <c r="C1167">
        <v>8</v>
      </c>
      <c r="D1167">
        <v>2</v>
      </c>
      <c r="E1167" t="s">
        <v>885</v>
      </c>
      <c r="F1167" t="s">
        <v>886</v>
      </c>
    </row>
    <row r="1168" spans="1:6" x14ac:dyDescent="0.25">
      <c r="A1168" t="s">
        <v>756</v>
      </c>
      <c r="B1168">
        <v>610</v>
      </c>
      <c r="C1168">
        <v>208</v>
      </c>
      <c r="D1168">
        <v>3</v>
      </c>
      <c r="E1168" t="s">
        <v>888</v>
      </c>
      <c r="F1168" t="s">
        <v>899</v>
      </c>
    </row>
    <row r="1169" spans="1:6" x14ac:dyDescent="0.25">
      <c r="A1169" t="s">
        <v>756</v>
      </c>
      <c r="B1169">
        <v>4363</v>
      </c>
      <c r="C1169">
        <v>305</v>
      </c>
      <c r="D1169">
        <v>5</v>
      </c>
      <c r="E1169" t="s">
        <v>883</v>
      </c>
      <c r="F1169" t="s">
        <v>898</v>
      </c>
    </row>
    <row r="1170" spans="1:6" x14ac:dyDescent="0.25">
      <c r="A1170" t="s">
        <v>756</v>
      </c>
      <c r="B1170">
        <v>414</v>
      </c>
      <c r="C1170">
        <v>199</v>
      </c>
      <c r="D1170">
        <v>3</v>
      </c>
      <c r="E1170" t="s">
        <v>888</v>
      </c>
      <c r="F1170" t="s">
        <v>890</v>
      </c>
    </row>
    <row r="1171" spans="1:6" x14ac:dyDescent="0.25">
      <c r="A1171" t="s">
        <v>756</v>
      </c>
      <c r="B1171">
        <v>221</v>
      </c>
      <c r="C1171">
        <v>26</v>
      </c>
      <c r="D1171">
        <v>7</v>
      </c>
      <c r="E1171" t="s">
        <v>883</v>
      </c>
      <c r="F1171" t="s">
        <v>901</v>
      </c>
    </row>
    <row r="1172" spans="1:6" x14ac:dyDescent="0.25">
      <c r="A1172" t="s">
        <v>756</v>
      </c>
      <c r="B1172">
        <v>201</v>
      </c>
      <c r="C1172">
        <v>32</v>
      </c>
      <c r="D1172">
        <v>4</v>
      </c>
      <c r="E1172" t="s">
        <v>883</v>
      </c>
      <c r="F1172" t="s">
        <v>901</v>
      </c>
    </row>
    <row r="1173" spans="1:6" x14ac:dyDescent="0.25">
      <c r="A1173" t="s">
        <v>756</v>
      </c>
      <c r="B1173">
        <v>173</v>
      </c>
      <c r="C1173">
        <v>86</v>
      </c>
      <c r="D1173">
        <v>1</v>
      </c>
      <c r="E1173" t="s">
        <v>888</v>
      </c>
      <c r="F1173" t="s">
        <v>899</v>
      </c>
    </row>
    <row r="1174" spans="1:6" x14ac:dyDescent="0.25">
      <c r="A1174" t="s">
        <v>758</v>
      </c>
      <c r="B1174">
        <v>196</v>
      </c>
      <c r="C1174">
        <v>-7</v>
      </c>
      <c r="D1174">
        <v>5</v>
      </c>
      <c r="E1174" t="s">
        <v>888</v>
      </c>
      <c r="F1174" t="s">
        <v>890</v>
      </c>
    </row>
    <row r="1175" spans="1:6" x14ac:dyDescent="0.25">
      <c r="A1175" t="s">
        <v>760</v>
      </c>
      <c r="B1175">
        <v>1314</v>
      </c>
      <c r="C1175">
        <v>342</v>
      </c>
      <c r="D1175">
        <v>3</v>
      </c>
      <c r="E1175" t="s">
        <v>883</v>
      </c>
      <c r="F1175" t="s">
        <v>884</v>
      </c>
    </row>
    <row r="1176" spans="1:6" x14ac:dyDescent="0.25">
      <c r="A1176" t="s">
        <v>762</v>
      </c>
      <c r="B1176">
        <v>62</v>
      </c>
      <c r="C1176">
        <v>6</v>
      </c>
      <c r="D1176">
        <v>6</v>
      </c>
      <c r="E1176" t="s">
        <v>885</v>
      </c>
      <c r="F1176" t="s">
        <v>902</v>
      </c>
    </row>
    <row r="1177" spans="1:6" x14ac:dyDescent="0.25">
      <c r="A1177" t="s">
        <v>762</v>
      </c>
      <c r="B1177">
        <v>31</v>
      </c>
      <c r="C1177">
        <v>2</v>
      </c>
      <c r="D1177">
        <v>2</v>
      </c>
      <c r="E1177" t="s">
        <v>885</v>
      </c>
      <c r="F1177" t="s">
        <v>887</v>
      </c>
    </row>
    <row r="1178" spans="1:6" x14ac:dyDescent="0.25">
      <c r="A1178" t="s">
        <v>762</v>
      </c>
      <c r="B1178">
        <v>217</v>
      </c>
      <c r="C1178">
        <v>72</v>
      </c>
      <c r="D1178">
        <v>2</v>
      </c>
      <c r="E1178" t="s">
        <v>883</v>
      </c>
      <c r="F1178" t="s">
        <v>901</v>
      </c>
    </row>
    <row r="1179" spans="1:6" x14ac:dyDescent="0.25">
      <c r="A1179" t="s">
        <v>762</v>
      </c>
      <c r="B1179">
        <v>286</v>
      </c>
      <c r="C1179">
        <v>140</v>
      </c>
      <c r="D1179">
        <v>6</v>
      </c>
      <c r="E1179" t="s">
        <v>885</v>
      </c>
      <c r="F1179" t="s">
        <v>896</v>
      </c>
    </row>
    <row r="1180" spans="1:6" x14ac:dyDescent="0.25">
      <c r="A1180" t="s">
        <v>762</v>
      </c>
      <c r="B1180">
        <v>333</v>
      </c>
      <c r="C1180">
        <v>50</v>
      </c>
      <c r="D1180">
        <v>2</v>
      </c>
      <c r="E1180" t="s">
        <v>888</v>
      </c>
      <c r="F1180" t="s">
        <v>890</v>
      </c>
    </row>
    <row r="1181" spans="1:6" x14ac:dyDescent="0.25">
      <c r="A1181" t="s">
        <v>762</v>
      </c>
      <c r="B1181">
        <v>47</v>
      </c>
      <c r="C1181">
        <v>1</v>
      </c>
      <c r="D1181">
        <v>2</v>
      </c>
      <c r="E1181" t="s">
        <v>885</v>
      </c>
      <c r="F1181" t="s">
        <v>886</v>
      </c>
    </row>
    <row r="1182" spans="1:6" x14ac:dyDescent="0.25">
      <c r="A1182" t="s">
        <v>762</v>
      </c>
      <c r="B1182">
        <v>18</v>
      </c>
      <c r="C1182">
        <v>4</v>
      </c>
      <c r="D1182">
        <v>1</v>
      </c>
      <c r="E1182" t="s">
        <v>885</v>
      </c>
      <c r="F1182" t="s">
        <v>891</v>
      </c>
    </row>
    <row r="1183" spans="1:6" x14ac:dyDescent="0.25">
      <c r="A1183" t="s">
        <v>764</v>
      </c>
      <c r="B1183">
        <v>16</v>
      </c>
      <c r="C1183">
        <v>6</v>
      </c>
      <c r="D1183">
        <v>3</v>
      </c>
      <c r="E1183" t="s">
        <v>885</v>
      </c>
      <c r="F1183" t="s">
        <v>887</v>
      </c>
    </row>
    <row r="1184" spans="1:6" x14ac:dyDescent="0.25">
      <c r="A1184" t="s">
        <v>764</v>
      </c>
      <c r="B1184">
        <v>231</v>
      </c>
      <c r="C1184">
        <v>99</v>
      </c>
      <c r="D1184">
        <v>2</v>
      </c>
      <c r="E1184" t="s">
        <v>888</v>
      </c>
      <c r="F1184" t="s">
        <v>889</v>
      </c>
    </row>
    <row r="1185" spans="1:6" x14ac:dyDescent="0.25">
      <c r="A1185" t="s">
        <v>764</v>
      </c>
      <c r="B1185">
        <v>2292</v>
      </c>
      <c r="C1185">
        <v>127</v>
      </c>
      <c r="D1185">
        <v>7</v>
      </c>
      <c r="E1185" t="s">
        <v>883</v>
      </c>
      <c r="F1185" t="s">
        <v>884</v>
      </c>
    </row>
    <row r="1186" spans="1:6" x14ac:dyDescent="0.25">
      <c r="A1186" t="s">
        <v>764</v>
      </c>
      <c r="B1186">
        <v>48</v>
      </c>
      <c r="C1186">
        <v>15</v>
      </c>
      <c r="D1186">
        <v>1</v>
      </c>
      <c r="E1186" t="s">
        <v>885</v>
      </c>
      <c r="F1186" t="s">
        <v>887</v>
      </c>
    </row>
    <row r="1187" spans="1:6" x14ac:dyDescent="0.25">
      <c r="A1187" t="s">
        <v>765</v>
      </c>
      <c r="B1187">
        <v>50</v>
      </c>
      <c r="C1187">
        <v>-28</v>
      </c>
      <c r="D1187">
        <v>5</v>
      </c>
      <c r="E1187" t="s">
        <v>883</v>
      </c>
      <c r="F1187" t="s">
        <v>901</v>
      </c>
    </row>
    <row r="1188" spans="1:6" x14ac:dyDescent="0.25">
      <c r="A1188" t="s">
        <v>767</v>
      </c>
      <c r="B1188">
        <v>26</v>
      </c>
      <c r="C1188">
        <v>-17</v>
      </c>
      <c r="D1188">
        <v>1</v>
      </c>
      <c r="E1188" t="s">
        <v>885</v>
      </c>
      <c r="F1188" t="s">
        <v>886</v>
      </c>
    </row>
    <row r="1189" spans="1:6" x14ac:dyDescent="0.25">
      <c r="A1189" t="s">
        <v>767</v>
      </c>
      <c r="B1189">
        <v>93</v>
      </c>
      <c r="C1189">
        <v>-65</v>
      </c>
      <c r="D1189">
        <v>4</v>
      </c>
      <c r="E1189" t="s">
        <v>885</v>
      </c>
      <c r="F1189" t="s">
        <v>886</v>
      </c>
    </row>
    <row r="1190" spans="1:6" x14ac:dyDescent="0.25">
      <c r="A1190" t="s">
        <v>767</v>
      </c>
      <c r="B1190">
        <v>152</v>
      </c>
      <c r="C1190">
        <v>-3</v>
      </c>
      <c r="D1190">
        <v>5</v>
      </c>
      <c r="E1190" t="s">
        <v>885</v>
      </c>
      <c r="F1190" t="s">
        <v>891</v>
      </c>
    </row>
    <row r="1191" spans="1:6" x14ac:dyDescent="0.25">
      <c r="A1191" t="s">
        <v>767</v>
      </c>
      <c r="B1191">
        <v>51</v>
      </c>
      <c r="C1191">
        <v>-49</v>
      </c>
      <c r="D1191">
        <v>2</v>
      </c>
      <c r="E1191" t="s">
        <v>888</v>
      </c>
      <c r="F1191" t="s">
        <v>889</v>
      </c>
    </row>
    <row r="1192" spans="1:6" x14ac:dyDescent="0.25">
      <c r="A1192" t="s">
        <v>767</v>
      </c>
      <c r="B1192">
        <v>352</v>
      </c>
      <c r="C1192">
        <v>74</v>
      </c>
      <c r="D1192">
        <v>8</v>
      </c>
      <c r="E1192" t="s">
        <v>885</v>
      </c>
      <c r="F1192" t="s">
        <v>886</v>
      </c>
    </row>
    <row r="1193" spans="1:6" x14ac:dyDescent="0.25">
      <c r="A1193" t="s">
        <v>767</v>
      </c>
      <c r="B1193">
        <v>129</v>
      </c>
      <c r="C1193">
        <v>11</v>
      </c>
      <c r="D1193">
        <v>2</v>
      </c>
      <c r="E1193" t="s">
        <v>888</v>
      </c>
      <c r="F1193" t="s">
        <v>890</v>
      </c>
    </row>
    <row r="1194" spans="1:6" x14ac:dyDescent="0.25">
      <c r="A1194" t="s">
        <v>767</v>
      </c>
      <c r="B1194">
        <v>223</v>
      </c>
      <c r="C1194">
        <v>62</v>
      </c>
      <c r="D1194">
        <v>7</v>
      </c>
      <c r="E1194" t="s">
        <v>885</v>
      </c>
      <c r="F1194" t="s">
        <v>896</v>
      </c>
    </row>
    <row r="1195" spans="1:6" x14ac:dyDescent="0.25">
      <c r="A1195" t="s">
        <v>767</v>
      </c>
      <c r="B1195">
        <v>770</v>
      </c>
      <c r="C1195">
        <v>323</v>
      </c>
      <c r="D1195">
        <v>3</v>
      </c>
      <c r="E1195" t="s">
        <v>888</v>
      </c>
      <c r="F1195" t="s">
        <v>900</v>
      </c>
    </row>
    <row r="1196" spans="1:6" x14ac:dyDescent="0.25">
      <c r="A1196" t="s">
        <v>767</v>
      </c>
      <c r="B1196">
        <v>222</v>
      </c>
      <c r="C1196">
        <v>74</v>
      </c>
      <c r="D1196">
        <v>5</v>
      </c>
      <c r="E1196" t="s">
        <v>885</v>
      </c>
      <c r="F1196" t="s">
        <v>887</v>
      </c>
    </row>
    <row r="1197" spans="1:6" x14ac:dyDescent="0.25">
      <c r="A1197" t="s">
        <v>767</v>
      </c>
      <c r="B1197">
        <v>215</v>
      </c>
      <c r="C1197">
        <v>-30</v>
      </c>
      <c r="D1197">
        <v>2</v>
      </c>
      <c r="E1197" t="s">
        <v>885</v>
      </c>
      <c r="F1197" t="s">
        <v>891</v>
      </c>
    </row>
    <row r="1198" spans="1:6" x14ac:dyDescent="0.25">
      <c r="A1198" t="s">
        <v>767</v>
      </c>
      <c r="B1198">
        <v>109</v>
      </c>
      <c r="C1198">
        <v>40</v>
      </c>
      <c r="D1198">
        <v>1</v>
      </c>
      <c r="E1198" t="s">
        <v>883</v>
      </c>
      <c r="F1198" t="s">
        <v>901</v>
      </c>
    </row>
    <row r="1199" spans="1:6" x14ac:dyDescent="0.25">
      <c r="A1199" t="s">
        <v>769</v>
      </c>
      <c r="B1199">
        <v>43</v>
      </c>
      <c r="C1199">
        <v>9</v>
      </c>
      <c r="D1199">
        <v>4</v>
      </c>
      <c r="E1199" t="s">
        <v>885</v>
      </c>
      <c r="F1199" t="s">
        <v>902</v>
      </c>
    </row>
    <row r="1200" spans="1:6" x14ac:dyDescent="0.25">
      <c r="A1200" t="s">
        <v>769</v>
      </c>
      <c r="B1200">
        <v>676</v>
      </c>
      <c r="C1200">
        <v>151</v>
      </c>
      <c r="D1200">
        <v>3</v>
      </c>
      <c r="E1200" t="s">
        <v>888</v>
      </c>
      <c r="F1200" t="s">
        <v>899</v>
      </c>
    </row>
    <row r="1201" spans="1:6" x14ac:dyDescent="0.25">
      <c r="A1201" t="s">
        <v>769</v>
      </c>
      <c r="B1201">
        <v>597</v>
      </c>
      <c r="C1201">
        <v>93</v>
      </c>
      <c r="D1201">
        <v>4</v>
      </c>
      <c r="E1201" t="s">
        <v>883</v>
      </c>
      <c r="F1201" t="s">
        <v>893</v>
      </c>
    </row>
    <row r="1202" spans="1:6" x14ac:dyDescent="0.25">
      <c r="A1202" t="s">
        <v>770</v>
      </c>
      <c r="B1202">
        <v>13</v>
      </c>
      <c r="C1202">
        <v>0</v>
      </c>
      <c r="D1202">
        <v>2</v>
      </c>
      <c r="E1202" t="s">
        <v>885</v>
      </c>
      <c r="F1202" t="s">
        <v>887</v>
      </c>
    </row>
    <row r="1203" spans="1:6" x14ac:dyDescent="0.25">
      <c r="A1203" t="s">
        <v>770</v>
      </c>
      <c r="B1203">
        <v>149</v>
      </c>
      <c r="C1203">
        <v>17</v>
      </c>
      <c r="D1203">
        <v>4</v>
      </c>
      <c r="E1203" t="s">
        <v>883</v>
      </c>
      <c r="F1203" t="s">
        <v>901</v>
      </c>
    </row>
    <row r="1204" spans="1:6" x14ac:dyDescent="0.25">
      <c r="A1204" t="s">
        <v>770</v>
      </c>
      <c r="B1204">
        <v>8</v>
      </c>
      <c r="C1204">
        <v>2</v>
      </c>
      <c r="D1204">
        <v>2</v>
      </c>
      <c r="E1204" t="s">
        <v>885</v>
      </c>
      <c r="F1204" t="s">
        <v>902</v>
      </c>
    </row>
    <row r="1205" spans="1:6" x14ac:dyDescent="0.25">
      <c r="A1205" t="s">
        <v>770</v>
      </c>
      <c r="B1205">
        <v>50</v>
      </c>
      <c r="C1205">
        <v>9</v>
      </c>
      <c r="D1205">
        <v>6</v>
      </c>
      <c r="E1205" t="s">
        <v>885</v>
      </c>
      <c r="F1205" t="s">
        <v>902</v>
      </c>
    </row>
    <row r="1206" spans="1:6" x14ac:dyDescent="0.25">
      <c r="A1206" t="s">
        <v>772</v>
      </c>
      <c r="B1206">
        <v>80</v>
      </c>
      <c r="C1206">
        <v>22</v>
      </c>
      <c r="D1206">
        <v>3</v>
      </c>
      <c r="E1206" t="s">
        <v>885</v>
      </c>
      <c r="F1206" t="s">
        <v>886</v>
      </c>
    </row>
    <row r="1207" spans="1:6" x14ac:dyDescent="0.25">
      <c r="A1207" t="s">
        <v>772</v>
      </c>
      <c r="B1207">
        <v>276</v>
      </c>
      <c r="C1207">
        <v>52</v>
      </c>
      <c r="D1207">
        <v>5</v>
      </c>
      <c r="E1207" t="s">
        <v>885</v>
      </c>
      <c r="F1207" t="s">
        <v>891</v>
      </c>
    </row>
    <row r="1208" spans="1:6" x14ac:dyDescent="0.25">
      <c r="A1208" t="s">
        <v>772</v>
      </c>
      <c r="B1208">
        <v>71</v>
      </c>
      <c r="C1208">
        <v>19</v>
      </c>
      <c r="D1208">
        <v>3</v>
      </c>
      <c r="E1208" t="s">
        <v>885</v>
      </c>
      <c r="F1208" t="s">
        <v>895</v>
      </c>
    </row>
    <row r="1209" spans="1:6" x14ac:dyDescent="0.25">
      <c r="A1209" t="s">
        <v>772</v>
      </c>
      <c r="B1209">
        <v>141</v>
      </c>
      <c r="C1209">
        <v>7</v>
      </c>
      <c r="D1209">
        <v>7</v>
      </c>
      <c r="E1209" t="s">
        <v>885</v>
      </c>
      <c r="F1209" t="s">
        <v>891</v>
      </c>
    </row>
    <row r="1210" spans="1:6" x14ac:dyDescent="0.25">
      <c r="A1210" t="s">
        <v>772</v>
      </c>
      <c r="B1210">
        <v>113</v>
      </c>
      <c r="C1210">
        <v>28</v>
      </c>
      <c r="D1210">
        <v>2</v>
      </c>
      <c r="E1210" t="s">
        <v>885</v>
      </c>
      <c r="F1210" t="s">
        <v>891</v>
      </c>
    </row>
    <row r="1211" spans="1:6" x14ac:dyDescent="0.25">
      <c r="A1211" t="s">
        <v>773</v>
      </c>
      <c r="B1211">
        <v>315</v>
      </c>
      <c r="C1211">
        <v>-8</v>
      </c>
      <c r="D1211">
        <v>3</v>
      </c>
      <c r="E1211" t="s">
        <v>883</v>
      </c>
      <c r="F1211" t="s">
        <v>893</v>
      </c>
    </row>
    <row r="1212" spans="1:6" x14ac:dyDescent="0.25">
      <c r="A1212" t="s">
        <v>773</v>
      </c>
      <c r="B1212">
        <v>128</v>
      </c>
      <c r="C1212">
        <v>47</v>
      </c>
      <c r="D1212">
        <v>4</v>
      </c>
      <c r="E1212" t="s">
        <v>885</v>
      </c>
      <c r="F1212" t="s">
        <v>887</v>
      </c>
    </row>
    <row r="1213" spans="1:6" x14ac:dyDescent="0.25">
      <c r="A1213" t="s">
        <v>773</v>
      </c>
      <c r="B1213">
        <v>652</v>
      </c>
      <c r="C1213">
        <v>13</v>
      </c>
      <c r="D1213">
        <v>6</v>
      </c>
      <c r="E1213" t="s">
        <v>883</v>
      </c>
      <c r="F1213" t="s">
        <v>901</v>
      </c>
    </row>
    <row r="1214" spans="1:6" x14ac:dyDescent="0.25">
      <c r="A1214" t="s">
        <v>773</v>
      </c>
      <c r="B1214">
        <v>114</v>
      </c>
      <c r="C1214">
        <v>41</v>
      </c>
      <c r="D1214">
        <v>6</v>
      </c>
      <c r="E1214" t="s">
        <v>883</v>
      </c>
      <c r="F1214" t="s">
        <v>901</v>
      </c>
    </row>
    <row r="1215" spans="1:6" x14ac:dyDescent="0.25">
      <c r="A1215" t="s">
        <v>773</v>
      </c>
      <c r="B1215">
        <v>79</v>
      </c>
      <c r="C1215">
        <v>16</v>
      </c>
      <c r="D1215">
        <v>3</v>
      </c>
      <c r="E1215" t="s">
        <v>885</v>
      </c>
      <c r="F1215" t="s">
        <v>895</v>
      </c>
    </row>
    <row r="1216" spans="1:6" x14ac:dyDescent="0.25">
      <c r="A1216" t="s">
        <v>773</v>
      </c>
      <c r="B1216">
        <v>498</v>
      </c>
      <c r="C1216">
        <v>-116</v>
      </c>
      <c r="D1216">
        <v>4</v>
      </c>
      <c r="E1216" t="s">
        <v>885</v>
      </c>
      <c r="F1216" t="s">
        <v>891</v>
      </c>
    </row>
    <row r="1217" spans="1:6" x14ac:dyDescent="0.25">
      <c r="A1217" t="s">
        <v>773</v>
      </c>
      <c r="B1217">
        <v>1745</v>
      </c>
      <c r="C1217">
        <v>122</v>
      </c>
      <c r="D1217">
        <v>2</v>
      </c>
      <c r="E1217" t="s">
        <v>883</v>
      </c>
      <c r="F1217" t="s">
        <v>898</v>
      </c>
    </row>
    <row r="1218" spans="1:6" x14ac:dyDescent="0.25">
      <c r="A1218" t="s">
        <v>773</v>
      </c>
      <c r="B1218">
        <v>17</v>
      </c>
      <c r="C1218">
        <v>2</v>
      </c>
      <c r="D1218">
        <v>2</v>
      </c>
      <c r="E1218" t="s">
        <v>885</v>
      </c>
      <c r="F1218" t="s">
        <v>902</v>
      </c>
    </row>
    <row r="1219" spans="1:6" x14ac:dyDescent="0.25">
      <c r="A1219" t="s">
        <v>775</v>
      </c>
      <c r="B1219">
        <v>147</v>
      </c>
      <c r="C1219">
        <v>44</v>
      </c>
      <c r="D1219">
        <v>3</v>
      </c>
      <c r="E1219" t="s">
        <v>885</v>
      </c>
      <c r="F1219" t="s">
        <v>891</v>
      </c>
    </row>
    <row r="1220" spans="1:6" x14ac:dyDescent="0.25">
      <c r="A1220" t="s">
        <v>775</v>
      </c>
      <c r="B1220">
        <v>162</v>
      </c>
      <c r="C1220">
        <v>73</v>
      </c>
      <c r="D1220">
        <v>2</v>
      </c>
      <c r="E1220" t="s">
        <v>888</v>
      </c>
      <c r="F1220" t="s">
        <v>889</v>
      </c>
    </row>
    <row r="1221" spans="1:6" x14ac:dyDescent="0.25">
      <c r="A1221" t="s">
        <v>777</v>
      </c>
      <c r="B1221">
        <v>87</v>
      </c>
      <c r="C1221">
        <v>10</v>
      </c>
      <c r="D1221">
        <v>3</v>
      </c>
      <c r="E1221" t="s">
        <v>885</v>
      </c>
      <c r="F1221" t="s">
        <v>886</v>
      </c>
    </row>
    <row r="1222" spans="1:6" x14ac:dyDescent="0.25">
      <c r="A1222" t="s">
        <v>779</v>
      </c>
      <c r="B1222">
        <v>1301</v>
      </c>
      <c r="C1222">
        <v>573</v>
      </c>
      <c r="D1222">
        <v>5</v>
      </c>
      <c r="E1222" t="s">
        <v>888</v>
      </c>
      <c r="F1222" t="s">
        <v>900</v>
      </c>
    </row>
    <row r="1223" spans="1:6" x14ac:dyDescent="0.25">
      <c r="A1223" t="s">
        <v>781</v>
      </c>
      <c r="B1223">
        <v>311</v>
      </c>
      <c r="C1223">
        <v>72</v>
      </c>
      <c r="D1223">
        <v>2</v>
      </c>
      <c r="E1223" t="s">
        <v>883</v>
      </c>
      <c r="F1223" t="s">
        <v>884</v>
      </c>
    </row>
    <row r="1224" spans="1:6" x14ac:dyDescent="0.25">
      <c r="A1224" t="s">
        <v>782</v>
      </c>
      <c r="B1224">
        <v>22</v>
      </c>
      <c r="C1224">
        <v>4</v>
      </c>
      <c r="D1224">
        <v>1</v>
      </c>
      <c r="E1224" t="s">
        <v>885</v>
      </c>
      <c r="F1224" t="s">
        <v>886</v>
      </c>
    </row>
    <row r="1225" spans="1:6" x14ac:dyDescent="0.25">
      <c r="A1225" t="s">
        <v>782</v>
      </c>
      <c r="B1225">
        <v>206</v>
      </c>
      <c r="C1225">
        <v>51</v>
      </c>
      <c r="D1225">
        <v>4</v>
      </c>
      <c r="E1225" t="s">
        <v>885</v>
      </c>
      <c r="F1225" t="s">
        <v>887</v>
      </c>
    </row>
    <row r="1226" spans="1:6" x14ac:dyDescent="0.25">
      <c r="A1226" t="s">
        <v>782</v>
      </c>
      <c r="B1226">
        <v>57</v>
      </c>
      <c r="C1226">
        <v>24</v>
      </c>
      <c r="D1226">
        <v>5</v>
      </c>
      <c r="E1226" t="s">
        <v>885</v>
      </c>
      <c r="F1226" t="s">
        <v>897</v>
      </c>
    </row>
    <row r="1227" spans="1:6" x14ac:dyDescent="0.25">
      <c r="A1227" t="s">
        <v>782</v>
      </c>
      <c r="B1227">
        <v>10</v>
      </c>
      <c r="C1227">
        <v>-1</v>
      </c>
      <c r="D1227">
        <v>1</v>
      </c>
      <c r="E1227" t="s">
        <v>885</v>
      </c>
      <c r="F1227" t="s">
        <v>891</v>
      </c>
    </row>
    <row r="1228" spans="1:6" x14ac:dyDescent="0.25">
      <c r="A1228" t="s">
        <v>784</v>
      </c>
      <c r="B1228">
        <v>285</v>
      </c>
      <c r="C1228">
        <v>128</v>
      </c>
      <c r="D1228">
        <v>2</v>
      </c>
      <c r="E1228" t="s">
        <v>888</v>
      </c>
      <c r="F1228" t="s">
        <v>899</v>
      </c>
    </row>
    <row r="1229" spans="1:6" x14ac:dyDescent="0.25">
      <c r="A1229" t="s">
        <v>784</v>
      </c>
      <c r="B1229">
        <v>195</v>
      </c>
      <c r="C1229">
        <v>12</v>
      </c>
      <c r="D1229">
        <v>9</v>
      </c>
      <c r="E1229" t="s">
        <v>885</v>
      </c>
      <c r="F1229" t="s">
        <v>896</v>
      </c>
    </row>
    <row r="1230" spans="1:6" x14ac:dyDescent="0.25">
      <c r="A1230" t="s">
        <v>785</v>
      </c>
      <c r="B1230">
        <v>527</v>
      </c>
      <c r="C1230">
        <v>26</v>
      </c>
      <c r="D1230">
        <v>3</v>
      </c>
      <c r="E1230" t="s">
        <v>888</v>
      </c>
      <c r="F1230" t="s">
        <v>889</v>
      </c>
    </row>
    <row r="1231" spans="1:6" x14ac:dyDescent="0.25">
      <c r="A1231" t="s">
        <v>785</v>
      </c>
      <c r="B1231">
        <v>29</v>
      </c>
      <c r="C1231">
        <v>3</v>
      </c>
      <c r="D1231">
        <v>2</v>
      </c>
      <c r="E1231" t="s">
        <v>885</v>
      </c>
      <c r="F1231" t="s">
        <v>886</v>
      </c>
    </row>
    <row r="1232" spans="1:6" x14ac:dyDescent="0.25">
      <c r="A1232" t="s">
        <v>785</v>
      </c>
      <c r="B1232">
        <v>85</v>
      </c>
      <c r="C1232">
        <v>13</v>
      </c>
      <c r="D1232">
        <v>2</v>
      </c>
      <c r="E1232" t="s">
        <v>885</v>
      </c>
      <c r="F1232" t="s">
        <v>896</v>
      </c>
    </row>
    <row r="1233" spans="1:6" x14ac:dyDescent="0.25">
      <c r="A1233" t="s">
        <v>785</v>
      </c>
      <c r="B1233">
        <v>18</v>
      </c>
      <c r="C1233">
        <v>2</v>
      </c>
      <c r="D1233">
        <v>3</v>
      </c>
      <c r="E1233" t="s">
        <v>885</v>
      </c>
      <c r="F1233" t="s">
        <v>887</v>
      </c>
    </row>
    <row r="1234" spans="1:6" x14ac:dyDescent="0.25">
      <c r="A1234" t="s">
        <v>785</v>
      </c>
      <c r="B1234">
        <v>176</v>
      </c>
      <c r="C1234">
        <v>-13</v>
      </c>
      <c r="D1234">
        <v>5</v>
      </c>
      <c r="E1234" t="s">
        <v>883</v>
      </c>
      <c r="F1234" t="s">
        <v>901</v>
      </c>
    </row>
    <row r="1235" spans="1:6" x14ac:dyDescent="0.25">
      <c r="A1235" t="s">
        <v>785</v>
      </c>
      <c r="B1235">
        <v>55</v>
      </c>
      <c r="C1235">
        <v>3</v>
      </c>
      <c r="D1235">
        <v>3</v>
      </c>
      <c r="E1235" t="s">
        <v>885</v>
      </c>
      <c r="F1235" t="s">
        <v>895</v>
      </c>
    </row>
    <row r="1236" spans="1:6" x14ac:dyDescent="0.25">
      <c r="A1236" t="s">
        <v>787</v>
      </c>
      <c r="B1236">
        <v>93</v>
      </c>
      <c r="C1236">
        <v>44</v>
      </c>
      <c r="D1236">
        <v>2</v>
      </c>
      <c r="E1236" t="s">
        <v>885</v>
      </c>
      <c r="F1236" t="s">
        <v>886</v>
      </c>
    </row>
    <row r="1237" spans="1:6" x14ac:dyDescent="0.25">
      <c r="A1237" t="s">
        <v>788</v>
      </c>
      <c r="B1237">
        <v>21</v>
      </c>
      <c r="C1237">
        <v>8</v>
      </c>
      <c r="D1237">
        <v>2</v>
      </c>
      <c r="E1237" t="s">
        <v>885</v>
      </c>
      <c r="F1237" t="s">
        <v>891</v>
      </c>
    </row>
    <row r="1238" spans="1:6" x14ac:dyDescent="0.25">
      <c r="A1238" t="s">
        <v>789</v>
      </c>
      <c r="B1238">
        <v>29</v>
      </c>
      <c r="C1238">
        <v>10</v>
      </c>
      <c r="D1238">
        <v>3</v>
      </c>
      <c r="E1238" t="s">
        <v>885</v>
      </c>
      <c r="F1238" t="s">
        <v>902</v>
      </c>
    </row>
    <row r="1239" spans="1:6" x14ac:dyDescent="0.25">
      <c r="A1239" t="s">
        <v>790</v>
      </c>
      <c r="B1239">
        <v>406</v>
      </c>
      <c r="C1239">
        <v>97</v>
      </c>
      <c r="D1239">
        <v>7</v>
      </c>
      <c r="E1239" t="s">
        <v>883</v>
      </c>
      <c r="F1239" t="s">
        <v>893</v>
      </c>
    </row>
    <row r="1240" spans="1:6" x14ac:dyDescent="0.25">
      <c r="A1240" t="s">
        <v>790</v>
      </c>
      <c r="B1240">
        <v>278</v>
      </c>
      <c r="C1240">
        <v>39</v>
      </c>
      <c r="D1240">
        <v>5</v>
      </c>
      <c r="E1240" t="s">
        <v>883</v>
      </c>
      <c r="F1240" t="s">
        <v>893</v>
      </c>
    </row>
    <row r="1241" spans="1:6" x14ac:dyDescent="0.25">
      <c r="A1241" t="s">
        <v>791</v>
      </c>
      <c r="B1241">
        <v>128</v>
      </c>
      <c r="C1241">
        <v>55</v>
      </c>
      <c r="D1241">
        <v>1</v>
      </c>
      <c r="E1241" t="s">
        <v>885</v>
      </c>
      <c r="F1241" t="s">
        <v>891</v>
      </c>
    </row>
    <row r="1242" spans="1:6" x14ac:dyDescent="0.25">
      <c r="A1242" t="s">
        <v>792</v>
      </c>
      <c r="B1242">
        <v>74</v>
      </c>
      <c r="C1242">
        <v>9</v>
      </c>
      <c r="D1242">
        <v>3</v>
      </c>
      <c r="E1242" t="s">
        <v>885</v>
      </c>
      <c r="F1242" t="s">
        <v>896</v>
      </c>
    </row>
    <row r="1243" spans="1:6" x14ac:dyDescent="0.25">
      <c r="A1243" t="s">
        <v>792</v>
      </c>
      <c r="B1243">
        <v>202</v>
      </c>
      <c r="C1243">
        <v>4</v>
      </c>
      <c r="D1243">
        <v>4</v>
      </c>
      <c r="E1243" t="s">
        <v>885</v>
      </c>
      <c r="F1243" t="s">
        <v>887</v>
      </c>
    </row>
    <row r="1244" spans="1:6" x14ac:dyDescent="0.25">
      <c r="A1244" t="s">
        <v>792</v>
      </c>
      <c r="B1244">
        <v>429</v>
      </c>
      <c r="C1244">
        <v>61</v>
      </c>
      <c r="D1244">
        <v>3</v>
      </c>
      <c r="E1244" t="s">
        <v>888</v>
      </c>
      <c r="F1244" t="s">
        <v>889</v>
      </c>
    </row>
    <row r="1245" spans="1:6" x14ac:dyDescent="0.25">
      <c r="A1245" t="s">
        <v>792</v>
      </c>
      <c r="B1245">
        <v>134</v>
      </c>
      <c r="C1245">
        <v>-13</v>
      </c>
      <c r="D1245">
        <v>3</v>
      </c>
      <c r="E1245" t="s">
        <v>888</v>
      </c>
      <c r="F1245" t="s">
        <v>889</v>
      </c>
    </row>
    <row r="1246" spans="1:6" x14ac:dyDescent="0.25">
      <c r="A1246" t="s">
        <v>793</v>
      </c>
      <c r="B1246">
        <v>78</v>
      </c>
      <c r="C1246">
        <v>7</v>
      </c>
      <c r="D1246">
        <v>1</v>
      </c>
      <c r="E1246" t="s">
        <v>883</v>
      </c>
      <c r="F1246" t="s">
        <v>893</v>
      </c>
    </row>
    <row r="1247" spans="1:6" x14ac:dyDescent="0.25">
      <c r="A1247" t="s">
        <v>794</v>
      </c>
      <c r="B1247">
        <v>326</v>
      </c>
      <c r="C1247">
        <v>107</v>
      </c>
      <c r="D1247">
        <v>3</v>
      </c>
      <c r="E1247" t="s">
        <v>883</v>
      </c>
      <c r="F1247" t="s">
        <v>901</v>
      </c>
    </row>
    <row r="1248" spans="1:6" x14ac:dyDescent="0.25">
      <c r="A1248" t="s">
        <v>794</v>
      </c>
      <c r="B1248">
        <v>61</v>
      </c>
      <c r="C1248">
        <v>8</v>
      </c>
      <c r="D1248">
        <v>4</v>
      </c>
      <c r="E1248" t="s">
        <v>885</v>
      </c>
      <c r="F1248" t="s">
        <v>887</v>
      </c>
    </row>
    <row r="1249" spans="1:6" x14ac:dyDescent="0.25">
      <c r="A1249" t="s">
        <v>795</v>
      </c>
      <c r="B1249">
        <v>585</v>
      </c>
      <c r="C1249">
        <v>175</v>
      </c>
      <c r="D1249">
        <v>13</v>
      </c>
      <c r="E1249" t="s">
        <v>885</v>
      </c>
      <c r="F1249" t="s">
        <v>895</v>
      </c>
    </row>
    <row r="1250" spans="1:6" x14ac:dyDescent="0.25">
      <c r="A1250" t="s">
        <v>796</v>
      </c>
      <c r="B1250">
        <v>319</v>
      </c>
      <c r="C1250">
        <v>102</v>
      </c>
      <c r="D1250">
        <v>6</v>
      </c>
      <c r="E1250" t="s">
        <v>888</v>
      </c>
      <c r="F1250" t="s">
        <v>900</v>
      </c>
    </row>
    <row r="1251" spans="1:6" x14ac:dyDescent="0.25">
      <c r="A1251" t="s">
        <v>797</v>
      </c>
      <c r="B1251">
        <v>122</v>
      </c>
      <c r="C1251">
        <v>59</v>
      </c>
      <c r="D1251">
        <v>7</v>
      </c>
      <c r="E1251" t="s">
        <v>883</v>
      </c>
      <c r="F1251" t="s">
        <v>901</v>
      </c>
    </row>
    <row r="1252" spans="1:6" x14ac:dyDescent="0.25">
      <c r="A1252" t="s">
        <v>797</v>
      </c>
      <c r="B1252">
        <v>49</v>
      </c>
      <c r="C1252">
        <v>21</v>
      </c>
      <c r="D1252">
        <v>1</v>
      </c>
      <c r="E1252" t="s">
        <v>885</v>
      </c>
      <c r="F1252" t="s">
        <v>886</v>
      </c>
    </row>
    <row r="1253" spans="1:6" x14ac:dyDescent="0.25">
      <c r="A1253" t="s">
        <v>797</v>
      </c>
      <c r="B1253">
        <v>21</v>
      </c>
      <c r="C1253">
        <v>-12</v>
      </c>
      <c r="D1253">
        <v>3</v>
      </c>
      <c r="E1253" t="s">
        <v>885</v>
      </c>
      <c r="F1253" t="s">
        <v>887</v>
      </c>
    </row>
    <row r="1254" spans="1:6" x14ac:dyDescent="0.25">
      <c r="A1254" t="s">
        <v>798</v>
      </c>
      <c r="B1254">
        <v>1824</v>
      </c>
      <c r="C1254">
        <v>-1303</v>
      </c>
      <c r="D1254">
        <v>8</v>
      </c>
      <c r="E1254" t="s">
        <v>888</v>
      </c>
      <c r="F1254" t="s">
        <v>890</v>
      </c>
    </row>
    <row r="1255" spans="1:6" x14ac:dyDescent="0.25">
      <c r="A1255" t="s">
        <v>799</v>
      </c>
      <c r="B1255">
        <v>1117</v>
      </c>
      <c r="C1255">
        <v>447</v>
      </c>
      <c r="D1255">
        <v>10</v>
      </c>
      <c r="E1255" t="s">
        <v>883</v>
      </c>
      <c r="F1255" t="s">
        <v>884</v>
      </c>
    </row>
    <row r="1256" spans="1:6" x14ac:dyDescent="0.25">
      <c r="A1256" t="s">
        <v>799</v>
      </c>
      <c r="B1256">
        <v>29</v>
      </c>
      <c r="C1256">
        <v>0</v>
      </c>
      <c r="D1256">
        <v>3</v>
      </c>
      <c r="E1256" t="s">
        <v>883</v>
      </c>
      <c r="F1256" t="s">
        <v>901</v>
      </c>
    </row>
    <row r="1257" spans="1:6" x14ac:dyDescent="0.25">
      <c r="A1257" t="s">
        <v>799</v>
      </c>
      <c r="B1257">
        <v>66</v>
      </c>
      <c r="C1257">
        <v>22</v>
      </c>
      <c r="D1257">
        <v>3</v>
      </c>
      <c r="E1257" t="s">
        <v>885</v>
      </c>
      <c r="F1257" t="s">
        <v>886</v>
      </c>
    </row>
    <row r="1258" spans="1:6" x14ac:dyDescent="0.25">
      <c r="A1258" t="s">
        <v>799</v>
      </c>
      <c r="B1258">
        <v>59</v>
      </c>
      <c r="C1258">
        <v>21</v>
      </c>
      <c r="D1258">
        <v>2</v>
      </c>
      <c r="E1258" t="s">
        <v>885</v>
      </c>
      <c r="F1258" t="s">
        <v>886</v>
      </c>
    </row>
    <row r="1259" spans="1:6" x14ac:dyDescent="0.25">
      <c r="A1259" t="s">
        <v>800</v>
      </c>
      <c r="B1259">
        <v>168</v>
      </c>
      <c r="C1259">
        <v>18</v>
      </c>
      <c r="D1259">
        <v>6</v>
      </c>
      <c r="E1259" t="s">
        <v>885</v>
      </c>
      <c r="F1259" t="s">
        <v>886</v>
      </c>
    </row>
    <row r="1260" spans="1:6" x14ac:dyDescent="0.25">
      <c r="A1260" t="s">
        <v>801</v>
      </c>
      <c r="B1260">
        <v>155</v>
      </c>
      <c r="C1260">
        <v>5</v>
      </c>
      <c r="D1260">
        <v>3</v>
      </c>
      <c r="E1260" t="s">
        <v>885</v>
      </c>
      <c r="F1260" t="s">
        <v>886</v>
      </c>
    </row>
    <row r="1261" spans="1:6" x14ac:dyDescent="0.25">
      <c r="A1261" t="s">
        <v>801</v>
      </c>
      <c r="B1261">
        <v>32</v>
      </c>
      <c r="C1261">
        <v>1</v>
      </c>
      <c r="D1261">
        <v>2</v>
      </c>
      <c r="E1261" t="s">
        <v>885</v>
      </c>
      <c r="F1261" t="s">
        <v>886</v>
      </c>
    </row>
    <row r="1262" spans="1:6" x14ac:dyDescent="0.25">
      <c r="A1262" t="s">
        <v>801</v>
      </c>
      <c r="B1262">
        <v>41</v>
      </c>
      <c r="C1262">
        <v>19</v>
      </c>
      <c r="D1262">
        <v>5</v>
      </c>
      <c r="E1262" t="s">
        <v>885</v>
      </c>
      <c r="F1262" t="s">
        <v>887</v>
      </c>
    </row>
    <row r="1263" spans="1:6" x14ac:dyDescent="0.25">
      <c r="A1263" t="s">
        <v>802</v>
      </c>
      <c r="B1263">
        <v>255</v>
      </c>
      <c r="C1263">
        <v>76</v>
      </c>
      <c r="D1263">
        <v>9</v>
      </c>
      <c r="E1263" t="s">
        <v>885</v>
      </c>
      <c r="F1263" t="s">
        <v>887</v>
      </c>
    </row>
    <row r="1264" spans="1:6" x14ac:dyDescent="0.25">
      <c r="A1264" t="s">
        <v>802</v>
      </c>
      <c r="B1264">
        <v>25</v>
      </c>
      <c r="C1264">
        <v>2</v>
      </c>
      <c r="D1264">
        <v>3</v>
      </c>
      <c r="E1264" t="s">
        <v>885</v>
      </c>
      <c r="F1264" t="s">
        <v>894</v>
      </c>
    </row>
    <row r="1265" spans="1:6" x14ac:dyDescent="0.25">
      <c r="A1265" t="s">
        <v>803</v>
      </c>
      <c r="B1265">
        <v>54</v>
      </c>
      <c r="C1265">
        <v>8</v>
      </c>
      <c r="D1265">
        <v>4</v>
      </c>
      <c r="E1265" t="s">
        <v>885</v>
      </c>
      <c r="F1265" t="s">
        <v>895</v>
      </c>
    </row>
    <row r="1266" spans="1:6" x14ac:dyDescent="0.25">
      <c r="A1266" t="s">
        <v>804</v>
      </c>
      <c r="B1266">
        <v>77</v>
      </c>
      <c r="C1266">
        <v>36</v>
      </c>
      <c r="D1266">
        <v>2</v>
      </c>
      <c r="E1266" t="s">
        <v>885</v>
      </c>
      <c r="F1266" t="s">
        <v>896</v>
      </c>
    </row>
    <row r="1267" spans="1:6" x14ac:dyDescent="0.25">
      <c r="A1267" t="s">
        <v>804</v>
      </c>
      <c r="B1267">
        <v>115</v>
      </c>
      <c r="C1267">
        <v>0</v>
      </c>
      <c r="D1267">
        <v>1</v>
      </c>
      <c r="E1267" t="s">
        <v>888</v>
      </c>
      <c r="F1267" t="s">
        <v>900</v>
      </c>
    </row>
    <row r="1268" spans="1:6" x14ac:dyDescent="0.25">
      <c r="A1268" t="s">
        <v>804</v>
      </c>
      <c r="B1268">
        <v>1272</v>
      </c>
      <c r="C1268">
        <v>547</v>
      </c>
      <c r="D1268">
        <v>2</v>
      </c>
      <c r="E1268" t="s">
        <v>888</v>
      </c>
      <c r="F1268" t="s">
        <v>890</v>
      </c>
    </row>
    <row r="1269" spans="1:6" x14ac:dyDescent="0.25">
      <c r="A1269" t="s">
        <v>805</v>
      </c>
      <c r="B1269">
        <v>21</v>
      </c>
      <c r="C1269">
        <v>10</v>
      </c>
      <c r="D1269">
        <v>1</v>
      </c>
      <c r="E1269" t="s">
        <v>885</v>
      </c>
      <c r="F1269" t="s">
        <v>895</v>
      </c>
    </row>
    <row r="1270" spans="1:6" x14ac:dyDescent="0.25">
      <c r="A1270" t="s">
        <v>806</v>
      </c>
      <c r="B1270">
        <v>92</v>
      </c>
      <c r="C1270">
        <v>5</v>
      </c>
      <c r="D1270">
        <v>6</v>
      </c>
      <c r="E1270" t="s">
        <v>885</v>
      </c>
      <c r="F1270" t="s">
        <v>887</v>
      </c>
    </row>
    <row r="1271" spans="1:6" x14ac:dyDescent="0.25">
      <c r="A1271" t="s">
        <v>806</v>
      </c>
      <c r="B1271">
        <v>11</v>
      </c>
      <c r="C1271">
        <v>5</v>
      </c>
      <c r="D1271">
        <v>1</v>
      </c>
      <c r="E1271" t="s">
        <v>885</v>
      </c>
      <c r="F1271" t="s">
        <v>902</v>
      </c>
    </row>
    <row r="1272" spans="1:6" x14ac:dyDescent="0.25">
      <c r="A1272" t="s">
        <v>806</v>
      </c>
      <c r="B1272">
        <v>221</v>
      </c>
      <c r="C1272">
        <v>35</v>
      </c>
      <c r="D1272">
        <v>4</v>
      </c>
      <c r="E1272" t="s">
        <v>888</v>
      </c>
      <c r="F1272" t="s">
        <v>900</v>
      </c>
    </row>
    <row r="1273" spans="1:6" x14ac:dyDescent="0.25">
      <c r="A1273" t="s">
        <v>806</v>
      </c>
      <c r="B1273">
        <v>50</v>
      </c>
      <c r="C1273">
        <v>25</v>
      </c>
      <c r="D1273">
        <v>5</v>
      </c>
      <c r="E1273" t="s">
        <v>885</v>
      </c>
      <c r="F1273" t="s">
        <v>886</v>
      </c>
    </row>
    <row r="1274" spans="1:6" x14ac:dyDescent="0.25">
      <c r="A1274" t="s">
        <v>806</v>
      </c>
      <c r="B1274">
        <v>89</v>
      </c>
      <c r="C1274">
        <v>36</v>
      </c>
      <c r="D1274">
        <v>3</v>
      </c>
      <c r="E1274" t="s">
        <v>885</v>
      </c>
      <c r="F1274" t="s">
        <v>896</v>
      </c>
    </row>
    <row r="1275" spans="1:6" x14ac:dyDescent="0.25">
      <c r="A1275" t="s">
        <v>806</v>
      </c>
      <c r="B1275">
        <v>291</v>
      </c>
      <c r="C1275">
        <v>93</v>
      </c>
      <c r="D1275">
        <v>2</v>
      </c>
      <c r="E1275" t="s">
        <v>888</v>
      </c>
      <c r="F1275" t="s">
        <v>899</v>
      </c>
    </row>
    <row r="1276" spans="1:6" x14ac:dyDescent="0.25">
      <c r="A1276" t="s">
        <v>807</v>
      </c>
      <c r="B1276">
        <v>67</v>
      </c>
      <c r="C1276">
        <v>9</v>
      </c>
      <c r="D1276">
        <v>4</v>
      </c>
      <c r="E1276" t="s">
        <v>885</v>
      </c>
      <c r="F1276" t="s">
        <v>897</v>
      </c>
    </row>
    <row r="1277" spans="1:6" x14ac:dyDescent="0.25">
      <c r="A1277" t="s">
        <v>808</v>
      </c>
      <c r="B1277">
        <v>47</v>
      </c>
      <c r="C1277">
        <v>15</v>
      </c>
      <c r="D1277">
        <v>5</v>
      </c>
      <c r="E1277" t="s">
        <v>885</v>
      </c>
      <c r="F1277" t="s">
        <v>891</v>
      </c>
    </row>
    <row r="1278" spans="1:6" x14ac:dyDescent="0.25">
      <c r="A1278" t="s">
        <v>809</v>
      </c>
      <c r="B1278">
        <v>774</v>
      </c>
      <c r="C1278">
        <v>170</v>
      </c>
      <c r="D1278">
        <v>3</v>
      </c>
      <c r="E1278" t="s">
        <v>888</v>
      </c>
      <c r="F1278" t="s">
        <v>900</v>
      </c>
    </row>
    <row r="1279" spans="1:6" x14ac:dyDescent="0.25">
      <c r="A1279" t="s">
        <v>809</v>
      </c>
      <c r="B1279">
        <v>143</v>
      </c>
      <c r="C1279">
        <v>32</v>
      </c>
      <c r="D1279">
        <v>1</v>
      </c>
      <c r="E1279" t="s">
        <v>883</v>
      </c>
      <c r="F1279" t="s">
        <v>884</v>
      </c>
    </row>
    <row r="1280" spans="1:6" x14ac:dyDescent="0.25">
      <c r="A1280" t="s">
        <v>809</v>
      </c>
      <c r="B1280">
        <v>111</v>
      </c>
      <c r="C1280">
        <v>35</v>
      </c>
      <c r="D1280">
        <v>5</v>
      </c>
      <c r="E1280" t="s">
        <v>885</v>
      </c>
      <c r="F1280" t="s">
        <v>896</v>
      </c>
    </row>
    <row r="1281" spans="1:6" x14ac:dyDescent="0.25">
      <c r="A1281" t="s">
        <v>810</v>
      </c>
      <c r="B1281">
        <v>425</v>
      </c>
      <c r="C1281">
        <v>183</v>
      </c>
      <c r="D1281">
        <v>5</v>
      </c>
      <c r="E1281" t="s">
        <v>888</v>
      </c>
      <c r="F1281" t="s">
        <v>900</v>
      </c>
    </row>
    <row r="1282" spans="1:6" x14ac:dyDescent="0.25">
      <c r="A1282" t="s">
        <v>811</v>
      </c>
      <c r="B1282">
        <v>291</v>
      </c>
      <c r="C1282">
        <v>119</v>
      </c>
      <c r="D1282">
        <v>11</v>
      </c>
      <c r="E1282" t="s">
        <v>885</v>
      </c>
      <c r="F1282" t="s">
        <v>891</v>
      </c>
    </row>
    <row r="1283" spans="1:6" x14ac:dyDescent="0.25">
      <c r="A1283" t="s">
        <v>811</v>
      </c>
      <c r="B1283">
        <v>520</v>
      </c>
      <c r="C1283">
        <v>151</v>
      </c>
      <c r="D1283">
        <v>3</v>
      </c>
      <c r="E1283" t="s">
        <v>888</v>
      </c>
      <c r="F1283" t="s">
        <v>890</v>
      </c>
    </row>
    <row r="1284" spans="1:6" x14ac:dyDescent="0.25">
      <c r="A1284" t="s">
        <v>811</v>
      </c>
      <c r="B1284">
        <v>369</v>
      </c>
      <c r="C1284">
        <v>15</v>
      </c>
      <c r="D1284">
        <v>3</v>
      </c>
      <c r="E1284" t="s">
        <v>888</v>
      </c>
      <c r="F1284" t="s">
        <v>889</v>
      </c>
    </row>
    <row r="1285" spans="1:6" x14ac:dyDescent="0.25">
      <c r="A1285" t="s">
        <v>812</v>
      </c>
      <c r="B1285">
        <v>341</v>
      </c>
      <c r="C1285">
        <v>44</v>
      </c>
      <c r="D1285">
        <v>7</v>
      </c>
      <c r="E1285" t="s">
        <v>883</v>
      </c>
      <c r="F1285" t="s">
        <v>901</v>
      </c>
    </row>
    <row r="1286" spans="1:6" x14ac:dyDescent="0.25">
      <c r="A1286" t="s">
        <v>813</v>
      </c>
      <c r="B1286">
        <v>171</v>
      </c>
      <c r="C1286">
        <v>68</v>
      </c>
      <c r="D1286">
        <v>7</v>
      </c>
      <c r="E1286" t="s">
        <v>885</v>
      </c>
      <c r="F1286" t="s">
        <v>886</v>
      </c>
    </row>
    <row r="1287" spans="1:6" x14ac:dyDescent="0.25">
      <c r="A1287" t="s">
        <v>814</v>
      </c>
      <c r="B1287">
        <v>41</v>
      </c>
      <c r="C1287">
        <v>19</v>
      </c>
      <c r="D1287">
        <v>2</v>
      </c>
      <c r="E1287" t="s">
        <v>885</v>
      </c>
      <c r="F1287" t="s">
        <v>895</v>
      </c>
    </row>
    <row r="1288" spans="1:6" x14ac:dyDescent="0.25">
      <c r="A1288" t="s">
        <v>814</v>
      </c>
      <c r="B1288">
        <v>130</v>
      </c>
      <c r="C1288">
        <v>61</v>
      </c>
      <c r="D1288">
        <v>3</v>
      </c>
      <c r="E1288" t="s">
        <v>885</v>
      </c>
      <c r="F1288" t="s">
        <v>896</v>
      </c>
    </row>
    <row r="1289" spans="1:6" x14ac:dyDescent="0.25">
      <c r="A1289" t="s">
        <v>814</v>
      </c>
      <c r="B1289">
        <v>52</v>
      </c>
      <c r="C1289">
        <v>14</v>
      </c>
      <c r="D1289">
        <v>2</v>
      </c>
      <c r="E1289" t="s">
        <v>885</v>
      </c>
      <c r="F1289" t="s">
        <v>886</v>
      </c>
    </row>
    <row r="1290" spans="1:6" x14ac:dyDescent="0.25">
      <c r="A1290" t="s">
        <v>814</v>
      </c>
      <c r="B1290">
        <v>30</v>
      </c>
      <c r="C1290">
        <v>6</v>
      </c>
      <c r="D1290">
        <v>1</v>
      </c>
      <c r="E1290" t="s">
        <v>885</v>
      </c>
      <c r="F1290" t="s">
        <v>895</v>
      </c>
    </row>
    <row r="1291" spans="1:6" x14ac:dyDescent="0.25">
      <c r="A1291" t="s">
        <v>815</v>
      </c>
      <c r="B1291">
        <v>83</v>
      </c>
      <c r="C1291">
        <v>34</v>
      </c>
      <c r="D1291">
        <v>5</v>
      </c>
      <c r="E1291" t="s">
        <v>885</v>
      </c>
      <c r="F1291" t="s">
        <v>896</v>
      </c>
    </row>
    <row r="1292" spans="1:6" x14ac:dyDescent="0.25">
      <c r="A1292" t="s">
        <v>816</v>
      </c>
      <c r="B1292">
        <v>38</v>
      </c>
      <c r="C1292">
        <v>9</v>
      </c>
      <c r="D1292">
        <v>2</v>
      </c>
      <c r="E1292" t="s">
        <v>885</v>
      </c>
      <c r="F1292" t="s">
        <v>886</v>
      </c>
    </row>
    <row r="1293" spans="1:6" x14ac:dyDescent="0.25">
      <c r="A1293" t="s">
        <v>816</v>
      </c>
      <c r="B1293">
        <v>113</v>
      </c>
      <c r="C1293">
        <v>24</v>
      </c>
      <c r="D1293">
        <v>4</v>
      </c>
      <c r="E1293" t="s">
        <v>885</v>
      </c>
      <c r="F1293" t="s">
        <v>887</v>
      </c>
    </row>
    <row r="1294" spans="1:6" x14ac:dyDescent="0.25">
      <c r="A1294" t="s">
        <v>816</v>
      </c>
      <c r="B1294">
        <v>833</v>
      </c>
      <c r="C1294">
        <v>93</v>
      </c>
      <c r="D1294">
        <v>3</v>
      </c>
      <c r="E1294" t="s">
        <v>885</v>
      </c>
      <c r="F1294" t="s">
        <v>892</v>
      </c>
    </row>
    <row r="1295" spans="1:6" x14ac:dyDescent="0.25">
      <c r="A1295" t="s">
        <v>817</v>
      </c>
      <c r="B1295">
        <v>176</v>
      </c>
      <c r="C1295">
        <v>-28</v>
      </c>
      <c r="D1295">
        <v>5</v>
      </c>
      <c r="E1295" t="s">
        <v>883</v>
      </c>
      <c r="F1295" t="s">
        <v>901</v>
      </c>
    </row>
    <row r="1296" spans="1:6" x14ac:dyDescent="0.25">
      <c r="A1296" t="s">
        <v>818</v>
      </c>
      <c r="B1296">
        <v>36</v>
      </c>
      <c r="C1296">
        <v>15</v>
      </c>
      <c r="D1296">
        <v>3</v>
      </c>
      <c r="E1296" t="s">
        <v>885</v>
      </c>
      <c r="F1296" t="s">
        <v>886</v>
      </c>
    </row>
    <row r="1297" spans="1:6" x14ac:dyDescent="0.25">
      <c r="A1297" t="s">
        <v>819</v>
      </c>
      <c r="B1297">
        <v>185</v>
      </c>
      <c r="C1297">
        <v>48</v>
      </c>
      <c r="D1297">
        <v>4</v>
      </c>
      <c r="E1297" t="s">
        <v>885</v>
      </c>
      <c r="F1297" t="s">
        <v>886</v>
      </c>
    </row>
    <row r="1298" spans="1:6" x14ac:dyDescent="0.25">
      <c r="A1298" t="s">
        <v>819</v>
      </c>
      <c r="B1298">
        <v>62</v>
      </c>
      <c r="C1298">
        <v>28</v>
      </c>
      <c r="D1298">
        <v>5</v>
      </c>
      <c r="E1298" t="s">
        <v>885</v>
      </c>
      <c r="F1298" t="s">
        <v>887</v>
      </c>
    </row>
    <row r="1299" spans="1:6" x14ac:dyDescent="0.25">
      <c r="A1299" t="s">
        <v>819</v>
      </c>
      <c r="B1299">
        <v>79</v>
      </c>
      <c r="C1299">
        <v>5</v>
      </c>
      <c r="D1299">
        <v>6</v>
      </c>
      <c r="E1299" t="s">
        <v>885</v>
      </c>
      <c r="F1299" t="s">
        <v>887</v>
      </c>
    </row>
    <row r="1300" spans="1:6" x14ac:dyDescent="0.25">
      <c r="A1300" t="s">
        <v>819</v>
      </c>
      <c r="B1300">
        <v>30</v>
      </c>
      <c r="C1300">
        <v>12</v>
      </c>
      <c r="D1300">
        <v>3</v>
      </c>
      <c r="E1300" t="s">
        <v>885</v>
      </c>
      <c r="F1300" t="s">
        <v>902</v>
      </c>
    </row>
    <row r="1301" spans="1:6" x14ac:dyDescent="0.25">
      <c r="A1301" t="s">
        <v>819</v>
      </c>
      <c r="B1301">
        <v>122</v>
      </c>
      <c r="C1301">
        <v>50</v>
      </c>
      <c r="D1301">
        <v>7</v>
      </c>
      <c r="E1301" t="s">
        <v>885</v>
      </c>
      <c r="F1301" t="s">
        <v>886</v>
      </c>
    </row>
    <row r="1302" spans="1:6" x14ac:dyDescent="0.25">
      <c r="A1302" t="s">
        <v>820</v>
      </c>
      <c r="B1302">
        <v>28</v>
      </c>
      <c r="C1302">
        <v>10</v>
      </c>
      <c r="D1302">
        <v>3</v>
      </c>
      <c r="E1302" t="s">
        <v>885</v>
      </c>
      <c r="F1302" t="s">
        <v>902</v>
      </c>
    </row>
    <row r="1303" spans="1:6" x14ac:dyDescent="0.25">
      <c r="A1303" t="s">
        <v>821</v>
      </c>
      <c r="B1303">
        <v>302</v>
      </c>
      <c r="C1303">
        <v>75</v>
      </c>
      <c r="D1303">
        <v>6</v>
      </c>
      <c r="E1303" t="s">
        <v>883</v>
      </c>
      <c r="F1303" t="s">
        <v>901</v>
      </c>
    </row>
    <row r="1304" spans="1:6" x14ac:dyDescent="0.25">
      <c r="A1304" t="s">
        <v>821</v>
      </c>
      <c r="B1304">
        <v>376</v>
      </c>
      <c r="C1304">
        <v>0</v>
      </c>
      <c r="D1304">
        <v>7</v>
      </c>
      <c r="E1304" t="s">
        <v>885</v>
      </c>
      <c r="F1304" t="s">
        <v>886</v>
      </c>
    </row>
    <row r="1305" spans="1:6" x14ac:dyDescent="0.25">
      <c r="A1305" t="s">
        <v>821</v>
      </c>
      <c r="B1305">
        <v>179</v>
      </c>
      <c r="C1305">
        <v>77</v>
      </c>
      <c r="D1305">
        <v>1</v>
      </c>
      <c r="E1305" t="s">
        <v>885</v>
      </c>
      <c r="F1305" t="s">
        <v>891</v>
      </c>
    </row>
    <row r="1306" spans="1:6" x14ac:dyDescent="0.25">
      <c r="A1306" t="s">
        <v>821</v>
      </c>
      <c r="B1306">
        <v>27</v>
      </c>
      <c r="C1306">
        <v>5</v>
      </c>
      <c r="D1306">
        <v>1</v>
      </c>
      <c r="E1306" t="s">
        <v>885</v>
      </c>
      <c r="F1306" t="s">
        <v>886</v>
      </c>
    </row>
    <row r="1307" spans="1:6" x14ac:dyDescent="0.25">
      <c r="A1307" t="s">
        <v>822</v>
      </c>
      <c r="B1307">
        <v>32</v>
      </c>
      <c r="C1307">
        <v>3</v>
      </c>
      <c r="D1307">
        <v>8</v>
      </c>
      <c r="E1307" t="s">
        <v>885</v>
      </c>
      <c r="F1307" t="s">
        <v>887</v>
      </c>
    </row>
    <row r="1308" spans="1:6" x14ac:dyDescent="0.25">
      <c r="A1308" t="s">
        <v>823</v>
      </c>
      <c r="B1308">
        <v>55</v>
      </c>
      <c r="C1308">
        <v>12</v>
      </c>
      <c r="D1308">
        <v>5</v>
      </c>
      <c r="E1308" t="s">
        <v>885</v>
      </c>
      <c r="F1308" t="s">
        <v>902</v>
      </c>
    </row>
    <row r="1309" spans="1:6" x14ac:dyDescent="0.25">
      <c r="A1309" t="s">
        <v>824</v>
      </c>
      <c r="B1309">
        <v>163</v>
      </c>
      <c r="C1309">
        <v>81</v>
      </c>
      <c r="D1309">
        <v>2</v>
      </c>
      <c r="E1309" t="s">
        <v>888</v>
      </c>
      <c r="F1309" t="s">
        <v>900</v>
      </c>
    </row>
    <row r="1310" spans="1:6" x14ac:dyDescent="0.25">
      <c r="A1310" t="s">
        <v>824</v>
      </c>
      <c r="B1310">
        <v>401</v>
      </c>
      <c r="C1310">
        <v>13</v>
      </c>
      <c r="D1310">
        <v>6</v>
      </c>
      <c r="E1310" t="s">
        <v>883</v>
      </c>
      <c r="F1310" t="s">
        <v>893</v>
      </c>
    </row>
    <row r="1311" spans="1:6" x14ac:dyDescent="0.25">
      <c r="A1311" t="s">
        <v>824</v>
      </c>
      <c r="B1311">
        <v>1461</v>
      </c>
      <c r="C1311">
        <v>202</v>
      </c>
      <c r="D1311">
        <v>5</v>
      </c>
      <c r="E1311" t="s">
        <v>883</v>
      </c>
      <c r="F1311" t="s">
        <v>898</v>
      </c>
    </row>
    <row r="1312" spans="1:6" x14ac:dyDescent="0.25">
      <c r="A1312" t="s">
        <v>824</v>
      </c>
      <c r="B1312">
        <v>1104</v>
      </c>
      <c r="C1312">
        <v>209</v>
      </c>
      <c r="D1312">
        <v>4</v>
      </c>
      <c r="E1312" t="s">
        <v>885</v>
      </c>
      <c r="F1312" t="s">
        <v>892</v>
      </c>
    </row>
    <row r="1313" spans="1:6" x14ac:dyDescent="0.25">
      <c r="A1313" t="s">
        <v>825</v>
      </c>
      <c r="B1313">
        <v>100</v>
      </c>
      <c r="C1313">
        <v>28</v>
      </c>
      <c r="D1313">
        <v>2</v>
      </c>
      <c r="E1313" t="s">
        <v>885</v>
      </c>
      <c r="F1313" t="s">
        <v>887</v>
      </c>
    </row>
    <row r="1314" spans="1:6" x14ac:dyDescent="0.25">
      <c r="A1314" t="s">
        <v>826</v>
      </c>
      <c r="B1314">
        <v>325</v>
      </c>
      <c r="C1314">
        <v>32</v>
      </c>
      <c r="D1314">
        <v>7</v>
      </c>
      <c r="E1314" t="s">
        <v>885</v>
      </c>
      <c r="F1314" t="s">
        <v>895</v>
      </c>
    </row>
    <row r="1315" spans="1:6" x14ac:dyDescent="0.25">
      <c r="A1315" t="s">
        <v>826</v>
      </c>
      <c r="B1315">
        <v>169</v>
      </c>
      <c r="C1315">
        <v>55</v>
      </c>
      <c r="D1315">
        <v>4</v>
      </c>
      <c r="E1315" t="s">
        <v>885</v>
      </c>
      <c r="F1315" t="s">
        <v>891</v>
      </c>
    </row>
    <row r="1316" spans="1:6" x14ac:dyDescent="0.25">
      <c r="A1316" t="s">
        <v>826</v>
      </c>
      <c r="B1316">
        <v>487</v>
      </c>
      <c r="C1316">
        <v>143</v>
      </c>
      <c r="D1316">
        <v>4</v>
      </c>
      <c r="E1316" t="s">
        <v>888</v>
      </c>
      <c r="F1316" t="s">
        <v>890</v>
      </c>
    </row>
    <row r="1317" spans="1:6" x14ac:dyDescent="0.25">
      <c r="A1317" t="s">
        <v>826</v>
      </c>
      <c r="B1317">
        <v>166</v>
      </c>
      <c r="C1317">
        <v>27</v>
      </c>
      <c r="D1317">
        <v>2</v>
      </c>
      <c r="E1317" t="s">
        <v>888</v>
      </c>
      <c r="F1317" t="s">
        <v>900</v>
      </c>
    </row>
    <row r="1318" spans="1:6" x14ac:dyDescent="0.25">
      <c r="A1318" t="s">
        <v>826</v>
      </c>
      <c r="B1318">
        <v>79</v>
      </c>
      <c r="C1318">
        <v>32</v>
      </c>
      <c r="D1318">
        <v>3</v>
      </c>
      <c r="E1318" t="s">
        <v>885</v>
      </c>
      <c r="F1318" t="s">
        <v>891</v>
      </c>
    </row>
    <row r="1319" spans="1:6" x14ac:dyDescent="0.25">
      <c r="A1319" t="s">
        <v>826</v>
      </c>
      <c r="B1319">
        <v>32</v>
      </c>
      <c r="C1319">
        <v>6</v>
      </c>
      <c r="D1319">
        <v>3</v>
      </c>
      <c r="E1319" t="s">
        <v>885</v>
      </c>
      <c r="F1319" t="s">
        <v>896</v>
      </c>
    </row>
    <row r="1320" spans="1:6" x14ac:dyDescent="0.25">
      <c r="A1320" t="s">
        <v>826</v>
      </c>
      <c r="B1320">
        <v>38</v>
      </c>
      <c r="C1320">
        <v>9</v>
      </c>
      <c r="D1320">
        <v>2</v>
      </c>
      <c r="E1320" t="s">
        <v>885</v>
      </c>
      <c r="F1320" t="s">
        <v>886</v>
      </c>
    </row>
    <row r="1321" spans="1:6" x14ac:dyDescent="0.25">
      <c r="A1321" t="s">
        <v>826</v>
      </c>
      <c r="B1321">
        <v>284</v>
      </c>
      <c r="C1321">
        <v>44</v>
      </c>
      <c r="D1321">
        <v>6</v>
      </c>
      <c r="E1321" t="s">
        <v>885</v>
      </c>
      <c r="F1321" t="s">
        <v>887</v>
      </c>
    </row>
    <row r="1322" spans="1:6" x14ac:dyDescent="0.25">
      <c r="A1322" t="s">
        <v>826</v>
      </c>
      <c r="B1322">
        <v>382</v>
      </c>
      <c r="C1322">
        <v>92</v>
      </c>
      <c r="D1322">
        <v>2</v>
      </c>
      <c r="E1322" t="s">
        <v>888</v>
      </c>
      <c r="F1322" t="s">
        <v>899</v>
      </c>
    </row>
    <row r="1323" spans="1:6" x14ac:dyDescent="0.25">
      <c r="A1323" t="s">
        <v>827</v>
      </c>
      <c r="B1323">
        <v>184</v>
      </c>
      <c r="C1323">
        <v>85</v>
      </c>
      <c r="D1323">
        <v>6</v>
      </c>
      <c r="E1323" t="s">
        <v>885</v>
      </c>
      <c r="F1323" t="s">
        <v>895</v>
      </c>
    </row>
    <row r="1324" spans="1:6" x14ac:dyDescent="0.25">
      <c r="A1324" t="s">
        <v>827</v>
      </c>
      <c r="B1324">
        <v>676</v>
      </c>
      <c r="C1324">
        <v>195</v>
      </c>
      <c r="D1324">
        <v>5</v>
      </c>
      <c r="E1324" t="s">
        <v>883</v>
      </c>
      <c r="F1324" t="s">
        <v>884</v>
      </c>
    </row>
    <row r="1325" spans="1:6" x14ac:dyDescent="0.25">
      <c r="A1325" t="s">
        <v>827</v>
      </c>
      <c r="B1325">
        <v>669</v>
      </c>
      <c r="C1325">
        <v>74</v>
      </c>
      <c r="D1325">
        <v>5</v>
      </c>
      <c r="E1325" t="s">
        <v>883</v>
      </c>
      <c r="F1325" t="s">
        <v>884</v>
      </c>
    </row>
    <row r="1326" spans="1:6" x14ac:dyDescent="0.25">
      <c r="A1326" t="s">
        <v>827</v>
      </c>
      <c r="B1326">
        <v>80</v>
      </c>
      <c r="C1326">
        <v>22</v>
      </c>
      <c r="D1326">
        <v>3</v>
      </c>
      <c r="E1326" t="s">
        <v>885</v>
      </c>
      <c r="F1326" t="s">
        <v>886</v>
      </c>
    </row>
    <row r="1327" spans="1:6" x14ac:dyDescent="0.25">
      <c r="A1327" t="s">
        <v>827</v>
      </c>
      <c r="B1327">
        <v>216</v>
      </c>
      <c r="C1327">
        <v>50</v>
      </c>
      <c r="D1327">
        <v>4</v>
      </c>
      <c r="E1327" t="s">
        <v>885</v>
      </c>
      <c r="F1327" t="s">
        <v>886</v>
      </c>
    </row>
    <row r="1328" spans="1:6" x14ac:dyDescent="0.25">
      <c r="A1328" t="s">
        <v>827</v>
      </c>
      <c r="B1328">
        <v>85</v>
      </c>
      <c r="C1328">
        <v>24</v>
      </c>
      <c r="D1328">
        <v>10</v>
      </c>
      <c r="E1328" t="s">
        <v>885</v>
      </c>
      <c r="F1328" t="s">
        <v>887</v>
      </c>
    </row>
    <row r="1329" spans="1:6" x14ac:dyDescent="0.25">
      <c r="A1329" t="s">
        <v>827</v>
      </c>
      <c r="B1329">
        <v>382</v>
      </c>
      <c r="C1329">
        <v>119</v>
      </c>
      <c r="D1329">
        <v>2</v>
      </c>
      <c r="E1329" t="s">
        <v>885</v>
      </c>
      <c r="F1329" t="s">
        <v>891</v>
      </c>
    </row>
    <row r="1330" spans="1:6" x14ac:dyDescent="0.25">
      <c r="A1330" t="s">
        <v>827</v>
      </c>
      <c r="B1330">
        <v>490</v>
      </c>
      <c r="C1330">
        <v>88</v>
      </c>
      <c r="D1330">
        <v>2</v>
      </c>
      <c r="E1330" t="s">
        <v>888</v>
      </c>
      <c r="F1330" t="s">
        <v>900</v>
      </c>
    </row>
    <row r="1331" spans="1:6" x14ac:dyDescent="0.25">
      <c r="A1331" t="s">
        <v>827</v>
      </c>
      <c r="B1331">
        <v>1337</v>
      </c>
      <c r="C1331">
        <v>147</v>
      </c>
      <c r="D1331">
        <v>7</v>
      </c>
      <c r="E1331" t="s">
        <v>888</v>
      </c>
      <c r="F1331" t="s">
        <v>899</v>
      </c>
    </row>
    <row r="1332" spans="1:6" x14ac:dyDescent="0.25">
      <c r="A1332" t="s">
        <v>827</v>
      </c>
      <c r="B1332">
        <v>600</v>
      </c>
      <c r="C1332">
        <v>102</v>
      </c>
      <c r="D1332">
        <v>5</v>
      </c>
      <c r="E1332" t="s">
        <v>888</v>
      </c>
      <c r="F1332" t="s">
        <v>889</v>
      </c>
    </row>
    <row r="1333" spans="1:6" x14ac:dyDescent="0.25">
      <c r="A1333" t="s">
        <v>828</v>
      </c>
      <c r="B1333">
        <v>78</v>
      </c>
      <c r="C1333">
        <v>28</v>
      </c>
      <c r="D1333">
        <v>6</v>
      </c>
      <c r="E1333" t="s">
        <v>885</v>
      </c>
      <c r="F1333" t="s">
        <v>894</v>
      </c>
    </row>
    <row r="1334" spans="1:6" x14ac:dyDescent="0.25">
      <c r="A1334" t="s">
        <v>828</v>
      </c>
      <c r="B1334">
        <v>101</v>
      </c>
      <c r="C1334">
        <v>16</v>
      </c>
      <c r="D1334">
        <v>4</v>
      </c>
      <c r="E1334" t="s">
        <v>885</v>
      </c>
      <c r="F1334" t="s">
        <v>895</v>
      </c>
    </row>
    <row r="1335" spans="1:6" x14ac:dyDescent="0.25">
      <c r="A1335" t="s">
        <v>828</v>
      </c>
      <c r="B1335">
        <v>145</v>
      </c>
      <c r="C1335">
        <v>0</v>
      </c>
      <c r="D1335">
        <v>3</v>
      </c>
      <c r="E1335" t="s">
        <v>885</v>
      </c>
      <c r="F1335" t="s">
        <v>891</v>
      </c>
    </row>
    <row r="1336" spans="1:6" x14ac:dyDescent="0.25">
      <c r="A1336" t="s">
        <v>828</v>
      </c>
      <c r="B1336">
        <v>148</v>
      </c>
      <c r="C1336">
        <v>23</v>
      </c>
      <c r="D1336">
        <v>4</v>
      </c>
      <c r="E1336" t="s">
        <v>885</v>
      </c>
      <c r="F1336" t="s">
        <v>894</v>
      </c>
    </row>
    <row r="1337" spans="1:6" x14ac:dyDescent="0.25">
      <c r="A1337" t="s">
        <v>828</v>
      </c>
      <c r="B1337">
        <v>15</v>
      </c>
      <c r="C1337">
        <v>1</v>
      </c>
      <c r="D1337">
        <v>1</v>
      </c>
      <c r="E1337" t="s">
        <v>885</v>
      </c>
      <c r="F1337" t="s">
        <v>896</v>
      </c>
    </row>
    <row r="1338" spans="1:6" x14ac:dyDescent="0.25">
      <c r="A1338" t="s">
        <v>828</v>
      </c>
      <c r="B1338">
        <v>25</v>
      </c>
      <c r="C1338">
        <v>7</v>
      </c>
      <c r="D1338">
        <v>2</v>
      </c>
      <c r="E1338" t="s">
        <v>885</v>
      </c>
      <c r="F1338" t="s">
        <v>886</v>
      </c>
    </row>
    <row r="1339" spans="1:6" x14ac:dyDescent="0.25">
      <c r="A1339" t="s">
        <v>828</v>
      </c>
      <c r="B1339">
        <v>774</v>
      </c>
      <c r="C1339">
        <v>170</v>
      </c>
      <c r="D1339">
        <v>3</v>
      </c>
      <c r="E1339" t="s">
        <v>888</v>
      </c>
      <c r="F1339" t="s">
        <v>900</v>
      </c>
    </row>
    <row r="1340" spans="1:6" x14ac:dyDescent="0.25">
      <c r="A1340" t="s">
        <v>829</v>
      </c>
      <c r="B1340">
        <v>17</v>
      </c>
      <c r="C1340">
        <v>1</v>
      </c>
      <c r="D1340">
        <v>2</v>
      </c>
      <c r="E1340" t="s">
        <v>885</v>
      </c>
      <c r="F1340" t="s">
        <v>902</v>
      </c>
    </row>
    <row r="1341" spans="1:6" x14ac:dyDescent="0.25">
      <c r="A1341" t="s">
        <v>829</v>
      </c>
      <c r="B1341">
        <v>246</v>
      </c>
      <c r="C1341">
        <v>61</v>
      </c>
      <c r="D1341">
        <v>2</v>
      </c>
      <c r="E1341" t="s">
        <v>883</v>
      </c>
      <c r="F1341" t="s">
        <v>884</v>
      </c>
    </row>
    <row r="1342" spans="1:6" x14ac:dyDescent="0.25">
      <c r="A1342" t="s">
        <v>829</v>
      </c>
      <c r="B1342">
        <v>425</v>
      </c>
      <c r="C1342">
        <v>208</v>
      </c>
      <c r="D1342">
        <v>7</v>
      </c>
      <c r="E1342" t="s">
        <v>885</v>
      </c>
      <c r="F1342" t="s">
        <v>891</v>
      </c>
    </row>
    <row r="1343" spans="1:6" x14ac:dyDescent="0.25">
      <c r="A1343" t="s">
        <v>829</v>
      </c>
      <c r="B1343">
        <v>93</v>
      </c>
      <c r="C1343">
        <v>31</v>
      </c>
      <c r="D1343">
        <v>3</v>
      </c>
      <c r="E1343" t="s">
        <v>888</v>
      </c>
      <c r="F1343" t="s">
        <v>900</v>
      </c>
    </row>
    <row r="1344" spans="1:6" x14ac:dyDescent="0.25">
      <c r="A1344" t="s">
        <v>829</v>
      </c>
      <c r="B1344">
        <v>594</v>
      </c>
      <c r="C1344">
        <v>89</v>
      </c>
      <c r="D1344">
        <v>3</v>
      </c>
      <c r="E1344" t="s">
        <v>883</v>
      </c>
      <c r="F1344" t="s">
        <v>884</v>
      </c>
    </row>
    <row r="1345" spans="1:6" x14ac:dyDescent="0.25">
      <c r="A1345" t="s">
        <v>829</v>
      </c>
      <c r="B1345">
        <v>85</v>
      </c>
      <c r="C1345">
        <v>2</v>
      </c>
      <c r="D1345">
        <v>6</v>
      </c>
      <c r="E1345" t="s">
        <v>885</v>
      </c>
      <c r="F1345" t="s">
        <v>886</v>
      </c>
    </row>
    <row r="1346" spans="1:6" x14ac:dyDescent="0.25">
      <c r="A1346" t="s">
        <v>829</v>
      </c>
      <c r="B1346">
        <v>27</v>
      </c>
      <c r="C1346">
        <v>6</v>
      </c>
      <c r="D1346">
        <v>3</v>
      </c>
      <c r="E1346" t="s">
        <v>885</v>
      </c>
      <c r="F1346" t="s">
        <v>902</v>
      </c>
    </row>
    <row r="1347" spans="1:6" x14ac:dyDescent="0.25">
      <c r="A1347" t="s">
        <v>829</v>
      </c>
      <c r="B1347">
        <v>120</v>
      </c>
      <c r="C1347">
        <v>1</v>
      </c>
      <c r="D1347">
        <v>1</v>
      </c>
      <c r="E1347" t="s">
        <v>883</v>
      </c>
      <c r="F1347" t="s">
        <v>893</v>
      </c>
    </row>
    <row r="1348" spans="1:6" x14ac:dyDescent="0.25">
      <c r="A1348" t="s">
        <v>829</v>
      </c>
      <c r="B1348">
        <v>162</v>
      </c>
      <c r="C1348">
        <v>55</v>
      </c>
      <c r="D1348">
        <v>3</v>
      </c>
      <c r="E1348" t="s">
        <v>885</v>
      </c>
      <c r="F1348" t="s">
        <v>886</v>
      </c>
    </row>
    <row r="1349" spans="1:6" x14ac:dyDescent="0.25">
      <c r="A1349" t="s">
        <v>830</v>
      </c>
      <c r="B1349">
        <v>246</v>
      </c>
      <c r="C1349">
        <v>98</v>
      </c>
      <c r="D1349">
        <v>5</v>
      </c>
      <c r="E1349" t="s">
        <v>885</v>
      </c>
      <c r="F1349" t="s">
        <v>887</v>
      </c>
    </row>
    <row r="1350" spans="1:6" x14ac:dyDescent="0.25">
      <c r="A1350" t="s">
        <v>830</v>
      </c>
      <c r="B1350">
        <v>88</v>
      </c>
      <c r="C1350">
        <v>20</v>
      </c>
      <c r="D1350">
        <v>2</v>
      </c>
      <c r="E1350" t="s">
        <v>885</v>
      </c>
      <c r="F1350" t="s">
        <v>891</v>
      </c>
    </row>
    <row r="1351" spans="1:6" x14ac:dyDescent="0.25">
      <c r="A1351" t="s">
        <v>830</v>
      </c>
      <c r="B1351">
        <v>88</v>
      </c>
      <c r="C1351">
        <v>19</v>
      </c>
      <c r="D1351">
        <v>2</v>
      </c>
      <c r="E1351" t="s">
        <v>885</v>
      </c>
      <c r="F1351" t="s">
        <v>896</v>
      </c>
    </row>
    <row r="1352" spans="1:6" x14ac:dyDescent="0.25">
      <c r="A1352" t="s">
        <v>830</v>
      </c>
      <c r="B1352">
        <v>139</v>
      </c>
      <c r="C1352">
        <v>21</v>
      </c>
      <c r="D1352">
        <v>3</v>
      </c>
      <c r="E1352" t="s">
        <v>888</v>
      </c>
      <c r="F1352" t="s">
        <v>900</v>
      </c>
    </row>
    <row r="1353" spans="1:6" x14ac:dyDescent="0.25">
      <c r="A1353" t="s">
        <v>830</v>
      </c>
      <c r="B1353">
        <v>139</v>
      </c>
      <c r="C1353">
        <v>36</v>
      </c>
      <c r="D1353">
        <v>3</v>
      </c>
      <c r="E1353" t="s">
        <v>885</v>
      </c>
      <c r="F1353" t="s">
        <v>886</v>
      </c>
    </row>
    <row r="1354" spans="1:6" x14ac:dyDescent="0.25">
      <c r="A1354" t="s">
        <v>830</v>
      </c>
      <c r="B1354">
        <v>138</v>
      </c>
      <c r="C1354">
        <v>11</v>
      </c>
      <c r="D1354">
        <v>5</v>
      </c>
      <c r="E1354" t="s">
        <v>885</v>
      </c>
      <c r="F1354" t="s">
        <v>886</v>
      </c>
    </row>
    <row r="1355" spans="1:6" x14ac:dyDescent="0.25">
      <c r="A1355" t="s">
        <v>830</v>
      </c>
      <c r="B1355">
        <v>156</v>
      </c>
      <c r="C1355">
        <v>23</v>
      </c>
      <c r="D1355">
        <v>3</v>
      </c>
      <c r="E1355" t="s">
        <v>885</v>
      </c>
      <c r="F1355" t="s">
        <v>886</v>
      </c>
    </row>
    <row r="1356" spans="1:6" x14ac:dyDescent="0.25">
      <c r="A1356" t="s">
        <v>830</v>
      </c>
      <c r="B1356">
        <v>559</v>
      </c>
      <c r="C1356">
        <v>174</v>
      </c>
      <c r="D1356">
        <v>2</v>
      </c>
      <c r="E1356" t="s">
        <v>888</v>
      </c>
      <c r="F1356" t="s">
        <v>889</v>
      </c>
    </row>
    <row r="1357" spans="1:6" x14ac:dyDescent="0.25">
      <c r="A1357" t="s">
        <v>831</v>
      </c>
      <c r="B1357">
        <v>227</v>
      </c>
      <c r="C1357">
        <v>48</v>
      </c>
      <c r="D1357">
        <v>5</v>
      </c>
      <c r="E1357" t="s">
        <v>885</v>
      </c>
      <c r="F1357" t="s">
        <v>886</v>
      </c>
    </row>
    <row r="1358" spans="1:6" x14ac:dyDescent="0.25">
      <c r="A1358" t="s">
        <v>831</v>
      </c>
      <c r="B1358">
        <v>5729</v>
      </c>
      <c r="C1358">
        <v>64</v>
      </c>
      <c r="D1358">
        <v>14</v>
      </c>
      <c r="E1358" t="s">
        <v>883</v>
      </c>
      <c r="F1358" t="s">
        <v>893</v>
      </c>
    </row>
    <row r="1359" spans="1:6" x14ac:dyDescent="0.25">
      <c r="A1359" t="s">
        <v>831</v>
      </c>
      <c r="B1359">
        <v>94</v>
      </c>
      <c r="C1359">
        <v>27</v>
      </c>
      <c r="D1359">
        <v>2</v>
      </c>
      <c r="E1359" t="s">
        <v>885</v>
      </c>
      <c r="F1359" t="s">
        <v>895</v>
      </c>
    </row>
    <row r="1360" spans="1:6" x14ac:dyDescent="0.25">
      <c r="A1360" t="s">
        <v>831</v>
      </c>
      <c r="B1360">
        <v>213</v>
      </c>
      <c r="C1360">
        <v>4</v>
      </c>
      <c r="D1360">
        <v>14</v>
      </c>
      <c r="E1360" t="s">
        <v>885</v>
      </c>
      <c r="F1360" t="s">
        <v>896</v>
      </c>
    </row>
    <row r="1361" spans="1:6" x14ac:dyDescent="0.25">
      <c r="A1361" t="s">
        <v>831</v>
      </c>
      <c r="B1361">
        <v>250</v>
      </c>
      <c r="C1361">
        <v>-12</v>
      </c>
      <c r="D1361">
        <v>2</v>
      </c>
      <c r="E1361" t="s">
        <v>888</v>
      </c>
      <c r="F1361" t="s">
        <v>899</v>
      </c>
    </row>
    <row r="1362" spans="1:6" x14ac:dyDescent="0.25">
      <c r="A1362" t="s">
        <v>831</v>
      </c>
      <c r="B1362">
        <v>43</v>
      </c>
      <c r="C1362">
        <v>11</v>
      </c>
      <c r="D1362">
        <v>1</v>
      </c>
      <c r="E1362" t="s">
        <v>885</v>
      </c>
      <c r="F1362" t="s">
        <v>891</v>
      </c>
    </row>
    <row r="1363" spans="1:6" x14ac:dyDescent="0.25">
      <c r="A1363" t="s">
        <v>831</v>
      </c>
      <c r="B1363">
        <v>1218</v>
      </c>
      <c r="C1363">
        <v>420</v>
      </c>
      <c r="D1363">
        <v>8</v>
      </c>
      <c r="E1363" t="s">
        <v>883</v>
      </c>
      <c r="F1363" t="s">
        <v>884</v>
      </c>
    </row>
    <row r="1364" spans="1:6" x14ac:dyDescent="0.25">
      <c r="A1364" t="s">
        <v>831</v>
      </c>
      <c r="B1364">
        <v>671</v>
      </c>
      <c r="C1364">
        <v>114</v>
      </c>
      <c r="D1364">
        <v>9</v>
      </c>
      <c r="E1364" t="s">
        <v>888</v>
      </c>
      <c r="F1364" t="s">
        <v>890</v>
      </c>
    </row>
    <row r="1365" spans="1:6" x14ac:dyDescent="0.25">
      <c r="A1365" t="s">
        <v>831</v>
      </c>
      <c r="B1365">
        <v>57</v>
      </c>
      <c r="C1365">
        <v>7</v>
      </c>
      <c r="D1365">
        <v>2</v>
      </c>
      <c r="E1365" t="s">
        <v>885</v>
      </c>
      <c r="F1365" t="s">
        <v>896</v>
      </c>
    </row>
    <row r="1366" spans="1:6" x14ac:dyDescent="0.25">
      <c r="A1366" t="s">
        <v>832</v>
      </c>
      <c r="B1366">
        <v>70</v>
      </c>
      <c r="C1366">
        <v>24</v>
      </c>
      <c r="D1366">
        <v>3</v>
      </c>
      <c r="E1366" t="s">
        <v>885</v>
      </c>
      <c r="F1366" t="s">
        <v>886</v>
      </c>
    </row>
    <row r="1367" spans="1:6" x14ac:dyDescent="0.25">
      <c r="A1367" t="s">
        <v>832</v>
      </c>
      <c r="B1367">
        <v>47</v>
      </c>
      <c r="C1367">
        <v>20</v>
      </c>
      <c r="D1367">
        <v>7</v>
      </c>
      <c r="E1367" t="s">
        <v>885</v>
      </c>
      <c r="F1367" t="s">
        <v>887</v>
      </c>
    </row>
    <row r="1368" spans="1:6" x14ac:dyDescent="0.25">
      <c r="A1368" t="s">
        <v>832</v>
      </c>
      <c r="B1368">
        <v>33</v>
      </c>
      <c r="C1368">
        <v>9</v>
      </c>
      <c r="D1368">
        <v>2</v>
      </c>
      <c r="E1368" t="s">
        <v>885</v>
      </c>
      <c r="F1368" t="s">
        <v>887</v>
      </c>
    </row>
    <row r="1369" spans="1:6" x14ac:dyDescent="0.25">
      <c r="A1369" t="s">
        <v>832</v>
      </c>
      <c r="B1369">
        <v>424</v>
      </c>
      <c r="C1369">
        <v>161</v>
      </c>
      <c r="D1369">
        <v>2</v>
      </c>
      <c r="E1369" t="s">
        <v>885</v>
      </c>
      <c r="F1369" t="s">
        <v>891</v>
      </c>
    </row>
    <row r="1370" spans="1:6" x14ac:dyDescent="0.25">
      <c r="A1370" t="s">
        <v>832</v>
      </c>
      <c r="B1370">
        <v>391</v>
      </c>
      <c r="C1370">
        <v>90</v>
      </c>
      <c r="D1370">
        <v>6</v>
      </c>
      <c r="E1370" t="s">
        <v>888</v>
      </c>
      <c r="F1370" t="s">
        <v>890</v>
      </c>
    </row>
    <row r="1371" spans="1:6" x14ac:dyDescent="0.25">
      <c r="A1371" t="s">
        <v>832</v>
      </c>
      <c r="B1371">
        <v>15</v>
      </c>
      <c r="C1371">
        <v>6</v>
      </c>
      <c r="D1371">
        <v>2</v>
      </c>
      <c r="E1371" t="s">
        <v>885</v>
      </c>
      <c r="F1371" t="s">
        <v>887</v>
      </c>
    </row>
    <row r="1372" spans="1:6" x14ac:dyDescent="0.25">
      <c r="A1372" t="s">
        <v>832</v>
      </c>
      <c r="B1372">
        <v>101</v>
      </c>
      <c r="C1372">
        <v>11</v>
      </c>
      <c r="D1372">
        <v>2</v>
      </c>
      <c r="E1372" t="s">
        <v>885</v>
      </c>
      <c r="F1372" t="s">
        <v>887</v>
      </c>
    </row>
    <row r="1373" spans="1:6" x14ac:dyDescent="0.25">
      <c r="A1373" t="s">
        <v>832</v>
      </c>
      <c r="B1373">
        <v>31</v>
      </c>
      <c r="C1373">
        <v>9</v>
      </c>
      <c r="D1373">
        <v>2</v>
      </c>
      <c r="E1373" t="s">
        <v>885</v>
      </c>
      <c r="F1373" t="s">
        <v>887</v>
      </c>
    </row>
    <row r="1374" spans="1:6" x14ac:dyDescent="0.25">
      <c r="A1374" t="s">
        <v>832</v>
      </c>
      <c r="B1374">
        <v>220</v>
      </c>
      <c r="C1374">
        <v>40</v>
      </c>
      <c r="D1374">
        <v>2</v>
      </c>
      <c r="E1374" t="s">
        <v>888</v>
      </c>
      <c r="F1374" t="s">
        <v>900</v>
      </c>
    </row>
    <row r="1375" spans="1:6" x14ac:dyDescent="0.25">
      <c r="A1375" t="s">
        <v>832</v>
      </c>
      <c r="B1375">
        <v>213</v>
      </c>
      <c r="C1375">
        <v>-145</v>
      </c>
      <c r="D1375">
        <v>3</v>
      </c>
      <c r="E1375" t="s">
        <v>883</v>
      </c>
      <c r="F1375" t="s">
        <v>884</v>
      </c>
    </row>
    <row r="1376" spans="1:6" x14ac:dyDescent="0.25">
      <c r="A1376" t="s">
        <v>832</v>
      </c>
      <c r="B1376">
        <v>19</v>
      </c>
      <c r="C1376">
        <v>-18</v>
      </c>
      <c r="D1376">
        <v>4</v>
      </c>
      <c r="E1376" t="s">
        <v>885</v>
      </c>
      <c r="F1376" t="s">
        <v>894</v>
      </c>
    </row>
    <row r="1377" spans="1:6" x14ac:dyDescent="0.25">
      <c r="A1377" t="s">
        <v>832</v>
      </c>
      <c r="B1377">
        <v>206</v>
      </c>
      <c r="C1377">
        <v>18</v>
      </c>
      <c r="D1377">
        <v>4</v>
      </c>
      <c r="E1377" t="s">
        <v>885</v>
      </c>
      <c r="F1377" t="s">
        <v>887</v>
      </c>
    </row>
    <row r="1378" spans="1:6" x14ac:dyDescent="0.25">
      <c r="A1378" t="s">
        <v>833</v>
      </c>
      <c r="B1378">
        <v>736</v>
      </c>
      <c r="C1378">
        <v>346</v>
      </c>
      <c r="D1378">
        <v>5</v>
      </c>
      <c r="E1378" t="s">
        <v>888</v>
      </c>
      <c r="F1378" t="s">
        <v>899</v>
      </c>
    </row>
    <row r="1379" spans="1:6" x14ac:dyDescent="0.25">
      <c r="A1379" t="s">
        <v>833</v>
      </c>
      <c r="B1379">
        <v>54</v>
      </c>
      <c r="C1379">
        <v>8</v>
      </c>
      <c r="D1379">
        <v>4</v>
      </c>
      <c r="E1379" t="s">
        <v>885</v>
      </c>
      <c r="F1379" t="s">
        <v>895</v>
      </c>
    </row>
    <row r="1380" spans="1:6" x14ac:dyDescent="0.25">
      <c r="A1380" t="s">
        <v>833</v>
      </c>
      <c r="B1380">
        <v>659</v>
      </c>
      <c r="C1380">
        <v>-37</v>
      </c>
      <c r="D1380">
        <v>2</v>
      </c>
      <c r="E1380" t="s">
        <v>883</v>
      </c>
      <c r="F1380" t="s">
        <v>884</v>
      </c>
    </row>
    <row r="1381" spans="1:6" x14ac:dyDescent="0.25">
      <c r="A1381" t="s">
        <v>833</v>
      </c>
      <c r="B1381">
        <v>224</v>
      </c>
      <c r="C1381">
        <v>87</v>
      </c>
      <c r="D1381">
        <v>3</v>
      </c>
      <c r="E1381" t="s">
        <v>885</v>
      </c>
      <c r="F1381" t="s">
        <v>892</v>
      </c>
    </row>
    <row r="1382" spans="1:6" x14ac:dyDescent="0.25">
      <c r="A1382" t="s">
        <v>834</v>
      </c>
      <c r="B1382">
        <v>212</v>
      </c>
      <c r="C1382">
        <v>97</v>
      </c>
      <c r="D1382">
        <v>7</v>
      </c>
      <c r="E1382" t="s">
        <v>885</v>
      </c>
      <c r="F1382" t="s">
        <v>887</v>
      </c>
    </row>
    <row r="1383" spans="1:6" x14ac:dyDescent="0.25">
      <c r="A1383" t="s">
        <v>835</v>
      </c>
      <c r="B1383">
        <v>20</v>
      </c>
      <c r="C1383">
        <v>6</v>
      </c>
      <c r="D1383">
        <v>1</v>
      </c>
      <c r="E1383" t="s">
        <v>885</v>
      </c>
      <c r="F1383" t="s">
        <v>895</v>
      </c>
    </row>
    <row r="1384" spans="1:6" x14ac:dyDescent="0.25">
      <c r="A1384" t="s">
        <v>836</v>
      </c>
      <c r="B1384">
        <v>382</v>
      </c>
      <c r="C1384">
        <v>68</v>
      </c>
      <c r="D1384">
        <v>3</v>
      </c>
      <c r="E1384" t="s">
        <v>885</v>
      </c>
      <c r="F1384" t="s">
        <v>891</v>
      </c>
    </row>
    <row r="1385" spans="1:6" x14ac:dyDescent="0.25">
      <c r="A1385" t="s">
        <v>837</v>
      </c>
      <c r="B1385">
        <v>508</v>
      </c>
      <c r="C1385">
        <v>203</v>
      </c>
      <c r="D1385">
        <v>2</v>
      </c>
      <c r="E1385" t="s">
        <v>888</v>
      </c>
      <c r="F1385" t="s">
        <v>900</v>
      </c>
    </row>
    <row r="1386" spans="1:6" x14ac:dyDescent="0.25">
      <c r="A1386" t="s">
        <v>837</v>
      </c>
      <c r="B1386">
        <v>965</v>
      </c>
      <c r="C1386">
        <v>-68</v>
      </c>
      <c r="D1386">
        <v>3</v>
      </c>
      <c r="E1386" t="s">
        <v>888</v>
      </c>
      <c r="F1386" t="s">
        <v>899</v>
      </c>
    </row>
    <row r="1387" spans="1:6" x14ac:dyDescent="0.25">
      <c r="A1387" t="s">
        <v>837</v>
      </c>
      <c r="B1387">
        <v>206</v>
      </c>
      <c r="C1387">
        <v>12</v>
      </c>
      <c r="D1387">
        <v>1</v>
      </c>
      <c r="E1387" t="s">
        <v>888</v>
      </c>
      <c r="F1387" t="s">
        <v>899</v>
      </c>
    </row>
    <row r="1388" spans="1:6" x14ac:dyDescent="0.25">
      <c r="A1388" t="s">
        <v>837</v>
      </c>
      <c r="B1388">
        <v>642</v>
      </c>
      <c r="C1388">
        <v>180</v>
      </c>
      <c r="D1388">
        <v>5</v>
      </c>
      <c r="E1388" t="s">
        <v>885</v>
      </c>
      <c r="F1388" t="s">
        <v>891</v>
      </c>
    </row>
    <row r="1389" spans="1:6" x14ac:dyDescent="0.25">
      <c r="A1389" t="s">
        <v>837</v>
      </c>
      <c r="B1389">
        <v>109</v>
      </c>
      <c r="C1389">
        <v>52</v>
      </c>
      <c r="D1389">
        <v>2</v>
      </c>
      <c r="E1389" t="s">
        <v>885</v>
      </c>
      <c r="F1389" t="s">
        <v>886</v>
      </c>
    </row>
    <row r="1390" spans="1:6" x14ac:dyDescent="0.25">
      <c r="A1390" t="s">
        <v>837</v>
      </c>
      <c r="B1390">
        <v>27</v>
      </c>
      <c r="C1390">
        <v>8</v>
      </c>
      <c r="D1390">
        <v>2</v>
      </c>
      <c r="E1390" t="s">
        <v>885</v>
      </c>
      <c r="F1390" t="s">
        <v>895</v>
      </c>
    </row>
    <row r="1391" spans="1:6" x14ac:dyDescent="0.25">
      <c r="A1391" t="s">
        <v>838</v>
      </c>
      <c r="B1391">
        <v>44</v>
      </c>
      <c r="C1391">
        <v>-40</v>
      </c>
      <c r="D1391">
        <v>3</v>
      </c>
      <c r="E1391" t="s">
        <v>885</v>
      </c>
      <c r="F1391" t="s">
        <v>886</v>
      </c>
    </row>
    <row r="1392" spans="1:6" x14ac:dyDescent="0.25">
      <c r="A1392" t="s">
        <v>838</v>
      </c>
      <c r="B1392">
        <v>50</v>
      </c>
      <c r="C1392">
        <v>-17</v>
      </c>
      <c r="D1392">
        <v>2</v>
      </c>
      <c r="E1392" t="s">
        <v>885</v>
      </c>
      <c r="F1392" t="s">
        <v>886</v>
      </c>
    </row>
    <row r="1393" spans="1:6" x14ac:dyDescent="0.25">
      <c r="A1393" t="s">
        <v>838</v>
      </c>
      <c r="B1393">
        <v>13</v>
      </c>
      <c r="C1393">
        <v>-2</v>
      </c>
      <c r="D1393">
        <v>1</v>
      </c>
      <c r="E1393" t="s">
        <v>885</v>
      </c>
      <c r="F1393" t="s">
        <v>886</v>
      </c>
    </row>
    <row r="1394" spans="1:6" x14ac:dyDescent="0.25">
      <c r="A1394" t="s">
        <v>839</v>
      </c>
      <c r="B1394">
        <v>241</v>
      </c>
      <c r="C1394">
        <v>-77</v>
      </c>
      <c r="D1394">
        <v>4</v>
      </c>
      <c r="E1394" t="s">
        <v>888</v>
      </c>
      <c r="F1394" t="s">
        <v>889</v>
      </c>
    </row>
    <row r="1395" spans="1:6" x14ac:dyDescent="0.25">
      <c r="A1395" t="s">
        <v>840</v>
      </c>
      <c r="B1395">
        <v>75</v>
      </c>
      <c r="C1395">
        <v>2</v>
      </c>
      <c r="D1395">
        <v>5</v>
      </c>
      <c r="E1395" t="s">
        <v>885</v>
      </c>
      <c r="F1395" t="s">
        <v>897</v>
      </c>
    </row>
    <row r="1396" spans="1:6" x14ac:dyDescent="0.25">
      <c r="A1396" t="s">
        <v>840</v>
      </c>
      <c r="B1396">
        <v>61</v>
      </c>
      <c r="C1396">
        <v>3</v>
      </c>
      <c r="D1396">
        <v>4</v>
      </c>
      <c r="E1396" t="s">
        <v>885</v>
      </c>
      <c r="F1396" t="s">
        <v>887</v>
      </c>
    </row>
    <row r="1397" spans="1:6" x14ac:dyDescent="0.25">
      <c r="A1397" t="s">
        <v>840</v>
      </c>
      <c r="B1397">
        <v>122</v>
      </c>
      <c r="C1397">
        <v>38</v>
      </c>
      <c r="D1397">
        <v>6</v>
      </c>
      <c r="E1397" t="s">
        <v>885</v>
      </c>
      <c r="F1397" t="s">
        <v>895</v>
      </c>
    </row>
    <row r="1398" spans="1:6" x14ac:dyDescent="0.25">
      <c r="A1398" t="s">
        <v>840</v>
      </c>
      <c r="B1398">
        <v>22</v>
      </c>
      <c r="C1398">
        <v>0</v>
      </c>
      <c r="D1398">
        <v>2</v>
      </c>
      <c r="E1398" t="s">
        <v>885</v>
      </c>
      <c r="F1398" t="s">
        <v>891</v>
      </c>
    </row>
    <row r="1399" spans="1:6" x14ac:dyDescent="0.25">
      <c r="A1399" t="s">
        <v>842</v>
      </c>
      <c r="B1399">
        <v>146</v>
      </c>
      <c r="C1399">
        <v>19</v>
      </c>
      <c r="D1399">
        <v>5</v>
      </c>
      <c r="E1399" t="s">
        <v>885</v>
      </c>
      <c r="F1399" t="s">
        <v>886</v>
      </c>
    </row>
    <row r="1400" spans="1:6" x14ac:dyDescent="0.25">
      <c r="A1400" t="s">
        <v>843</v>
      </c>
      <c r="B1400">
        <v>86</v>
      </c>
      <c r="C1400">
        <v>22</v>
      </c>
      <c r="D1400">
        <v>2</v>
      </c>
      <c r="E1400" t="s">
        <v>885</v>
      </c>
      <c r="F1400" t="s">
        <v>891</v>
      </c>
    </row>
    <row r="1401" spans="1:6" x14ac:dyDescent="0.25">
      <c r="A1401" t="s">
        <v>844</v>
      </c>
      <c r="B1401">
        <v>618</v>
      </c>
      <c r="C1401">
        <v>27</v>
      </c>
      <c r="D1401">
        <v>4</v>
      </c>
      <c r="E1401" t="s">
        <v>883</v>
      </c>
      <c r="F1401" t="s">
        <v>884</v>
      </c>
    </row>
    <row r="1402" spans="1:6" x14ac:dyDescent="0.25">
      <c r="A1402" t="s">
        <v>844</v>
      </c>
      <c r="B1402">
        <v>53</v>
      </c>
      <c r="C1402">
        <v>2</v>
      </c>
      <c r="D1402">
        <v>4</v>
      </c>
      <c r="E1402" t="s">
        <v>885</v>
      </c>
      <c r="F1402" t="s">
        <v>887</v>
      </c>
    </row>
    <row r="1403" spans="1:6" x14ac:dyDescent="0.25">
      <c r="A1403" t="s">
        <v>844</v>
      </c>
      <c r="B1403">
        <v>1120</v>
      </c>
      <c r="C1403">
        <v>199</v>
      </c>
      <c r="D1403">
        <v>6</v>
      </c>
      <c r="E1403" t="s">
        <v>885</v>
      </c>
      <c r="F1403" t="s">
        <v>891</v>
      </c>
    </row>
    <row r="1404" spans="1:6" x14ac:dyDescent="0.25">
      <c r="A1404" t="s">
        <v>844</v>
      </c>
      <c r="B1404">
        <v>1137</v>
      </c>
      <c r="C1404">
        <v>-14</v>
      </c>
      <c r="D1404">
        <v>7</v>
      </c>
      <c r="E1404" t="s">
        <v>888</v>
      </c>
      <c r="F1404" t="s">
        <v>899</v>
      </c>
    </row>
    <row r="1405" spans="1:6" x14ac:dyDescent="0.25">
      <c r="A1405" t="s">
        <v>844</v>
      </c>
      <c r="B1405">
        <v>67</v>
      </c>
      <c r="C1405">
        <v>2</v>
      </c>
      <c r="D1405">
        <v>4</v>
      </c>
      <c r="E1405" t="s">
        <v>885</v>
      </c>
      <c r="F1405" t="s">
        <v>895</v>
      </c>
    </row>
    <row r="1406" spans="1:6" x14ac:dyDescent="0.25">
      <c r="A1406" t="s">
        <v>845</v>
      </c>
      <c r="B1406">
        <v>193</v>
      </c>
      <c r="C1406">
        <v>33</v>
      </c>
      <c r="D1406">
        <v>5</v>
      </c>
      <c r="E1406" t="s">
        <v>888</v>
      </c>
      <c r="F1406" t="s">
        <v>900</v>
      </c>
    </row>
    <row r="1407" spans="1:6" x14ac:dyDescent="0.25">
      <c r="A1407" t="s">
        <v>846</v>
      </c>
      <c r="B1407">
        <v>55</v>
      </c>
      <c r="C1407">
        <v>18</v>
      </c>
      <c r="D1407">
        <v>2</v>
      </c>
      <c r="E1407" t="s">
        <v>885</v>
      </c>
      <c r="F1407" t="s">
        <v>894</v>
      </c>
    </row>
    <row r="1408" spans="1:6" x14ac:dyDescent="0.25">
      <c r="A1408" t="s">
        <v>847</v>
      </c>
      <c r="B1408">
        <v>54</v>
      </c>
      <c r="C1408">
        <v>12</v>
      </c>
      <c r="D1408">
        <v>4</v>
      </c>
      <c r="E1408" t="s">
        <v>885</v>
      </c>
      <c r="F1408" t="s">
        <v>896</v>
      </c>
    </row>
    <row r="1409" spans="1:6" x14ac:dyDescent="0.25">
      <c r="A1409" t="s">
        <v>847</v>
      </c>
      <c r="B1409">
        <v>582</v>
      </c>
      <c r="C1409">
        <v>262</v>
      </c>
      <c r="D1409">
        <v>5</v>
      </c>
      <c r="E1409" t="s">
        <v>883</v>
      </c>
      <c r="F1409" t="s">
        <v>901</v>
      </c>
    </row>
    <row r="1410" spans="1:6" x14ac:dyDescent="0.25">
      <c r="A1410" t="s">
        <v>847</v>
      </c>
      <c r="B1410">
        <v>75</v>
      </c>
      <c r="C1410">
        <v>29</v>
      </c>
      <c r="D1410">
        <v>1</v>
      </c>
      <c r="E1410" t="s">
        <v>885</v>
      </c>
      <c r="F1410" t="s">
        <v>892</v>
      </c>
    </row>
    <row r="1411" spans="1:6" x14ac:dyDescent="0.25">
      <c r="A1411" t="s">
        <v>847</v>
      </c>
      <c r="B1411">
        <v>14</v>
      </c>
      <c r="C1411">
        <v>7</v>
      </c>
      <c r="D1411">
        <v>2</v>
      </c>
      <c r="E1411" t="s">
        <v>885</v>
      </c>
      <c r="F1411" t="s">
        <v>887</v>
      </c>
    </row>
    <row r="1412" spans="1:6" x14ac:dyDescent="0.25">
      <c r="A1412" t="s">
        <v>848</v>
      </c>
      <c r="B1412">
        <v>21</v>
      </c>
      <c r="C1412">
        <v>4</v>
      </c>
      <c r="D1412">
        <v>3</v>
      </c>
      <c r="E1412" t="s">
        <v>885</v>
      </c>
      <c r="F1412" t="s">
        <v>887</v>
      </c>
    </row>
    <row r="1413" spans="1:6" x14ac:dyDescent="0.25">
      <c r="A1413" t="s">
        <v>849</v>
      </c>
      <c r="B1413">
        <v>313</v>
      </c>
      <c r="C1413">
        <v>44</v>
      </c>
      <c r="D1413">
        <v>3</v>
      </c>
      <c r="E1413" t="s">
        <v>888</v>
      </c>
      <c r="F1413" t="s">
        <v>889</v>
      </c>
    </row>
    <row r="1414" spans="1:6" x14ac:dyDescent="0.25">
      <c r="A1414" t="s">
        <v>850</v>
      </c>
      <c r="B1414">
        <v>37</v>
      </c>
      <c r="C1414">
        <v>17</v>
      </c>
      <c r="D1414">
        <v>3</v>
      </c>
      <c r="E1414" t="s">
        <v>885</v>
      </c>
      <c r="F1414" t="s">
        <v>887</v>
      </c>
    </row>
    <row r="1415" spans="1:6" x14ac:dyDescent="0.25">
      <c r="A1415" t="s">
        <v>850</v>
      </c>
      <c r="B1415">
        <v>290</v>
      </c>
      <c r="C1415">
        <v>110</v>
      </c>
      <c r="D1415">
        <v>9</v>
      </c>
      <c r="E1415" t="s">
        <v>885</v>
      </c>
      <c r="F1415" t="s">
        <v>886</v>
      </c>
    </row>
    <row r="1416" spans="1:6" x14ac:dyDescent="0.25">
      <c r="A1416" t="s">
        <v>850</v>
      </c>
      <c r="B1416">
        <v>122</v>
      </c>
      <c r="C1416">
        <v>11</v>
      </c>
      <c r="D1416">
        <v>4</v>
      </c>
      <c r="E1416" t="s">
        <v>885</v>
      </c>
      <c r="F1416" t="s">
        <v>887</v>
      </c>
    </row>
    <row r="1417" spans="1:6" x14ac:dyDescent="0.25">
      <c r="A1417" t="s">
        <v>850</v>
      </c>
      <c r="B1417">
        <v>29</v>
      </c>
      <c r="C1417">
        <v>9</v>
      </c>
      <c r="D1417">
        <v>3</v>
      </c>
      <c r="E1417" t="s">
        <v>885</v>
      </c>
      <c r="F1417" t="s">
        <v>891</v>
      </c>
    </row>
    <row r="1418" spans="1:6" x14ac:dyDescent="0.25">
      <c r="A1418" t="s">
        <v>850</v>
      </c>
      <c r="B1418">
        <v>1514</v>
      </c>
      <c r="C1418">
        <v>742</v>
      </c>
      <c r="D1418">
        <v>4</v>
      </c>
      <c r="E1418" t="s">
        <v>888</v>
      </c>
      <c r="F1418" t="s">
        <v>899</v>
      </c>
    </row>
    <row r="1419" spans="1:6" x14ac:dyDescent="0.25">
      <c r="A1419" t="s">
        <v>851</v>
      </c>
      <c r="B1419">
        <v>57</v>
      </c>
      <c r="C1419">
        <v>21</v>
      </c>
      <c r="D1419">
        <v>4</v>
      </c>
      <c r="E1419" t="s">
        <v>885</v>
      </c>
      <c r="F1419" t="s">
        <v>897</v>
      </c>
    </row>
    <row r="1420" spans="1:6" x14ac:dyDescent="0.25">
      <c r="A1420" t="s">
        <v>852</v>
      </c>
      <c r="B1420">
        <v>34</v>
      </c>
      <c r="C1420">
        <v>12</v>
      </c>
      <c r="D1420">
        <v>2</v>
      </c>
      <c r="E1420" t="s">
        <v>885</v>
      </c>
      <c r="F1420" t="s">
        <v>886</v>
      </c>
    </row>
    <row r="1421" spans="1:6" x14ac:dyDescent="0.25">
      <c r="A1421" t="s">
        <v>853</v>
      </c>
      <c r="B1421">
        <v>91</v>
      </c>
      <c r="C1421">
        <v>22</v>
      </c>
      <c r="D1421">
        <v>2</v>
      </c>
      <c r="E1421" t="s">
        <v>885</v>
      </c>
      <c r="F1421" t="s">
        <v>886</v>
      </c>
    </row>
    <row r="1422" spans="1:6" x14ac:dyDescent="0.25">
      <c r="A1422" t="s">
        <v>853</v>
      </c>
      <c r="B1422">
        <v>133</v>
      </c>
      <c r="C1422">
        <v>46</v>
      </c>
      <c r="D1422">
        <v>5</v>
      </c>
      <c r="E1422" t="s">
        <v>885</v>
      </c>
      <c r="F1422" t="s">
        <v>896</v>
      </c>
    </row>
    <row r="1423" spans="1:6" x14ac:dyDescent="0.25">
      <c r="A1423" t="s">
        <v>853</v>
      </c>
      <c r="B1423">
        <v>60</v>
      </c>
      <c r="C1423">
        <v>13</v>
      </c>
      <c r="D1423">
        <v>2</v>
      </c>
      <c r="E1423" t="s">
        <v>885</v>
      </c>
      <c r="F1423" t="s">
        <v>895</v>
      </c>
    </row>
    <row r="1424" spans="1:6" x14ac:dyDescent="0.25">
      <c r="A1424" t="s">
        <v>853</v>
      </c>
      <c r="B1424">
        <v>19</v>
      </c>
      <c r="C1424">
        <v>4</v>
      </c>
      <c r="D1424">
        <v>2</v>
      </c>
      <c r="E1424" t="s">
        <v>885</v>
      </c>
      <c r="F1424" t="s">
        <v>891</v>
      </c>
    </row>
    <row r="1425" spans="1:6" x14ac:dyDescent="0.25">
      <c r="A1425" t="s">
        <v>853</v>
      </c>
      <c r="B1425">
        <v>450</v>
      </c>
      <c r="C1425">
        <v>190</v>
      </c>
      <c r="D1425">
        <v>4</v>
      </c>
      <c r="E1425" t="s">
        <v>883</v>
      </c>
      <c r="F1425" t="s">
        <v>884</v>
      </c>
    </row>
    <row r="1426" spans="1:6" x14ac:dyDescent="0.25">
      <c r="A1426" t="s">
        <v>854</v>
      </c>
      <c r="B1426">
        <v>62</v>
      </c>
      <c r="C1426">
        <v>11</v>
      </c>
      <c r="D1426">
        <v>7</v>
      </c>
      <c r="E1426" t="s">
        <v>885</v>
      </c>
      <c r="F1426" t="s">
        <v>887</v>
      </c>
    </row>
    <row r="1427" spans="1:6" x14ac:dyDescent="0.25">
      <c r="A1427" t="s">
        <v>855</v>
      </c>
      <c r="B1427">
        <v>17</v>
      </c>
      <c r="C1427">
        <v>8</v>
      </c>
      <c r="D1427">
        <v>2</v>
      </c>
      <c r="E1427" t="s">
        <v>885</v>
      </c>
      <c r="F1427" t="s">
        <v>902</v>
      </c>
    </row>
    <row r="1428" spans="1:6" x14ac:dyDescent="0.25">
      <c r="A1428" t="s">
        <v>855</v>
      </c>
      <c r="B1428">
        <v>44</v>
      </c>
      <c r="C1428">
        <v>20</v>
      </c>
      <c r="D1428">
        <v>2</v>
      </c>
      <c r="E1428" t="s">
        <v>885</v>
      </c>
      <c r="F1428" t="s">
        <v>895</v>
      </c>
    </row>
    <row r="1429" spans="1:6" x14ac:dyDescent="0.25">
      <c r="A1429" t="s">
        <v>855</v>
      </c>
      <c r="B1429">
        <v>557</v>
      </c>
      <c r="C1429">
        <v>111</v>
      </c>
      <c r="D1429">
        <v>2</v>
      </c>
      <c r="E1429" t="s">
        <v>888</v>
      </c>
      <c r="F1429" t="s">
        <v>889</v>
      </c>
    </row>
    <row r="1430" spans="1:6" x14ac:dyDescent="0.25">
      <c r="A1430" t="s">
        <v>855</v>
      </c>
      <c r="B1430">
        <v>137</v>
      </c>
      <c r="C1430">
        <v>63</v>
      </c>
      <c r="D1430">
        <v>3</v>
      </c>
      <c r="E1430" t="s">
        <v>885</v>
      </c>
      <c r="F1430" t="s">
        <v>886</v>
      </c>
    </row>
    <row r="1431" spans="1:6" x14ac:dyDescent="0.25">
      <c r="A1431" t="s">
        <v>856</v>
      </c>
      <c r="B1431">
        <v>18</v>
      </c>
      <c r="C1431">
        <v>3</v>
      </c>
      <c r="D1431">
        <v>2</v>
      </c>
      <c r="E1431" t="s">
        <v>885</v>
      </c>
      <c r="F1431" t="s">
        <v>887</v>
      </c>
    </row>
    <row r="1432" spans="1:6" x14ac:dyDescent="0.25">
      <c r="A1432" t="s">
        <v>857</v>
      </c>
      <c r="B1432">
        <v>109</v>
      </c>
      <c r="C1432">
        <v>35</v>
      </c>
      <c r="D1432">
        <v>6</v>
      </c>
      <c r="E1432" t="s">
        <v>885</v>
      </c>
      <c r="F1432" t="s">
        <v>895</v>
      </c>
    </row>
    <row r="1433" spans="1:6" x14ac:dyDescent="0.25">
      <c r="A1433" t="s">
        <v>858</v>
      </c>
      <c r="B1433">
        <v>359</v>
      </c>
      <c r="C1433">
        <v>-338</v>
      </c>
      <c r="D1433">
        <v>5</v>
      </c>
      <c r="E1433" t="s">
        <v>883</v>
      </c>
      <c r="F1433" t="s">
        <v>884</v>
      </c>
    </row>
    <row r="1434" spans="1:6" x14ac:dyDescent="0.25">
      <c r="A1434" t="s">
        <v>858</v>
      </c>
      <c r="B1434">
        <v>93</v>
      </c>
      <c r="C1434">
        <v>-84</v>
      </c>
      <c r="D1434">
        <v>3</v>
      </c>
      <c r="E1434" t="s">
        <v>885</v>
      </c>
      <c r="F1434" t="s">
        <v>891</v>
      </c>
    </row>
    <row r="1435" spans="1:6" x14ac:dyDescent="0.25">
      <c r="A1435" t="s">
        <v>858</v>
      </c>
      <c r="B1435">
        <v>169</v>
      </c>
      <c r="C1435">
        <v>0</v>
      </c>
      <c r="D1435">
        <v>3</v>
      </c>
      <c r="E1435" t="s">
        <v>888</v>
      </c>
      <c r="F1435" t="s">
        <v>900</v>
      </c>
    </row>
    <row r="1436" spans="1:6" x14ac:dyDescent="0.25">
      <c r="A1436" t="s">
        <v>858</v>
      </c>
      <c r="B1436">
        <v>79</v>
      </c>
      <c r="C1436">
        <v>33</v>
      </c>
      <c r="D1436">
        <v>4</v>
      </c>
      <c r="E1436" t="s">
        <v>885</v>
      </c>
      <c r="F1436" t="s">
        <v>886</v>
      </c>
    </row>
    <row r="1437" spans="1:6" x14ac:dyDescent="0.25">
      <c r="A1437" t="s">
        <v>858</v>
      </c>
      <c r="B1437">
        <v>24</v>
      </c>
      <c r="C1437">
        <v>11</v>
      </c>
      <c r="D1437">
        <v>3</v>
      </c>
      <c r="E1437" t="s">
        <v>885</v>
      </c>
      <c r="F1437" t="s">
        <v>887</v>
      </c>
    </row>
    <row r="1438" spans="1:6" x14ac:dyDescent="0.25">
      <c r="A1438" t="s">
        <v>858</v>
      </c>
      <c r="B1438">
        <v>637</v>
      </c>
      <c r="C1438">
        <v>50</v>
      </c>
      <c r="D1438">
        <v>5</v>
      </c>
      <c r="E1438" t="s">
        <v>885</v>
      </c>
      <c r="F1438" t="s">
        <v>891</v>
      </c>
    </row>
    <row r="1439" spans="1:6" x14ac:dyDescent="0.25">
      <c r="A1439" t="s">
        <v>859</v>
      </c>
      <c r="B1439">
        <v>95</v>
      </c>
      <c r="C1439">
        <v>5</v>
      </c>
      <c r="D1439">
        <v>2</v>
      </c>
      <c r="E1439" t="s">
        <v>885</v>
      </c>
      <c r="F1439" t="s">
        <v>886</v>
      </c>
    </row>
    <row r="1440" spans="1:6" x14ac:dyDescent="0.25">
      <c r="A1440" t="s">
        <v>860</v>
      </c>
      <c r="B1440">
        <v>43</v>
      </c>
      <c r="C1440">
        <v>8</v>
      </c>
      <c r="D1440">
        <v>3</v>
      </c>
      <c r="E1440" t="s">
        <v>885</v>
      </c>
      <c r="F1440" t="s">
        <v>897</v>
      </c>
    </row>
    <row r="1441" spans="1:6" x14ac:dyDescent="0.25">
      <c r="A1441" t="s">
        <v>860</v>
      </c>
      <c r="B1441">
        <v>145</v>
      </c>
      <c r="C1441">
        <v>16</v>
      </c>
      <c r="D1441">
        <v>3</v>
      </c>
      <c r="E1441" t="s">
        <v>885</v>
      </c>
      <c r="F1441" t="s">
        <v>895</v>
      </c>
    </row>
    <row r="1442" spans="1:6" x14ac:dyDescent="0.25">
      <c r="A1442" t="s">
        <v>860</v>
      </c>
      <c r="B1442">
        <v>34</v>
      </c>
      <c r="C1442">
        <v>3</v>
      </c>
      <c r="D1442">
        <v>3</v>
      </c>
      <c r="E1442" t="s">
        <v>885</v>
      </c>
      <c r="F1442" t="s">
        <v>891</v>
      </c>
    </row>
    <row r="1443" spans="1:6" x14ac:dyDescent="0.25">
      <c r="A1443" t="s">
        <v>860</v>
      </c>
      <c r="B1443">
        <v>143</v>
      </c>
      <c r="C1443">
        <v>6</v>
      </c>
      <c r="D1443">
        <v>2</v>
      </c>
      <c r="E1443" t="s">
        <v>888</v>
      </c>
      <c r="F1443" t="s">
        <v>900</v>
      </c>
    </row>
    <row r="1444" spans="1:6" x14ac:dyDescent="0.25">
      <c r="A1444" t="s">
        <v>860</v>
      </c>
      <c r="B1444">
        <v>45</v>
      </c>
      <c r="C1444">
        <v>17</v>
      </c>
      <c r="D1444">
        <v>1</v>
      </c>
      <c r="E1444" t="s">
        <v>888</v>
      </c>
      <c r="F1444" t="s">
        <v>900</v>
      </c>
    </row>
    <row r="1445" spans="1:6" x14ac:dyDescent="0.25">
      <c r="A1445" t="s">
        <v>861</v>
      </c>
      <c r="B1445">
        <v>209</v>
      </c>
      <c r="C1445">
        <v>-63</v>
      </c>
      <c r="D1445">
        <v>4</v>
      </c>
      <c r="E1445" t="s">
        <v>888</v>
      </c>
      <c r="F1445" t="s">
        <v>889</v>
      </c>
    </row>
    <row r="1446" spans="1:6" x14ac:dyDescent="0.25">
      <c r="A1446" t="s">
        <v>862</v>
      </c>
      <c r="B1446">
        <v>86</v>
      </c>
      <c r="C1446">
        <v>22</v>
      </c>
      <c r="D1446">
        <v>2</v>
      </c>
      <c r="E1446" t="s">
        <v>885</v>
      </c>
      <c r="F1446" t="s">
        <v>891</v>
      </c>
    </row>
    <row r="1447" spans="1:6" x14ac:dyDescent="0.25">
      <c r="A1447" t="s">
        <v>862</v>
      </c>
      <c r="B1447">
        <v>1487</v>
      </c>
      <c r="C1447">
        <v>624</v>
      </c>
      <c r="D1447">
        <v>3</v>
      </c>
      <c r="E1447" t="s">
        <v>885</v>
      </c>
      <c r="F1447" t="s">
        <v>892</v>
      </c>
    </row>
    <row r="1448" spans="1:6" x14ac:dyDescent="0.25">
      <c r="A1448" t="s">
        <v>862</v>
      </c>
      <c r="B1448">
        <v>40</v>
      </c>
      <c r="C1448">
        <v>17</v>
      </c>
      <c r="D1448">
        <v>2</v>
      </c>
      <c r="E1448" t="s">
        <v>885</v>
      </c>
      <c r="F1448" t="s">
        <v>886</v>
      </c>
    </row>
    <row r="1449" spans="1:6" x14ac:dyDescent="0.25">
      <c r="A1449" t="s">
        <v>862</v>
      </c>
      <c r="B1449">
        <v>132</v>
      </c>
      <c r="C1449">
        <v>-10</v>
      </c>
      <c r="D1449">
        <v>3</v>
      </c>
      <c r="E1449" t="s">
        <v>885</v>
      </c>
      <c r="F1449" t="s">
        <v>891</v>
      </c>
    </row>
    <row r="1450" spans="1:6" x14ac:dyDescent="0.25">
      <c r="A1450" t="s">
        <v>863</v>
      </c>
      <c r="B1450">
        <v>43</v>
      </c>
      <c r="C1450">
        <v>17</v>
      </c>
      <c r="D1450">
        <v>2</v>
      </c>
      <c r="E1450" t="s">
        <v>885</v>
      </c>
      <c r="F1450" t="s">
        <v>895</v>
      </c>
    </row>
    <row r="1451" spans="1:6" x14ac:dyDescent="0.25">
      <c r="A1451" t="s">
        <v>863</v>
      </c>
      <c r="B1451">
        <v>762</v>
      </c>
      <c r="C1451">
        <v>101</v>
      </c>
      <c r="D1451">
        <v>6</v>
      </c>
      <c r="E1451" t="s">
        <v>888</v>
      </c>
      <c r="F1451" t="s">
        <v>899</v>
      </c>
    </row>
    <row r="1452" spans="1:6" x14ac:dyDescent="0.25">
      <c r="A1452" t="s">
        <v>863</v>
      </c>
      <c r="B1452">
        <v>25</v>
      </c>
      <c r="C1452">
        <v>2</v>
      </c>
      <c r="D1452">
        <v>2</v>
      </c>
      <c r="E1452" t="s">
        <v>885</v>
      </c>
      <c r="F1452" t="s">
        <v>887</v>
      </c>
    </row>
    <row r="1453" spans="1:6" x14ac:dyDescent="0.25">
      <c r="A1453" t="s">
        <v>864</v>
      </c>
      <c r="B1453">
        <v>119</v>
      </c>
      <c r="C1453">
        <v>56</v>
      </c>
      <c r="D1453">
        <v>7</v>
      </c>
      <c r="E1453" t="s">
        <v>885</v>
      </c>
      <c r="F1453" t="s">
        <v>891</v>
      </c>
    </row>
    <row r="1454" spans="1:6" x14ac:dyDescent="0.25">
      <c r="A1454" t="s">
        <v>864</v>
      </c>
      <c r="B1454">
        <v>46</v>
      </c>
      <c r="C1454">
        <v>13</v>
      </c>
      <c r="D1454">
        <v>3</v>
      </c>
      <c r="E1454" t="s">
        <v>885</v>
      </c>
      <c r="F1454" t="s">
        <v>887</v>
      </c>
    </row>
    <row r="1455" spans="1:6" x14ac:dyDescent="0.25">
      <c r="A1455" t="s">
        <v>864</v>
      </c>
      <c r="B1455">
        <v>311</v>
      </c>
      <c r="C1455">
        <v>40</v>
      </c>
      <c r="D1455">
        <v>1</v>
      </c>
      <c r="E1455" t="s">
        <v>888</v>
      </c>
      <c r="F1455" t="s">
        <v>889</v>
      </c>
    </row>
    <row r="1456" spans="1:6" x14ac:dyDescent="0.25">
      <c r="A1456" t="s">
        <v>864</v>
      </c>
      <c r="B1456">
        <v>40</v>
      </c>
      <c r="C1456">
        <v>10</v>
      </c>
      <c r="D1456">
        <v>2</v>
      </c>
      <c r="E1456" t="s">
        <v>885</v>
      </c>
      <c r="F1456" t="s">
        <v>886</v>
      </c>
    </row>
    <row r="1457" spans="1:6" x14ac:dyDescent="0.25">
      <c r="A1457" t="s">
        <v>864</v>
      </c>
      <c r="B1457">
        <v>180</v>
      </c>
      <c r="C1457">
        <v>0</v>
      </c>
      <c r="D1457">
        <v>8</v>
      </c>
      <c r="E1457" t="s">
        <v>885</v>
      </c>
      <c r="F1457" t="s">
        <v>886</v>
      </c>
    </row>
    <row r="1458" spans="1:6" x14ac:dyDescent="0.25">
      <c r="A1458" t="s">
        <v>865</v>
      </c>
      <c r="B1458">
        <v>11</v>
      </c>
      <c r="C1458">
        <v>5</v>
      </c>
      <c r="D1458">
        <v>2</v>
      </c>
      <c r="E1458" t="s">
        <v>885</v>
      </c>
      <c r="F1458" t="s">
        <v>887</v>
      </c>
    </row>
    <row r="1459" spans="1:6" x14ac:dyDescent="0.25">
      <c r="A1459" t="s">
        <v>866</v>
      </c>
      <c r="B1459">
        <v>59</v>
      </c>
      <c r="C1459">
        <v>24</v>
      </c>
      <c r="D1459">
        <v>6</v>
      </c>
      <c r="E1459" t="s">
        <v>885</v>
      </c>
      <c r="F1459" t="s">
        <v>894</v>
      </c>
    </row>
    <row r="1460" spans="1:6" x14ac:dyDescent="0.25">
      <c r="A1460" t="s">
        <v>866</v>
      </c>
      <c r="B1460">
        <v>27</v>
      </c>
      <c r="C1460">
        <v>4</v>
      </c>
      <c r="D1460">
        <v>1</v>
      </c>
      <c r="E1460" t="s">
        <v>885</v>
      </c>
      <c r="F1460" t="s">
        <v>887</v>
      </c>
    </row>
    <row r="1461" spans="1:6" x14ac:dyDescent="0.25">
      <c r="A1461" t="s">
        <v>866</v>
      </c>
      <c r="B1461">
        <v>139</v>
      </c>
      <c r="C1461">
        <v>14</v>
      </c>
      <c r="D1461">
        <v>3</v>
      </c>
      <c r="E1461" t="s">
        <v>885</v>
      </c>
      <c r="F1461" t="s">
        <v>894</v>
      </c>
    </row>
    <row r="1462" spans="1:6" x14ac:dyDescent="0.25">
      <c r="A1462" t="s">
        <v>867</v>
      </c>
      <c r="B1462">
        <v>80</v>
      </c>
      <c r="C1462">
        <v>22</v>
      </c>
      <c r="D1462">
        <v>3</v>
      </c>
      <c r="E1462" t="s">
        <v>885</v>
      </c>
      <c r="F1462" t="s">
        <v>886</v>
      </c>
    </row>
    <row r="1463" spans="1:6" x14ac:dyDescent="0.25">
      <c r="A1463" t="s">
        <v>868</v>
      </c>
      <c r="B1463">
        <v>158</v>
      </c>
      <c r="C1463">
        <v>69</v>
      </c>
      <c r="D1463">
        <v>3</v>
      </c>
      <c r="E1463" t="s">
        <v>885</v>
      </c>
      <c r="F1463" t="s">
        <v>886</v>
      </c>
    </row>
    <row r="1464" spans="1:6" x14ac:dyDescent="0.25">
      <c r="A1464" t="s">
        <v>868</v>
      </c>
      <c r="B1464">
        <v>29</v>
      </c>
      <c r="C1464">
        <v>10</v>
      </c>
      <c r="D1464">
        <v>4</v>
      </c>
      <c r="E1464" t="s">
        <v>885</v>
      </c>
      <c r="F1464" t="s">
        <v>887</v>
      </c>
    </row>
    <row r="1465" spans="1:6" x14ac:dyDescent="0.25">
      <c r="A1465" t="s">
        <v>868</v>
      </c>
      <c r="B1465">
        <v>59</v>
      </c>
      <c r="C1465">
        <v>10</v>
      </c>
      <c r="D1465">
        <v>4</v>
      </c>
      <c r="E1465" t="s">
        <v>885</v>
      </c>
      <c r="F1465" t="s">
        <v>897</v>
      </c>
    </row>
    <row r="1466" spans="1:6" x14ac:dyDescent="0.25">
      <c r="A1466" t="s">
        <v>869</v>
      </c>
      <c r="B1466">
        <v>97</v>
      </c>
      <c r="C1466">
        <v>14</v>
      </c>
      <c r="D1466">
        <v>2</v>
      </c>
      <c r="E1466" t="s">
        <v>885</v>
      </c>
      <c r="F1466" t="s">
        <v>895</v>
      </c>
    </row>
    <row r="1467" spans="1:6" x14ac:dyDescent="0.25">
      <c r="A1467" t="s">
        <v>870</v>
      </c>
      <c r="B1467">
        <v>33</v>
      </c>
      <c r="C1467">
        <v>-1</v>
      </c>
      <c r="D1467">
        <v>1</v>
      </c>
      <c r="E1467" t="s">
        <v>885</v>
      </c>
      <c r="F1467" t="s">
        <v>891</v>
      </c>
    </row>
    <row r="1468" spans="1:6" x14ac:dyDescent="0.25">
      <c r="A1468" t="s">
        <v>870</v>
      </c>
      <c r="B1468">
        <v>2847</v>
      </c>
      <c r="C1468">
        <v>712</v>
      </c>
      <c r="D1468">
        <v>8</v>
      </c>
      <c r="E1468" t="s">
        <v>888</v>
      </c>
      <c r="F1468" t="s">
        <v>899</v>
      </c>
    </row>
    <row r="1469" spans="1:6" x14ac:dyDescent="0.25">
      <c r="A1469" t="s">
        <v>870</v>
      </c>
      <c r="B1469">
        <v>852</v>
      </c>
      <c r="C1469">
        <v>51</v>
      </c>
      <c r="D1469">
        <v>5</v>
      </c>
      <c r="E1469" t="s">
        <v>883</v>
      </c>
      <c r="F1469" t="s">
        <v>884</v>
      </c>
    </row>
    <row r="1470" spans="1:6" x14ac:dyDescent="0.25">
      <c r="A1470" t="s">
        <v>870</v>
      </c>
      <c r="B1470">
        <v>492</v>
      </c>
      <c r="C1470">
        <v>187</v>
      </c>
      <c r="D1470">
        <v>2</v>
      </c>
      <c r="E1470" t="s">
        <v>888</v>
      </c>
      <c r="F1470" t="s">
        <v>900</v>
      </c>
    </row>
    <row r="1471" spans="1:6" x14ac:dyDescent="0.25">
      <c r="A1471" t="s">
        <v>870</v>
      </c>
      <c r="B1471">
        <v>81</v>
      </c>
      <c r="C1471">
        <v>41</v>
      </c>
      <c r="D1471">
        <v>5</v>
      </c>
      <c r="E1471" t="s">
        <v>885</v>
      </c>
      <c r="F1471" t="s">
        <v>897</v>
      </c>
    </row>
    <row r="1472" spans="1:6" x14ac:dyDescent="0.25">
      <c r="A1472" t="s">
        <v>870</v>
      </c>
      <c r="B1472">
        <v>49</v>
      </c>
      <c r="C1472">
        <v>5</v>
      </c>
      <c r="D1472">
        <v>4</v>
      </c>
      <c r="E1472" t="s">
        <v>885</v>
      </c>
      <c r="F1472" t="s">
        <v>887</v>
      </c>
    </row>
    <row r="1473" spans="1:6" x14ac:dyDescent="0.25">
      <c r="A1473" t="s">
        <v>870</v>
      </c>
      <c r="B1473">
        <v>148</v>
      </c>
      <c r="C1473">
        <v>25</v>
      </c>
      <c r="D1473">
        <v>3</v>
      </c>
      <c r="E1473" t="s">
        <v>885</v>
      </c>
      <c r="F1473" t="s">
        <v>891</v>
      </c>
    </row>
    <row r="1474" spans="1:6" x14ac:dyDescent="0.25">
      <c r="A1474" t="s">
        <v>871</v>
      </c>
      <c r="B1474">
        <v>152</v>
      </c>
      <c r="C1474">
        <v>50</v>
      </c>
      <c r="D1474">
        <v>6</v>
      </c>
      <c r="E1474" t="s">
        <v>885</v>
      </c>
      <c r="F1474" t="s">
        <v>886</v>
      </c>
    </row>
    <row r="1475" spans="1:6" x14ac:dyDescent="0.25">
      <c r="A1475" t="s">
        <v>872</v>
      </c>
      <c r="B1475">
        <v>6</v>
      </c>
      <c r="C1475">
        <v>1</v>
      </c>
      <c r="D1475">
        <v>1</v>
      </c>
      <c r="E1475" t="s">
        <v>885</v>
      </c>
      <c r="F1475" t="s">
        <v>894</v>
      </c>
    </row>
    <row r="1476" spans="1:6" x14ac:dyDescent="0.25">
      <c r="A1476" t="s">
        <v>873</v>
      </c>
      <c r="B1476">
        <v>45</v>
      </c>
      <c r="C1476">
        <v>9</v>
      </c>
      <c r="D1476">
        <v>3</v>
      </c>
      <c r="E1476" t="s">
        <v>885</v>
      </c>
      <c r="F1476" t="s">
        <v>897</v>
      </c>
    </row>
    <row r="1477" spans="1:6" x14ac:dyDescent="0.25">
      <c r="A1477" t="s">
        <v>873</v>
      </c>
      <c r="B1477">
        <v>103</v>
      </c>
      <c r="C1477">
        <v>46</v>
      </c>
      <c r="D1477">
        <v>2</v>
      </c>
      <c r="E1477" t="s">
        <v>885</v>
      </c>
      <c r="F1477" t="s">
        <v>891</v>
      </c>
    </row>
    <row r="1478" spans="1:6" x14ac:dyDescent="0.25">
      <c r="A1478" t="s">
        <v>873</v>
      </c>
      <c r="B1478">
        <v>140</v>
      </c>
      <c r="C1478">
        <v>56</v>
      </c>
      <c r="D1478">
        <v>4</v>
      </c>
      <c r="E1478" t="s">
        <v>885</v>
      </c>
      <c r="F1478" t="s">
        <v>896</v>
      </c>
    </row>
    <row r="1479" spans="1:6" x14ac:dyDescent="0.25">
      <c r="A1479" t="s">
        <v>873</v>
      </c>
      <c r="B1479">
        <v>88</v>
      </c>
      <c r="C1479">
        <v>11</v>
      </c>
      <c r="D1479">
        <v>3</v>
      </c>
      <c r="E1479" t="s">
        <v>888</v>
      </c>
      <c r="F1479" t="s">
        <v>900</v>
      </c>
    </row>
    <row r="1480" spans="1:6" x14ac:dyDescent="0.25">
      <c r="A1480" t="s">
        <v>873</v>
      </c>
      <c r="B1480">
        <v>451</v>
      </c>
      <c r="C1480">
        <v>25</v>
      </c>
      <c r="D1480">
        <v>3</v>
      </c>
      <c r="E1480" t="s">
        <v>888</v>
      </c>
      <c r="F1480" t="s">
        <v>890</v>
      </c>
    </row>
    <row r="1481" spans="1:6" x14ac:dyDescent="0.25">
      <c r="A1481" t="s">
        <v>873</v>
      </c>
      <c r="B1481">
        <v>264</v>
      </c>
      <c r="C1481">
        <v>-26</v>
      </c>
      <c r="D1481">
        <v>3</v>
      </c>
      <c r="E1481" t="s">
        <v>885</v>
      </c>
      <c r="F1481" t="s">
        <v>892</v>
      </c>
    </row>
    <row r="1482" spans="1:6" x14ac:dyDescent="0.25">
      <c r="A1482" t="s">
        <v>874</v>
      </c>
      <c r="B1482">
        <v>97</v>
      </c>
      <c r="C1482">
        <v>12</v>
      </c>
      <c r="D1482">
        <v>2</v>
      </c>
      <c r="E1482" t="s">
        <v>885</v>
      </c>
      <c r="F1482" t="s">
        <v>887</v>
      </c>
    </row>
    <row r="1483" spans="1:6" x14ac:dyDescent="0.25">
      <c r="A1483" t="s">
        <v>874</v>
      </c>
      <c r="B1483">
        <v>14</v>
      </c>
      <c r="C1483">
        <v>5</v>
      </c>
      <c r="D1483">
        <v>1</v>
      </c>
      <c r="E1483" t="s">
        <v>885</v>
      </c>
      <c r="F1483" t="s">
        <v>887</v>
      </c>
    </row>
    <row r="1484" spans="1:6" x14ac:dyDescent="0.25">
      <c r="A1484" t="s">
        <v>874</v>
      </c>
      <c r="B1484">
        <v>19</v>
      </c>
      <c r="C1484">
        <v>8</v>
      </c>
      <c r="D1484">
        <v>2</v>
      </c>
      <c r="E1484" t="s">
        <v>885</v>
      </c>
      <c r="F1484" t="s">
        <v>887</v>
      </c>
    </row>
    <row r="1485" spans="1:6" x14ac:dyDescent="0.25">
      <c r="A1485" t="s">
        <v>874</v>
      </c>
      <c r="B1485">
        <v>39</v>
      </c>
      <c r="C1485">
        <v>18</v>
      </c>
      <c r="D1485">
        <v>2</v>
      </c>
      <c r="E1485" t="s">
        <v>885</v>
      </c>
      <c r="F1485" t="s">
        <v>897</v>
      </c>
    </row>
    <row r="1486" spans="1:6" x14ac:dyDescent="0.25">
      <c r="A1486" t="s">
        <v>874</v>
      </c>
      <c r="B1486">
        <v>185</v>
      </c>
      <c r="C1486">
        <v>-26</v>
      </c>
      <c r="D1486">
        <v>6</v>
      </c>
      <c r="E1486" t="s">
        <v>883</v>
      </c>
      <c r="F1486" t="s">
        <v>893</v>
      </c>
    </row>
    <row r="1487" spans="1:6" x14ac:dyDescent="0.25">
      <c r="A1487" t="s">
        <v>874</v>
      </c>
      <c r="B1487">
        <v>663</v>
      </c>
      <c r="C1487">
        <v>-212</v>
      </c>
      <c r="D1487">
        <v>5</v>
      </c>
      <c r="E1487" t="s">
        <v>888</v>
      </c>
      <c r="F1487" t="s">
        <v>899</v>
      </c>
    </row>
    <row r="1488" spans="1:6" x14ac:dyDescent="0.25">
      <c r="A1488" t="s">
        <v>874</v>
      </c>
      <c r="B1488">
        <v>671</v>
      </c>
      <c r="C1488">
        <v>-309</v>
      </c>
      <c r="D1488">
        <v>5</v>
      </c>
      <c r="E1488" t="s">
        <v>888</v>
      </c>
      <c r="F1488" t="s">
        <v>889</v>
      </c>
    </row>
    <row r="1489" spans="1:6" x14ac:dyDescent="0.25">
      <c r="A1489" t="s">
        <v>875</v>
      </c>
      <c r="B1489">
        <v>82</v>
      </c>
      <c r="C1489">
        <v>8</v>
      </c>
      <c r="D1489">
        <v>3</v>
      </c>
      <c r="E1489" t="s">
        <v>888</v>
      </c>
      <c r="F1489" t="s">
        <v>900</v>
      </c>
    </row>
    <row r="1490" spans="1:6" x14ac:dyDescent="0.25">
      <c r="A1490" t="s">
        <v>875</v>
      </c>
      <c r="B1490">
        <v>497</v>
      </c>
      <c r="C1490">
        <v>179</v>
      </c>
      <c r="D1490">
        <v>3</v>
      </c>
      <c r="E1490" t="s">
        <v>883</v>
      </c>
      <c r="F1490" t="s">
        <v>893</v>
      </c>
    </row>
    <row r="1491" spans="1:6" x14ac:dyDescent="0.25">
      <c r="A1491" t="s">
        <v>875</v>
      </c>
      <c r="B1491">
        <v>96</v>
      </c>
      <c r="C1491">
        <v>48</v>
      </c>
      <c r="D1491">
        <v>5</v>
      </c>
      <c r="E1491" t="s">
        <v>885</v>
      </c>
      <c r="F1491" t="s">
        <v>897</v>
      </c>
    </row>
    <row r="1492" spans="1:6" x14ac:dyDescent="0.25">
      <c r="A1492" t="s">
        <v>875</v>
      </c>
      <c r="B1492">
        <v>409</v>
      </c>
      <c r="C1492">
        <v>86</v>
      </c>
      <c r="D1492">
        <v>3</v>
      </c>
      <c r="E1492" t="s">
        <v>885</v>
      </c>
      <c r="F1492" t="s">
        <v>891</v>
      </c>
    </row>
    <row r="1493" spans="1:6" x14ac:dyDescent="0.25">
      <c r="A1493" t="s">
        <v>875</v>
      </c>
      <c r="B1493">
        <v>59</v>
      </c>
      <c r="C1493">
        <v>15</v>
      </c>
      <c r="D1493">
        <v>2</v>
      </c>
      <c r="E1493" t="s">
        <v>885</v>
      </c>
      <c r="F1493" t="s">
        <v>895</v>
      </c>
    </row>
    <row r="1494" spans="1:6" x14ac:dyDescent="0.25">
      <c r="A1494" t="s">
        <v>875</v>
      </c>
      <c r="B1494">
        <v>46</v>
      </c>
      <c r="C1494">
        <v>14</v>
      </c>
      <c r="D1494">
        <v>5</v>
      </c>
      <c r="E1494" t="s">
        <v>885</v>
      </c>
      <c r="F1494" t="s">
        <v>902</v>
      </c>
    </row>
    <row r="1495" spans="1:6" x14ac:dyDescent="0.25">
      <c r="A1495" t="s">
        <v>876</v>
      </c>
      <c r="B1495">
        <v>9</v>
      </c>
      <c r="C1495">
        <v>3</v>
      </c>
      <c r="D1495">
        <v>1</v>
      </c>
      <c r="E1495" t="s">
        <v>885</v>
      </c>
      <c r="F1495" t="s">
        <v>902</v>
      </c>
    </row>
    <row r="1496" spans="1:6" x14ac:dyDescent="0.25">
      <c r="A1496" t="s">
        <v>876</v>
      </c>
      <c r="B1496">
        <v>207</v>
      </c>
      <c r="C1496">
        <v>37</v>
      </c>
      <c r="D1496">
        <v>4</v>
      </c>
      <c r="E1496" t="s">
        <v>885</v>
      </c>
      <c r="F1496" t="s">
        <v>887</v>
      </c>
    </row>
    <row r="1497" spans="1:6" x14ac:dyDescent="0.25">
      <c r="A1497" t="s">
        <v>876</v>
      </c>
      <c r="B1497">
        <v>835</v>
      </c>
      <c r="C1497">
        <v>267</v>
      </c>
      <c r="D1497">
        <v>5</v>
      </c>
      <c r="E1497" t="s">
        <v>888</v>
      </c>
      <c r="F1497" t="s">
        <v>890</v>
      </c>
    </row>
    <row r="1498" spans="1:6" x14ac:dyDescent="0.25">
      <c r="A1498" t="s">
        <v>876</v>
      </c>
      <c r="B1498">
        <v>2366</v>
      </c>
      <c r="C1498">
        <v>552</v>
      </c>
      <c r="D1498">
        <v>5</v>
      </c>
      <c r="E1498" t="s">
        <v>885</v>
      </c>
      <c r="F1498" t="s">
        <v>892</v>
      </c>
    </row>
    <row r="1499" spans="1:6" x14ac:dyDescent="0.25">
      <c r="A1499" t="s">
        <v>877</v>
      </c>
      <c r="B1499">
        <v>828</v>
      </c>
      <c r="C1499">
        <v>230</v>
      </c>
      <c r="D1499">
        <v>2</v>
      </c>
      <c r="E1499" t="s">
        <v>883</v>
      </c>
      <c r="F1499" t="s">
        <v>893</v>
      </c>
    </row>
    <row r="1500" spans="1:6" x14ac:dyDescent="0.25">
      <c r="A1500" t="s">
        <v>877</v>
      </c>
      <c r="B1500">
        <v>34</v>
      </c>
      <c r="C1500">
        <v>10</v>
      </c>
      <c r="D1500">
        <v>2</v>
      </c>
      <c r="E1500" t="s">
        <v>885</v>
      </c>
      <c r="F1500" t="s">
        <v>895</v>
      </c>
    </row>
    <row r="1501" spans="1:6" x14ac:dyDescent="0.25">
      <c r="A1501" t="s">
        <v>877</v>
      </c>
      <c r="B1501">
        <v>72</v>
      </c>
      <c r="C1501">
        <v>16</v>
      </c>
      <c r="D1501">
        <v>2</v>
      </c>
      <c r="E1501" t="s">
        <v>885</v>
      </c>
      <c r="F1501" t="s">
        <v>896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3F3E6-F3A0-475C-8F51-7A469DEBEF7E}">
  <sheetPr codeName="Sheet3"/>
  <dimension ref="A1:C37"/>
  <sheetViews>
    <sheetView workbookViewId="0">
      <selection activeCell="B3" sqref="B3"/>
    </sheetView>
  </sheetViews>
  <sheetFormatPr defaultRowHeight="15" x14ac:dyDescent="0.25"/>
  <cols>
    <col min="1" max="1" width="21.5703125" customWidth="1"/>
    <col min="2" max="2" width="11" customWidth="1"/>
  </cols>
  <sheetData>
    <row r="1" spans="1:3" x14ac:dyDescent="0.25">
      <c r="A1" t="s">
        <v>904</v>
      </c>
      <c r="B1" t="s">
        <v>881</v>
      </c>
      <c r="C1" t="s">
        <v>903</v>
      </c>
    </row>
    <row r="2" spans="1:3" x14ac:dyDescent="0.25">
      <c r="A2" s="2">
        <v>43191</v>
      </c>
      <c r="B2" t="s">
        <v>883</v>
      </c>
      <c r="C2">
        <v>10400</v>
      </c>
    </row>
    <row r="3" spans="1:3" x14ac:dyDescent="0.25">
      <c r="A3" s="2">
        <v>43221</v>
      </c>
      <c r="B3" t="s">
        <v>883</v>
      </c>
      <c r="C3">
        <v>10500</v>
      </c>
    </row>
    <row r="4" spans="1:3" x14ac:dyDescent="0.25">
      <c r="A4" s="2">
        <v>43252</v>
      </c>
      <c r="B4" t="s">
        <v>883</v>
      </c>
      <c r="C4">
        <v>10600</v>
      </c>
    </row>
    <row r="5" spans="1:3" x14ac:dyDescent="0.25">
      <c r="A5" s="2">
        <v>43282</v>
      </c>
      <c r="B5" t="s">
        <v>883</v>
      </c>
      <c r="C5">
        <v>10800</v>
      </c>
    </row>
    <row r="6" spans="1:3" x14ac:dyDescent="0.25">
      <c r="A6" s="2">
        <v>43313</v>
      </c>
      <c r="B6" t="s">
        <v>883</v>
      </c>
      <c r="C6">
        <v>10900</v>
      </c>
    </row>
    <row r="7" spans="1:3" x14ac:dyDescent="0.25">
      <c r="A7" s="2">
        <v>43344</v>
      </c>
      <c r="B7" t="s">
        <v>883</v>
      </c>
      <c r="C7">
        <v>11000</v>
      </c>
    </row>
    <row r="8" spans="1:3" x14ac:dyDescent="0.25">
      <c r="A8" s="2">
        <v>43374</v>
      </c>
      <c r="B8" t="s">
        <v>883</v>
      </c>
      <c r="C8">
        <v>11100</v>
      </c>
    </row>
    <row r="9" spans="1:3" x14ac:dyDescent="0.25">
      <c r="A9" s="2">
        <v>43405</v>
      </c>
      <c r="B9" t="s">
        <v>883</v>
      </c>
      <c r="C9">
        <v>11300</v>
      </c>
    </row>
    <row r="10" spans="1:3" x14ac:dyDescent="0.25">
      <c r="A10" s="2">
        <v>43435</v>
      </c>
      <c r="B10" t="s">
        <v>883</v>
      </c>
      <c r="C10">
        <v>11400</v>
      </c>
    </row>
    <row r="11" spans="1:3" x14ac:dyDescent="0.25">
      <c r="A11" s="2">
        <v>43466</v>
      </c>
      <c r="B11" t="s">
        <v>883</v>
      </c>
      <c r="C11">
        <v>11500</v>
      </c>
    </row>
    <row r="12" spans="1:3" x14ac:dyDescent="0.25">
      <c r="A12" s="2">
        <v>43497</v>
      </c>
      <c r="B12" t="s">
        <v>883</v>
      </c>
      <c r="C12">
        <v>11600</v>
      </c>
    </row>
    <row r="13" spans="1:3" x14ac:dyDescent="0.25">
      <c r="A13" s="2">
        <v>43525</v>
      </c>
      <c r="B13" t="s">
        <v>883</v>
      </c>
      <c r="C13">
        <v>11800</v>
      </c>
    </row>
    <row r="14" spans="1:3" x14ac:dyDescent="0.25">
      <c r="A14" s="2">
        <v>43191</v>
      </c>
      <c r="B14" t="s">
        <v>885</v>
      </c>
      <c r="C14">
        <v>12000</v>
      </c>
    </row>
    <row r="15" spans="1:3" x14ac:dyDescent="0.25">
      <c r="A15" s="2">
        <v>43221</v>
      </c>
      <c r="B15" t="s">
        <v>885</v>
      </c>
      <c r="C15">
        <v>12000</v>
      </c>
    </row>
    <row r="16" spans="1:3" x14ac:dyDescent="0.25">
      <c r="A16" s="2">
        <v>43252</v>
      </c>
      <c r="B16" t="s">
        <v>885</v>
      </c>
      <c r="C16">
        <v>12000</v>
      </c>
    </row>
    <row r="17" spans="1:3" x14ac:dyDescent="0.25">
      <c r="A17" s="2">
        <v>43282</v>
      </c>
      <c r="B17" t="s">
        <v>885</v>
      </c>
      <c r="C17">
        <v>14000</v>
      </c>
    </row>
    <row r="18" spans="1:3" x14ac:dyDescent="0.25">
      <c r="A18" s="2">
        <v>43313</v>
      </c>
      <c r="B18" t="s">
        <v>885</v>
      </c>
      <c r="C18">
        <v>14000</v>
      </c>
    </row>
    <row r="19" spans="1:3" x14ac:dyDescent="0.25">
      <c r="A19" s="2">
        <v>43344</v>
      </c>
      <c r="B19" t="s">
        <v>885</v>
      </c>
      <c r="C19">
        <v>14000</v>
      </c>
    </row>
    <row r="20" spans="1:3" x14ac:dyDescent="0.25">
      <c r="A20" s="2">
        <v>43374</v>
      </c>
      <c r="B20" t="s">
        <v>885</v>
      </c>
      <c r="C20">
        <v>16000</v>
      </c>
    </row>
    <row r="21" spans="1:3" x14ac:dyDescent="0.25">
      <c r="A21" s="2">
        <v>43405</v>
      </c>
      <c r="B21" t="s">
        <v>885</v>
      </c>
      <c r="C21">
        <v>16000</v>
      </c>
    </row>
    <row r="22" spans="1:3" x14ac:dyDescent="0.25">
      <c r="A22" s="2">
        <v>43435</v>
      </c>
      <c r="B22" t="s">
        <v>885</v>
      </c>
      <c r="C22">
        <v>16000</v>
      </c>
    </row>
    <row r="23" spans="1:3" x14ac:dyDescent="0.25">
      <c r="A23" s="2">
        <v>43466</v>
      </c>
      <c r="B23" t="s">
        <v>885</v>
      </c>
      <c r="C23">
        <v>16000</v>
      </c>
    </row>
    <row r="24" spans="1:3" x14ac:dyDescent="0.25">
      <c r="A24" s="2">
        <v>43497</v>
      </c>
      <c r="B24" t="s">
        <v>885</v>
      </c>
      <c r="C24">
        <v>16000</v>
      </c>
    </row>
    <row r="25" spans="1:3" x14ac:dyDescent="0.25">
      <c r="A25" s="2">
        <v>43525</v>
      </c>
      <c r="B25" t="s">
        <v>885</v>
      </c>
      <c r="C25">
        <v>16000</v>
      </c>
    </row>
    <row r="26" spans="1:3" x14ac:dyDescent="0.25">
      <c r="A26" s="2">
        <v>43191</v>
      </c>
      <c r="B26" t="s">
        <v>888</v>
      </c>
      <c r="C26">
        <v>9000</v>
      </c>
    </row>
    <row r="27" spans="1:3" x14ac:dyDescent="0.25">
      <c r="A27" s="2">
        <v>43221</v>
      </c>
      <c r="B27" t="s">
        <v>888</v>
      </c>
      <c r="C27">
        <v>9000</v>
      </c>
    </row>
    <row r="28" spans="1:3" x14ac:dyDescent="0.25">
      <c r="A28" s="2">
        <v>43252</v>
      </c>
      <c r="B28" t="s">
        <v>888</v>
      </c>
      <c r="C28">
        <v>9000</v>
      </c>
    </row>
    <row r="29" spans="1:3" x14ac:dyDescent="0.25">
      <c r="A29" s="2">
        <v>43282</v>
      </c>
      <c r="B29" t="s">
        <v>888</v>
      </c>
      <c r="C29">
        <v>9000</v>
      </c>
    </row>
    <row r="30" spans="1:3" x14ac:dyDescent="0.25">
      <c r="A30" s="2">
        <v>43313</v>
      </c>
      <c r="B30" t="s">
        <v>888</v>
      </c>
      <c r="C30">
        <v>9000</v>
      </c>
    </row>
    <row r="31" spans="1:3" x14ac:dyDescent="0.25">
      <c r="A31" s="2">
        <v>43344</v>
      </c>
      <c r="B31" t="s">
        <v>888</v>
      </c>
      <c r="C31">
        <v>9000</v>
      </c>
    </row>
    <row r="32" spans="1:3" x14ac:dyDescent="0.25">
      <c r="A32" s="2">
        <v>43374</v>
      </c>
      <c r="B32" t="s">
        <v>888</v>
      </c>
      <c r="C32">
        <v>9000</v>
      </c>
    </row>
    <row r="33" spans="1:3" x14ac:dyDescent="0.25">
      <c r="A33" s="2">
        <v>43405</v>
      </c>
      <c r="B33" t="s">
        <v>888</v>
      </c>
      <c r="C33">
        <v>9000</v>
      </c>
    </row>
    <row r="34" spans="1:3" x14ac:dyDescent="0.25">
      <c r="A34" s="2">
        <v>43435</v>
      </c>
      <c r="B34" t="s">
        <v>888</v>
      </c>
      <c r="C34">
        <v>9000</v>
      </c>
    </row>
    <row r="35" spans="1:3" x14ac:dyDescent="0.25">
      <c r="A35" s="2">
        <v>43466</v>
      </c>
      <c r="B35" t="s">
        <v>888</v>
      </c>
      <c r="C35">
        <v>16000</v>
      </c>
    </row>
    <row r="36" spans="1:3" x14ac:dyDescent="0.25">
      <c r="A36" s="2">
        <v>43497</v>
      </c>
      <c r="B36" t="s">
        <v>888</v>
      </c>
      <c r="C36">
        <v>16000</v>
      </c>
    </row>
    <row r="37" spans="1:3" x14ac:dyDescent="0.25">
      <c r="A37" s="2">
        <v>43525</v>
      </c>
      <c r="B37" t="s">
        <v>888</v>
      </c>
      <c r="C37">
        <v>16000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5269-B31B-4242-BC18-05C8AAA054A1}">
  <sheetPr codeName="Sheet4"/>
  <dimension ref="A1:L1501"/>
  <sheetViews>
    <sheetView topLeftCell="A2" workbookViewId="0">
      <selection activeCell="N14" sqref="N14"/>
    </sheetView>
  </sheetViews>
  <sheetFormatPr defaultRowHeight="15" x14ac:dyDescent="0.25"/>
  <cols>
    <col min="1" max="1" width="10.7109375" bestFit="1" customWidth="1"/>
    <col min="2" max="2" width="10.28515625" bestFit="1" customWidth="1"/>
    <col min="3" max="3" width="11" bestFit="1" customWidth="1"/>
    <col min="7" max="7" width="16.28515625" bestFit="1" customWidth="1"/>
    <col min="8" max="8" width="13" style="1" bestFit="1" customWidth="1"/>
    <col min="9" max="9" width="13" style="1" customWidth="1"/>
    <col min="10" max="10" width="17.7109375" bestFit="1" customWidth="1"/>
    <col min="11" max="11" width="18.85546875" bestFit="1" customWidth="1"/>
    <col min="12" max="12" width="19.7109375" bestFit="1" customWidth="1"/>
  </cols>
  <sheetData>
    <row r="1" spans="1:12" x14ac:dyDescent="0.25">
      <c r="A1" t="s">
        <v>0</v>
      </c>
      <c r="B1" t="s">
        <v>907</v>
      </c>
      <c r="C1" t="s">
        <v>879</v>
      </c>
      <c r="D1" t="s">
        <v>908</v>
      </c>
      <c r="E1" t="s">
        <v>880</v>
      </c>
      <c r="F1" t="s">
        <v>881</v>
      </c>
      <c r="G1" t="s">
        <v>882</v>
      </c>
      <c r="H1" s="1" t="s">
        <v>1</v>
      </c>
      <c r="I1" s="1" t="s">
        <v>906</v>
      </c>
      <c r="J1" t="s">
        <v>905</v>
      </c>
      <c r="K1" t="s">
        <v>3</v>
      </c>
      <c r="L1" t="s">
        <v>4</v>
      </c>
    </row>
    <row r="2" spans="1:12" x14ac:dyDescent="0.25">
      <c r="A2" t="s">
        <v>5</v>
      </c>
      <c r="B2" s="4">
        <v>1275</v>
      </c>
      <c r="C2" s="4">
        <v>-1148</v>
      </c>
      <c r="D2" s="5">
        <f>tbl_details5[[#This Row],[Profit]]/tbl_details5[[#This Row],[Revenue]]</f>
        <v>-0.9003921568627451</v>
      </c>
      <c r="E2">
        <v>7</v>
      </c>
      <c r="F2" t="s">
        <v>883</v>
      </c>
      <c r="G2" t="s">
        <v>884</v>
      </c>
      <c r="H2" s="1">
        <f>VLOOKUP(tbl_details5[[#This Row],[Order ID]],Orders!A:F,2,FALSE)</f>
        <v>43191</v>
      </c>
      <c r="I2" s="1" t="str">
        <f>TEXT(tbl_details5[[#This Row],[Order Date]],"mmm-yy")</f>
        <v>Apr-18</v>
      </c>
      <c r="J2" t="str">
        <f>VLOOKUP(tbl_details5[[#This Row],[Order ID]],Table1[],4,FALSE)</f>
        <v>Bharat</v>
      </c>
      <c r="K2" t="str">
        <f>VLOOKUP(tbl_details5[[#This Row],[Order ID]],Table1[],5,FALSE)</f>
        <v>Gujarat</v>
      </c>
      <c r="L2" t="str">
        <f>VLOOKUP(tbl_details5[[#This Row],[Order ID]],Table1[],6,FALSE)</f>
        <v>Ahmedabad</v>
      </c>
    </row>
    <row r="3" spans="1:12" x14ac:dyDescent="0.25">
      <c r="A3" t="s">
        <v>5</v>
      </c>
      <c r="B3" s="4">
        <v>66</v>
      </c>
      <c r="C3" s="4">
        <v>-12</v>
      </c>
      <c r="D3" s="5">
        <f>tbl_details5[[#This Row],[Profit]]/tbl_details5[[#This Row],[Revenue]]</f>
        <v>-0.18181818181818182</v>
      </c>
      <c r="E3">
        <v>5</v>
      </c>
      <c r="F3" t="s">
        <v>885</v>
      </c>
      <c r="G3" t="s">
        <v>886</v>
      </c>
      <c r="H3" s="1">
        <f>VLOOKUP(tbl_details5[[#This Row],[Order ID]],Orders!A:F,2,FALSE)</f>
        <v>43191</v>
      </c>
      <c r="I3" s="1" t="str">
        <f>TEXT(tbl_details5[[#This Row],[Order Date]],"mmm-yy")</f>
        <v>Apr-18</v>
      </c>
      <c r="J3" t="str">
        <f>VLOOKUP(tbl_details5[[#This Row],[Order ID]],Table1[],4,FALSE)</f>
        <v>Bharat</v>
      </c>
      <c r="K3" t="str">
        <f>VLOOKUP(tbl_details5[[#This Row],[Order ID]],Table1[],5,FALSE)</f>
        <v>Gujarat</v>
      </c>
      <c r="L3" t="str">
        <f>VLOOKUP(tbl_details5[[#This Row],[Order ID]],Table1[],6,FALSE)</f>
        <v>Ahmedabad</v>
      </c>
    </row>
    <row r="4" spans="1:12" x14ac:dyDescent="0.25">
      <c r="A4" t="s">
        <v>5</v>
      </c>
      <c r="B4" s="4">
        <v>8</v>
      </c>
      <c r="C4" s="4">
        <v>-2</v>
      </c>
      <c r="D4" s="5">
        <f>tbl_details5[[#This Row],[Profit]]/tbl_details5[[#This Row],[Revenue]]</f>
        <v>-0.25</v>
      </c>
      <c r="E4">
        <v>3</v>
      </c>
      <c r="F4" t="s">
        <v>885</v>
      </c>
      <c r="G4" t="s">
        <v>887</v>
      </c>
      <c r="H4" s="1">
        <f>VLOOKUP(tbl_details5[[#This Row],[Order ID]],Orders!A:F,2,FALSE)</f>
        <v>43191</v>
      </c>
      <c r="I4" s="1" t="str">
        <f>TEXT(tbl_details5[[#This Row],[Order Date]],"mmm-yy")</f>
        <v>Apr-18</v>
      </c>
      <c r="J4" t="str">
        <f>VLOOKUP(tbl_details5[[#This Row],[Order ID]],Table1[],4,FALSE)</f>
        <v>Bharat</v>
      </c>
      <c r="K4" t="str">
        <f>VLOOKUP(tbl_details5[[#This Row],[Order ID]],Table1[],5,FALSE)</f>
        <v>Gujarat</v>
      </c>
      <c r="L4" t="str">
        <f>VLOOKUP(tbl_details5[[#This Row],[Order ID]],Table1[],6,FALSE)</f>
        <v>Ahmedabad</v>
      </c>
    </row>
    <row r="5" spans="1:12" x14ac:dyDescent="0.25">
      <c r="A5" t="s">
        <v>5</v>
      </c>
      <c r="B5" s="4">
        <v>80</v>
      </c>
      <c r="C5" s="4">
        <v>-56</v>
      </c>
      <c r="D5" s="5">
        <f>tbl_details5[[#This Row],[Profit]]/tbl_details5[[#This Row],[Revenue]]</f>
        <v>-0.7</v>
      </c>
      <c r="E5">
        <v>4</v>
      </c>
      <c r="F5" t="s">
        <v>888</v>
      </c>
      <c r="G5" t="s">
        <v>889</v>
      </c>
      <c r="H5" s="1">
        <f>VLOOKUP(tbl_details5[[#This Row],[Order ID]],Orders!A:F,2,FALSE)</f>
        <v>43191</v>
      </c>
      <c r="I5" s="1" t="str">
        <f>TEXT(tbl_details5[[#This Row],[Order Date]],"mmm-yy")</f>
        <v>Apr-18</v>
      </c>
      <c r="J5" t="str">
        <f>VLOOKUP(tbl_details5[[#This Row],[Order ID]],Table1[],4,FALSE)</f>
        <v>Bharat</v>
      </c>
      <c r="K5" t="str">
        <f>VLOOKUP(tbl_details5[[#This Row],[Order ID]],Table1[],5,FALSE)</f>
        <v>Gujarat</v>
      </c>
      <c r="L5" t="str">
        <f>VLOOKUP(tbl_details5[[#This Row],[Order ID]],Table1[],6,FALSE)</f>
        <v>Ahmedabad</v>
      </c>
    </row>
    <row r="6" spans="1:12" x14ac:dyDescent="0.25">
      <c r="A6" t="s">
        <v>9</v>
      </c>
      <c r="B6" s="4">
        <v>168</v>
      </c>
      <c r="C6" s="4">
        <v>-111</v>
      </c>
      <c r="D6" s="5">
        <f>tbl_details5[[#This Row],[Profit]]/tbl_details5[[#This Row],[Revenue]]</f>
        <v>-0.6607142857142857</v>
      </c>
      <c r="E6">
        <v>2</v>
      </c>
      <c r="F6" t="s">
        <v>888</v>
      </c>
      <c r="G6" t="s">
        <v>890</v>
      </c>
      <c r="H6" s="1">
        <f>VLOOKUP(tbl_details5[[#This Row],[Order ID]],Orders!A:F,2,FALSE)</f>
        <v>43191</v>
      </c>
      <c r="I6" s="1" t="str">
        <f>TEXT(tbl_details5[[#This Row],[Order Date]],"mmm-yy")</f>
        <v>Apr-18</v>
      </c>
      <c r="J6" t="str">
        <f>VLOOKUP(tbl_details5[[#This Row],[Order ID]],Table1[],4,FALSE)</f>
        <v>Pearl</v>
      </c>
      <c r="K6" t="str">
        <f>VLOOKUP(tbl_details5[[#This Row],[Order ID]],Table1[],5,FALSE)</f>
        <v>Maharashtra</v>
      </c>
      <c r="L6" t="str">
        <f>VLOOKUP(tbl_details5[[#This Row],[Order ID]],Table1[],6,FALSE)</f>
        <v>Pune</v>
      </c>
    </row>
    <row r="7" spans="1:12" x14ac:dyDescent="0.25">
      <c r="A7" t="s">
        <v>9</v>
      </c>
      <c r="B7" s="4">
        <v>424</v>
      </c>
      <c r="C7" s="4">
        <v>-272</v>
      </c>
      <c r="D7" s="5">
        <f>tbl_details5[[#This Row],[Profit]]/tbl_details5[[#This Row],[Revenue]]</f>
        <v>-0.64150943396226412</v>
      </c>
      <c r="E7">
        <v>5</v>
      </c>
      <c r="F7" t="s">
        <v>888</v>
      </c>
      <c r="G7" t="s">
        <v>890</v>
      </c>
      <c r="H7" s="1">
        <f>VLOOKUP(tbl_details5[[#This Row],[Order ID]],Orders!A:F,2,FALSE)</f>
        <v>43191</v>
      </c>
      <c r="I7" s="1" t="str">
        <f>TEXT(tbl_details5[[#This Row],[Order Date]],"mmm-yy")</f>
        <v>Apr-18</v>
      </c>
      <c r="J7" t="str">
        <f>VLOOKUP(tbl_details5[[#This Row],[Order ID]],Table1[],4,FALSE)</f>
        <v>Pearl</v>
      </c>
      <c r="K7" t="str">
        <f>VLOOKUP(tbl_details5[[#This Row],[Order ID]],Table1[],5,FALSE)</f>
        <v>Maharashtra</v>
      </c>
      <c r="L7" t="str">
        <f>VLOOKUP(tbl_details5[[#This Row],[Order ID]],Table1[],6,FALSE)</f>
        <v>Pune</v>
      </c>
    </row>
    <row r="8" spans="1:12" x14ac:dyDescent="0.25">
      <c r="A8" t="s">
        <v>9</v>
      </c>
      <c r="B8" s="4">
        <v>2617</v>
      </c>
      <c r="C8" s="4">
        <v>1151</v>
      </c>
      <c r="D8" s="5">
        <f>tbl_details5[[#This Row],[Profit]]/tbl_details5[[#This Row],[Revenue]]</f>
        <v>0.43981658387466566</v>
      </c>
      <c r="E8">
        <v>4</v>
      </c>
      <c r="F8" t="s">
        <v>888</v>
      </c>
      <c r="G8" t="s">
        <v>890</v>
      </c>
      <c r="H8" s="1">
        <f>VLOOKUP(tbl_details5[[#This Row],[Order ID]],Orders!A:F,2,FALSE)</f>
        <v>43191</v>
      </c>
      <c r="I8" s="1" t="str">
        <f>TEXT(tbl_details5[[#This Row],[Order Date]],"mmm-yy")</f>
        <v>Apr-18</v>
      </c>
      <c r="J8" t="str">
        <f>VLOOKUP(tbl_details5[[#This Row],[Order ID]],Table1[],4,FALSE)</f>
        <v>Pearl</v>
      </c>
      <c r="K8" t="str">
        <f>VLOOKUP(tbl_details5[[#This Row],[Order ID]],Table1[],5,FALSE)</f>
        <v>Maharashtra</v>
      </c>
      <c r="L8" t="str">
        <f>VLOOKUP(tbl_details5[[#This Row],[Order ID]],Table1[],6,FALSE)</f>
        <v>Pune</v>
      </c>
    </row>
    <row r="9" spans="1:12" x14ac:dyDescent="0.25">
      <c r="A9" t="s">
        <v>9</v>
      </c>
      <c r="B9" s="4">
        <v>561</v>
      </c>
      <c r="C9" s="4">
        <v>212</v>
      </c>
      <c r="D9" s="5">
        <f>tbl_details5[[#This Row],[Profit]]/tbl_details5[[#This Row],[Revenue]]</f>
        <v>0.37789661319073081</v>
      </c>
      <c r="E9">
        <v>3</v>
      </c>
      <c r="F9" t="s">
        <v>885</v>
      </c>
      <c r="G9" t="s">
        <v>891</v>
      </c>
      <c r="H9" s="1">
        <f>VLOOKUP(tbl_details5[[#This Row],[Order ID]],Orders!A:F,2,FALSE)</f>
        <v>43191</v>
      </c>
      <c r="I9" s="1" t="str">
        <f>TEXT(tbl_details5[[#This Row],[Order Date]],"mmm-yy")</f>
        <v>Apr-18</v>
      </c>
      <c r="J9" t="str">
        <f>VLOOKUP(tbl_details5[[#This Row],[Order ID]],Table1[],4,FALSE)</f>
        <v>Pearl</v>
      </c>
      <c r="K9" t="str">
        <f>VLOOKUP(tbl_details5[[#This Row],[Order ID]],Table1[],5,FALSE)</f>
        <v>Maharashtra</v>
      </c>
      <c r="L9" t="str">
        <f>VLOOKUP(tbl_details5[[#This Row],[Order ID]],Table1[],6,FALSE)</f>
        <v>Pune</v>
      </c>
    </row>
    <row r="10" spans="1:12" x14ac:dyDescent="0.25">
      <c r="A10" t="s">
        <v>9</v>
      </c>
      <c r="B10" s="4">
        <v>119</v>
      </c>
      <c r="C10" s="4">
        <v>-5</v>
      </c>
      <c r="D10" s="5">
        <f>tbl_details5[[#This Row],[Profit]]/tbl_details5[[#This Row],[Revenue]]</f>
        <v>-4.2016806722689079E-2</v>
      </c>
      <c r="E10">
        <v>8</v>
      </c>
      <c r="F10" t="s">
        <v>885</v>
      </c>
      <c r="G10" t="s">
        <v>891</v>
      </c>
      <c r="H10" s="1">
        <f>VLOOKUP(tbl_details5[[#This Row],[Order ID]],Orders!A:F,2,FALSE)</f>
        <v>43191</v>
      </c>
      <c r="I10" s="1" t="str">
        <f>TEXT(tbl_details5[[#This Row],[Order Date]],"mmm-yy")</f>
        <v>Apr-18</v>
      </c>
      <c r="J10" t="str">
        <f>VLOOKUP(tbl_details5[[#This Row],[Order ID]],Table1[],4,FALSE)</f>
        <v>Pearl</v>
      </c>
      <c r="K10" t="str">
        <f>VLOOKUP(tbl_details5[[#This Row],[Order ID]],Table1[],5,FALSE)</f>
        <v>Maharashtra</v>
      </c>
      <c r="L10" t="str">
        <f>VLOOKUP(tbl_details5[[#This Row],[Order ID]],Table1[],6,FALSE)</f>
        <v>Pune</v>
      </c>
    </row>
    <row r="11" spans="1:12" x14ac:dyDescent="0.25">
      <c r="A11" t="s">
        <v>13</v>
      </c>
      <c r="B11" s="4">
        <v>1355</v>
      </c>
      <c r="C11" s="4">
        <v>-60</v>
      </c>
      <c r="D11" s="5">
        <f>tbl_details5[[#This Row],[Profit]]/tbl_details5[[#This Row],[Revenue]]</f>
        <v>-4.4280442804428041E-2</v>
      </c>
      <c r="E11">
        <v>5</v>
      </c>
      <c r="F11" t="s">
        <v>885</v>
      </c>
      <c r="G11" t="s">
        <v>892</v>
      </c>
      <c r="H11" s="1">
        <f>VLOOKUP(tbl_details5[[#This Row],[Order ID]],Orders!A:F,2,FALSE)</f>
        <v>43193</v>
      </c>
      <c r="I11" s="1" t="str">
        <f>TEXT(tbl_details5[[#This Row],[Order Date]],"mmm-yy")</f>
        <v>Apr-18</v>
      </c>
      <c r="J11" t="str">
        <f>VLOOKUP(tbl_details5[[#This Row],[Order ID]],Table1[],4,FALSE)</f>
        <v>Jahan</v>
      </c>
      <c r="K11" t="str">
        <f>VLOOKUP(tbl_details5[[#This Row],[Order ID]],Table1[],5,FALSE)</f>
        <v>Madhya Pradesh</v>
      </c>
      <c r="L11" t="str">
        <f>VLOOKUP(tbl_details5[[#This Row],[Order ID]],Table1[],6,FALSE)</f>
        <v>Bhopal</v>
      </c>
    </row>
    <row r="12" spans="1:12" x14ac:dyDescent="0.25">
      <c r="A12" t="s">
        <v>13</v>
      </c>
      <c r="B12" s="4">
        <v>24</v>
      </c>
      <c r="C12" s="4">
        <v>-30</v>
      </c>
      <c r="D12" s="5">
        <f>tbl_details5[[#This Row],[Profit]]/tbl_details5[[#This Row],[Revenue]]</f>
        <v>-1.25</v>
      </c>
      <c r="E12">
        <v>1</v>
      </c>
      <c r="F12" t="s">
        <v>883</v>
      </c>
      <c r="G12" t="s">
        <v>893</v>
      </c>
      <c r="H12" s="1">
        <f>VLOOKUP(tbl_details5[[#This Row],[Order ID]],Orders!A:F,2,FALSE)</f>
        <v>43193</v>
      </c>
      <c r="I12" s="1" t="str">
        <f>TEXT(tbl_details5[[#This Row],[Order Date]],"mmm-yy")</f>
        <v>Apr-18</v>
      </c>
      <c r="J12" t="str">
        <f>VLOOKUP(tbl_details5[[#This Row],[Order ID]],Table1[],4,FALSE)</f>
        <v>Jahan</v>
      </c>
      <c r="K12" t="str">
        <f>VLOOKUP(tbl_details5[[#This Row],[Order ID]],Table1[],5,FALSE)</f>
        <v>Madhya Pradesh</v>
      </c>
      <c r="L12" t="str">
        <f>VLOOKUP(tbl_details5[[#This Row],[Order ID]],Table1[],6,FALSE)</f>
        <v>Bhopal</v>
      </c>
    </row>
    <row r="13" spans="1:12" x14ac:dyDescent="0.25">
      <c r="A13" t="s">
        <v>13</v>
      </c>
      <c r="B13" s="4">
        <v>193</v>
      </c>
      <c r="C13" s="4">
        <v>-166</v>
      </c>
      <c r="D13" s="5">
        <f>tbl_details5[[#This Row],[Profit]]/tbl_details5[[#This Row],[Revenue]]</f>
        <v>-0.86010362694300513</v>
      </c>
      <c r="E13">
        <v>3</v>
      </c>
      <c r="F13" t="s">
        <v>885</v>
      </c>
      <c r="G13" t="s">
        <v>891</v>
      </c>
      <c r="H13" s="1">
        <f>VLOOKUP(tbl_details5[[#This Row],[Order ID]],Orders!A:F,2,FALSE)</f>
        <v>43193</v>
      </c>
      <c r="I13" s="1" t="str">
        <f>TEXT(tbl_details5[[#This Row],[Order Date]],"mmm-yy")</f>
        <v>Apr-18</v>
      </c>
      <c r="J13" t="str">
        <f>VLOOKUP(tbl_details5[[#This Row],[Order ID]],Table1[],4,FALSE)</f>
        <v>Jahan</v>
      </c>
      <c r="K13" t="str">
        <f>VLOOKUP(tbl_details5[[#This Row],[Order ID]],Table1[],5,FALSE)</f>
        <v>Madhya Pradesh</v>
      </c>
      <c r="L13" t="str">
        <f>VLOOKUP(tbl_details5[[#This Row],[Order ID]],Table1[],6,FALSE)</f>
        <v>Bhopal</v>
      </c>
    </row>
    <row r="14" spans="1:12" x14ac:dyDescent="0.25">
      <c r="A14" t="s">
        <v>13</v>
      </c>
      <c r="B14" s="4">
        <v>180</v>
      </c>
      <c r="C14" s="4">
        <v>5</v>
      </c>
      <c r="D14" s="5">
        <f>tbl_details5[[#This Row],[Profit]]/tbl_details5[[#This Row],[Revenue]]</f>
        <v>2.7777777777777776E-2</v>
      </c>
      <c r="E14">
        <v>3</v>
      </c>
      <c r="F14" t="s">
        <v>885</v>
      </c>
      <c r="G14" t="s">
        <v>892</v>
      </c>
      <c r="H14" s="1">
        <f>VLOOKUP(tbl_details5[[#This Row],[Order ID]],Orders!A:F,2,FALSE)</f>
        <v>43193</v>
      </c>
      <c r="I14" s="1" t="str">
        <f>TEXT(tbl_details5[[#This Row],[Order Date]],"mmm-yy")</f>
        <v>Apr-18</v>
      </c>
      <c r="J14" t="str">
        <f>VLOOKUP(tbl_details5[[#This Row],[Order ID]],Table1[],4,FALSE)</f>
        <v>Jahan</v>
      </c>
      <c r="K14" t="str">
        <f>VLOOKUP(tbl_details5[[#This Row],[Order ID]],Table1[],5,FALSE)</f>
        <v>Madhya Pradesh</v>
      </c>
      <c r="L14" t="str">
        <f>VLOOKUP(tbl_details5[[#This Row],[Order ID]],Table1[],6,FALSE)</f>
        <v>Bhopal</v>
      </c>
    </row>
    <row r="15" spans="1:12" x14ac:dyDescent="0.25">
      <c r="A15" t="s">
        <v>13</v>
      </c>
      <c r="B15" s="4">
        <v>116</v>
      </c>
      <c r="C15" s="4">
        <v>16</v>
      </c>
      <c r="D15" s="5">
        <f>tbl_details5[[#This Row],[Profit]]/tbl_details5[[#This Row],[Revenue]]</f>
        <v>0.13793103448275862</v>
      </c>
      <c r="E15">
        <v>4</v>
      </c>
      <c r="F15" t="s">
        <v>885</v>
      </c>
      <c r="G15" t="s">
        <v>886</v>
      </c>
      <c r="H15" s="1">
        <f>VLOOKUP(tbl_details5[[#This Row],[Order ID]],Orders!A:F,2,FALSE)</f>
        <v>43193</v>
      </c>
      <c r="I15" s="1" t="str">
        <f>TEXT(tbl_details5[[#This Row],[Order Date]],"mmm-yy")</f>
        <v>Apr-18</v>
      </c>
      <c r="J15" t="str">
        <f>VLOOKUP(tbl_details5[[#This Row],[Order ID]],Table1[],4,FALSE)</f>
        <v>Jahan</v>
      </c>
      <c r="K15" t="str">
        <f>VLOOKUP(tbl_details5[[#This Row],[Order ID]],Table1[],5,FALSE)</f>
        <v>Madhya Pradesh</v>
      </c>
      <c r="L15" t="str">
        <f>VLOOKUP(tbl_details5[[#This Row],[Order ID]],Table1[],6,FALSE)</f>
        <v>Bhopal</v>
      </c>
    </row>
    <row r="16" spans="1:12" x14ac:dyDescent="0.25">
      <c r="A16" t="s">
        <v>13</v>
      </c>
      <c r="B16" s="4">
        <v>107</v>
      </c>
      <c r="C16" s="4">
        <v>36</v>
      </c>
      <c r="D16" s="5">
        <f>tbl_details5[[#This Row],[Profit]]/tbl_details5[[#This Row],[Revenue]]</f>
        <v>0.3364485981308411</v>
      </c>
      <c r="E16">
        <v>6</v>
      </c>
      <c r="F16" t="s">
        <v>885</v>
      </c>
      <c r="G16" t="s">
        <v>886</v>
      </c>
      <c r="H16" s="1">
        <f>VLOOKUP(tbl_details5[[#This Row],[Order ID]],Orders!A:F,2,FALSE)</f>
        <v>43193</v>
      </c>
      <c r="I16" s="1" t="str">
        <f>TEXT(tbl_details5[[#This Row],[Order Date]],"mmm-yy")</f>
        <v>Apr-18</v>
      </c>
      <c r="J16" t="str">
        <f>VLOOKUP(tbl_details5[[#This Row],[Order ID]],Table1[],4,FALSE)</f>
        <v>Jahan</v>
      </c>
      <c r="K16" t="str">
        <f>VLOOKUP(tbl_details5[[#This Row],[Order ID]],Table1[],5,FALSE)</f>
        <v>Madhya Pradesh</v>
      </c>
      <c r="L16" t="str">
        <f>VLOOKUP(tbl_details5[[#This Row],[Order ID]],Table1[],6,FALSE)</f>
        <v>Bhopal</v>
      </c>
    </row>
    <row r="17" spans="1:12" x14ac:dyDescent="0.25">
      <c r="A17" t="s">
        <v>13</v>
      </c>
      <c r="B17" s="4">
        <v>12</v>
      </c>
      <c r="C17" s="4">
        <v>1</v>
      </c>
      <c r="D17" s="5">
        <f>tbl_details5[[#This Row],[Profit]]/tbl_details5[[#This Row],[Revenue]]</f>
        <v>8.3333333333333329E-2</v>
      </c>
      <c r="E17">
        <v>2</v>
      </c>
      <c r="F17" t="s">
        <v>885</v>
      </c>
      <c r="G17" t="s">
        <v>887</v>
      </c>
      <c r="H17" s="1">
        <f>VLOOKUP(tbl_details5[[#This Row],[Order ID]],Orders!A:F,2,FALSE)</f>
        <v>43193</v>
      </c>
      <c r="I17" s="1" t="str">
        <f>TEXT(tbl_details5[[#This Row],[Order Date]],"mmm-yy")</f>
        <v>Apr-18</v>
      </c>
      <c r="J17" t="str">
        <f>VLOOKUP(tbl_details5[[#This Row],[Order ID]],Table1[],4,FALSE)</f>
        <v>Jahan</v>
      </c>
      <c r="K17" t="str">
        <f>VLOOKUP(tbl_details5[[#This Row],[Order ID]],Table1[],5,FALSE)</f>
        <v>Madhya Pradesh</v>
      </c>
      <c r="L17" t="str">
        <f>VLOOKUP(tbl_details5[[#This Row],[Order ID]],Table1[],6,FALSE)</f>
        <v>Bhopal</v>
      </c>
    </row>
    <row r="18" spans="1:12" x14ac:dyDescent="0.25">
      <c r="A18" t="s">
        <v>13</v>
      </c>
      <c r="B18" s="4">
        <v>38</v>
      </c>
      <c r="C18" s="4">
        <v>18</v>
      </c>
      <c r="D18" s="5">
        <f>tbl_details5[[#This Row],[Profit]]/tbl_details5[[#This Row],[Revenue]]</f>
        <v>0.47368421052631576</v>
      </c>
      <c r="E18">
        <v>1</v>
      </c>
      <c r="F18" t="s">
        <v>885</v>
      </c>
      <c r="G18" t="s">
        <v>894</v>
      </c>
      <c r="H18" s="1">
        <f>VLOOKUP(tbl_details5[[#This Row],[Order ID]],Orders!A:F,2,FALSE)</f>
        <v>43193</v>
      </c>
      <c r="I18" s="1" t="str">
        <f>TEXT(tbl_details5[[#This Row],[Order Date]],"mmm-yy")</f>
        <v>Apr-18</v>
      </c>
      <c r="J18" t="str">
        <f>VLOOKUP(tbl_details5[[#This Row],[Order ID]],Table1[],4,FALSE)</f>
        <v>Jahan</v>
      </c>
      <c r="K18" t="str">
        <f>VLOOKUP(tbl_details5[[#This Row],[Order ID]],Table1[],5,FALSE)</f>
        <v>Madhya Pradesh</v>
      </c>
      <c r="L18" t="str">
        <f>VLOOKUP(tbl_details5[[#This Row],[Order ID]],Table1[],6,FALSE)</f>
        <v>Bhopal</v>
      </c>
    </row>
    <row r="19" spans="1:12" x14ac:dyDescent="0.25">
      <c r="A19" t="s">
        <v>17</v>
      </c>
      <c r="B19" s="4">
        <v>65</v>
      </c>
      <c r="C19" s="4">
        <v>17</v>
      </c>
      <c r="D19" s="5">
        <f>tbl_details5[[#This Row],[Profit]]/tbl_details5[[#This Row],[Revenue]]</f>
        <v>0.26153846153846155</v>
      </c>
      <c r="E19">
        <v>2</v>
      </c>
      <c r="F19" t="s">
        <v>885</v>
      </c>
      <c r="G19" t="s">
        <v>895</v>
      </c>
      <c r="H19" s="1">
        <f>VLOOKUP(tbl_details5[[#This Row],[Order ID]],Orders!A:F,2,FALSE)</f>
        <v>43193</v>
      </c>
      <c r="I19" s="1" t="str">
        <f>TEXT(tbl_details5[[#This Row],[Order Date]],"mmm-yy")</f>
        <v>Apr-18</v>
      </c>
      <c r="J19" t="str">
        <f>VLOOKUP(tbl_details5[[#This Row],[Order ID]],Table1[],4,FALSE)</f>
        <v>Divsha</v>
      </c>
      <c r="K19" t="str">
        <f>VLOOKUP(tbl_details5[[#This Row],[Order ID]],Table1[],5,FALSE)</f>
        <v>Rajasthan</v>
      </c>
      <c r="L19" t="str">
        <f>VLOOKUP(tbl_details5[[#This Row],[Order ID]],Table1[],6,FALSE)</f>
        <v>Jaipur</v>
      </c>
    </row>
    <row r="20" spans="1:12" x14ac:dyDescent="0.25">
      <c r="A20" t="s">
        <v>17</v>
      </c>
      <c r="B20" s="4">
        <v>157</v>
      </c>
      <c r="C20" s="4">
        <v>5</v>
      </c>
      <c r="D20" s="5">
        <f>tbl_details5[[#This Row],[Profit]]/tbl_details5[[#This Row],[Revenue]]</f>
        <v>3.1847133757961783E-2</v>
      </c>
      <c r="E20">
        <v>9</v>
      </c>
      <c r="F20" t="s">
        <v>885</v>
      </c>
      <c r="G20" t="s">
        <v>891</v>
      </c>
      <c r="H20" s="1">
        <f>VLOOKUP(tbl_details5[[#This Row],[Order ID]],Orders!A:F,2,FALSE)</f>
        <v>43193</v>
      </c>
      <c r="I20" s="1" t="str">
        <f>TEXT(tbl_details5[[#This Row],[Order Date]],"mmm-yy")</f>
        <v>Apr-18</v>
      </c>
      <c r="J20" t="str">
        <f>VLOOKUP(tbl_details5[[#This Row],[Order ID]],Table1[],4,FALSE)</f>
        <v>Divsha</v>
      </c>
      <c r="K20" t="str">
        <f>VLOOKUP(tbl_details5[[#This Row],[Order ID]],Table1[],5,FALSE)</f>
        <v>Rajasthan</v>
      </c>
      <c r="L20" t="str">
        <f>VLOOKUP(tbl_details5[[#This Row],[Order ID]],Table1[],6,FALSE)</f>
        <v>Jaipur</v>
      </c>
    </row>
    <row r="21" spans="1:12" x14ac:dyDescent="0.25">
      <c r="A21" t="s">
        <v>21</v>
      </c>
      <c r="B21" s="4">
        <v>75</v>
      </c>
      <c r="C21" s="4">
        <v>0</v>
      </c>
      <c r="D21" s="5">
        <f>tbl_details5[[#This Row],[Profit]]/tbl_details5[[#This Row],[Revenue]]</f>
        <v>0</v>
      </c>
      <c r="E21">
        <v>7</v>
      </c>
      <c r="F21" t="s">
        <v>885</v>
      </c>
      <c r="G21" t="s">
        <v>891</v>
      </c>
      <c r="H21" s="1">
        <f>VLOOKUP(tbl_details5[[#This Row],[Order ID]],Orders!A:F,2,FALSE)</f>
        <v>43195</v>
      </c>
      <c r="I21" s="1" t="str">
        <f>TEXT(tbl_details5[[#This Row],[Order Date]],"mmm-yy")</f>
        <v>Apr-18</v>
      </c>
      <c r="J21" t="str">
        <f>VLOOKUP(tbl_details5[[#This Row],[Order ID]],Table1[],4,FALSE)</f>
        <v>Kasheen</v>
      </c>
      <c r="K21" t="str">
        <f>VLOOKUP(tbl_details5[[#This Row],[Order ID]],Table1[],5,FALSE)</f>
        <v>West Bengal</v>
      </c>
      <c r="L21" t="str">
        <f>VLOOKUP(tbl_details5[[#This Row],[Order ID]],Table1[],6,FALSE)</f>
        <v>Kolkata</v>
      </c>
    </row>
    <row r="22" spans="1:12" x14ac:dyDescent="0.25">
      <c r="A22" t="s">
        <v>25</v>
      </c>
      <c r="B22" s="4">
        <v>87</v>
      </c>
      <c r="C22" s="4">
        <v>4</v>
      </c>
      <c r="D22" s="5">
        <f>tbl_details5[[#This Row],[Profit]]/tbl_details5[[#This Row],[Revenue]]</f>
        <v>4.5977011494252873E-2</v>
      </c>
      <c r="E22">
        <v>2</v>
      </c>
      <c r="F22" t="s">
        <v>885</v>
      </c>
      <c r="G22" t="s">
        <v>896</v>
      </c>
      <c r="H22" s="1">
        <f>VLOOKUP(tbl_details5[[#This Row],[Order ID]],Orders!A:F,2,FALSE)</f>
        <v>43196</v>
      </c>
      <c r="I22" s="1" t="str">
        <f>TEXT(tbl_details5[[#This Row],[Order Date]],"mmm-yy")</f>
        <v>Apr-18</v>
      </c>
      <c r="J22" t="str">
        <f>VLOOKUP(tbl_details5[[#This Row],[Order ID]],Table1[],4,FALSE)</f>
        <v>Hazel</v>
      </c>
      <c r="K22" t="str">
        <f>VLOOKUP(tbl_details5[[#This Row],[Order ID]],Table1[],5,FALSE)</f>
        <v>Karnataka</v>
      </c>
      <c r="L22" t="str">
        <f>VLOOKUP(tbl_details5[[#This Row],[Order ID]],Table1[],6,FALSE)</f>
        <v>Bangalore</v>
      </c>
    </row>
    <row r="23" spans="1:12" x14ac:dyDescent="0.25">
      <c r="A23" t="s">
        <v>29</v>
      </c>
      <c r="B23" s="4">
        <v>50</v>
      </c>
      <c r="C23" s="4">
        <v>15</v>
      </c>
      <c r="D23" s="5">
        <f>tbl_details5[[#This Row],[Profit]]/tbl_details5[[#This Row],[Revenue]]</f>
        <v>0.3</v>
      </c>
      <c r="E23">
        <v>4</v>
      </c>
      <c r="F23" t="s">
        <v>885</v>
      </c>
      <c r="G23" t="s">
        <v>897</v>
      </c>
      <c r="H23" s="1">
        <f>VLOOKUP(tbl_details5[[#This Row],[Order ID]],Orders!A:F,2,FALSE)</f>
        <v>43196</v>
      </c>
      <c r="I23" s="1" t="str">
        <f>TEXT(tbl_details5[[#This Row],[Order Date]],"mmm-yy")</f>
        <v>Apr-18</v>
      </c>
      <c r="J23" t="str">
        <f>VLOOKUP(tbl_details5[[#This Row],[Order ID]],Table1[],4,FALSE)</f>
        <v>Sonakshi</v>
      </c>
      <c r="K23" t="str">
        <f>VLOOKUP(tbl_details5[[#This Row],[Order ID]],Table1[],5,FALSE)</f>
        <v>Jammu and Kashmir</v>
      </c>
      <c r="L23" t="str">
        <f>VLOOKUP(tbl_details5[[#This Row],[Order ID]],Table1[],6,FALSE)</f>
        <v>Kashmir</v>
      </c>
    </row>
    <row r="24" spans="1:12" x14ac:dyDescent="0.25">
      <c r="A24" t="s">
        <v>33</v>
      </c>
      <c r="B24" s="4">
        <v>1364</v>
      </c>
      <c r="C24" s="4">
        <v>-1864</v>
      </c>
      <c r="D24" s="5">
        <f>tbl_details5[[#This Row],[Profit]]/tbl_details5[[#This Row],[Revenue]]</f>
        <v>-1.3665689149560116</v>
      </c>
      <c r="E24">
        <v>5</v>
      </c>
      <c r="F24" t="s">
        <v>883</v>
      </c>
      <c r="G24" t="s">
        <v>898</v>
      </c>
      <c r="H24" s="1">
        <f>VLOOKUP(tbl_details5[[#This Row],[Order ID]],Orders!A:F,2,FALSE)</f>
        <v>43198</v>
      </c>
      <c r="I24" s="1" t="str">
        <f>TEXT(tbl_details5[[#This Row],[Order Date]],"mmm-yy")</f>
        <v>Apr-18</v>
      </c>
      <c r="J24" t="str">
        <f>VLOOKUP(tbl_details5[[#This Row],[Order ID]],Table1[],4,FALSE)</f>
        <v>Aarushi</v>
      </c>
      <c r="K24" t="str">
        <f>VLOOKUP(tbl_details5[[#This Row],[Order ID]],Table1[],5,FALSE)</f>
        <v>Tamil Nadu</v>
      </c>
      <c r="L24" t="str">
        <f>VLOOKUP(tbl_details5[[#This Row],[Order ID]],Table1[],6,FALSE)</f>
        <v>Chennai</v>
      </c>
    </row>
    <row r="25" spans="1:12" x14ac:dyDescent="0.25">
      <c r="A25" t="s">
        <v>33</v>
      </c>
      <c r="B25" s="4">
        <v>476</v>
      </c>
      <c r="C25" s="4">
        <v>0</v>
      </c>
      <c r="D25" s="5">
        <f>tbl_details5[[#This Row],[Profit]]/tbl_details5[[#This Row],[Revenue]]</f>
        <v>0</v>
      </c>
      <c r="E25">
        <v>3</v>
      </c>
      <c r="F25" t="s">
        <v>883</v>
      </c>
      <c r="G25" t="s">
        <v>893</v>
      </c>
      <c r="H25" s="1">
        <f>VLOOKUP(tbl_details5[[#This Row],[Order ID]],Orders!A:F,2,FALSE)</f>
        <v>43198</v>
      </c>
      <c r="I25" s="1" t="str">
        <f>TEXT(tbl_details5[[#This Row],[Order Date]],"mmm-yy")</f>
        <v>Apr-18</v>
      </c>
      <c r="J25" t="str">
        <f>VLOOKUP(tbl_details5[[#This Row],[Order ID]],Table1[],4,FALSE)</f>
        <v>Aarushi</v>
      </c>
      <c r="K25" t="str">
        <f>VLOOKUP(tbl_details5[[#This Row],[Order ID]],Table1[],5,FALSE)</f>
        <v>Tamil Nadu</v>
      </c>
      <c r="L25" t="str">
        <f>VLOOKUP(tbl_details5[[#This Row],[Order ID]],Table1[],6,FALSE)</f>
        <v>Chennai</v>
      </c>
    </row>
    <row r="26" spans="1:12" x14ac:dyDescent="0.25">
      <c r="A26" t="s">
        <v>33</v>
      </c>
      <c r="B26" s="4">
        <v>257</v>
      </c>
      <c r="C26" s="4">
        <v>23</v>
      </c>
      <c r="D26" s="5">
        <f>tbl_details5[[#This Row],[Profit]]/tbl_details5[[#This Row],[Revenue]]</f>
        <v>8.9494163424124515E-2</v>
      </c>
      <c r="E26">
        <v>5</v>
      </c>
      <c r="F26" t="s">
        <v>885</v>
      </c>
      <c r="G26" t="s">
        <v>887</v>
      </c>
      <c r="H26" s="1">
        <f>VLOOKUP(tbl_details5[[#This Row],[Order ID]],Orders!A:F,2,FALSE)</f>
        <v>43198</v>
      </c>
      <c r="I26" s="1" t="str">
        <f>TEXT(tbl_details5[[#This Row],[Order Date]],"mmm-yy")</f>
        <v>Apr-18</v>
      </c>
      <c r="J26" t="str">
        <f>VLOOKUP(tbl_details5[[#This Row],[Order ID]],Table1[],4,FALSE)</f>
        <v>Aarushi</v>
      </c>
      <c r="K26" t="str">
        <f>VLOOKUP(tbl_details5[[#This Row],[Order ID]],Table1[],5,FALSE)</f>
        <v>Tamil Nadu</v>
      </c>
      <c r="L26" t="str">
        <f>VLOOKUP(tbl_details5[[#This Row],[Order ID]],Table1[],6,FALSE)</f>
        <v>Chennai</v>
      </c>
    </row>
    <row r="27" spans="1:12" x14ac:dyDescent="0.25">
      <c r="A27" t="s">
        <v>33</v>
      </c>
      <c r="B27" s="4">
        <v>856</v>
      </c>
      <c r="C27" s="4">
        <v>385</v>
      </c>
      <c r="D27" s="5">
        <f>tbl_details5[[#This Row],[Profit]]/tbl_details5[[#This Row],[Revenue]]</f>
        <v>0.44976635514018692</v>
      </c>
      <c r="E27">
        <v>6</v>
      </c>
      <c r="F27" t="s">
        <v>888</v>
      </c>
      <c r="G27" t="s">
        <v>899</v>
      </c>
      <c r="H27" s="1">
        <f>VLOOKUP(tbl_details5[[#This Row],[Order ID]],Orders!A:F,2,FALSE)</f>
        <v>43198</v>
      </c>
      <c r="I27" s="1" t="str">
        <f>TEXT(tbl_details5[[#This Row],[Order Date]],"mmm-yy")</f>
        <v>Apr-18</v>
      </c>
      <c r="J27" t="str">
        <f>VLOOKUP(tbl_details5[[#This Row],[Order ID]],Table1[],4,FALSE)</f>
        <v>Aarushi</v>
      </c>
      <c r="K27" t="str">
        <f>VLOOKUP(tbl_details5[[#This Row],[Order ID]],Table1[],5,FALSE)</f>
        <v>Tamil Nadu</v>
      </c>
      <c r="L27" t="str">
        <f>VLOOKUP(tbl_details5[[#This Row],[Order ID]],Table1[],6,FALSE)</f>
        <v>Chennai</v>
      </c>
    </row>
    <row r="28" spans="1:12" x14ac:dyDescent="0.25">
      <c r="A28" t="s">
        <v>37</v>
      </c>
      <c r="B28" s="4">
        <v>485</v>
      </c>
      <c r="C28" s="4">
        <v>29</v>
      </c>
      <c r="D28" s="5">
        <f>tbl_details5[[#This Row],[Profit]]/tbl_details5[[#This Row],[Revenue]]</f>
        <v>5.9793814432989693E-2</v>
      </c>
      <c r="E28">
        <v>4</v>
      </c>
      <c r="F28" t="s">
        <v>888</v>
      </c>
      <c r="G28" t="s">
        <v>889</v>
      </c>
      <c r="H28" s="1">
        <f>VLOOKUP(tbl_details5[[#This Row],[Order ID]],Orders!A:F,2,FALSE)</f>
        <v>43199</v>
      </c>
      <c r="I28" s="1" t="str">
        <f>TEXT(tbl_details5[[#This Row],[Order Date]],"mmm-yy")</f>
        <v>Apr-18</v>
      </c>
      <c r="J28" t="str">
        <f>VLOOKUP(tbl_details5[[#This Row],[Order ID]],Table1[],4,FALSE)</f>
        <v>Jitesh</v>
      </c>
      <c r="K28" t="str">
        <f>VLOOKUP(tbl_details5[[#This Row],[Order ID]],Table1[],5,FALSE)</f>
        <v>Uttar Pradesh</v>
      </c>
      <c r="L28" t="str">
        <f>VLOOKUP(tbl_details5[[#This Row],[Order ID]],Table1[],6,FALSE)</f>
        <v>Lucknow</v>
      </c>
    </row>
    <row r="29" spans="1:12" x14ac:dyDescent="0.25">
      <c r="A29" t="s">
        <v>37</v>
      </c>
      <c r="B29" s="4">
        <v>25</v>
      </c>
      <c r="C29" s="4">
        <v>-5</v>
      </c>
      <c r="D29" s="5">
        <f>tbl_details5[[#This Row],[Profit]]/tbl_details5[[#This Row],[Revenue]]</f>
        <v>-0.2</v>
      </c>
      <c r="E29">
        <v>4</v>
      </c>
      <c r="F29" t="s">
        <v>885</v>
      </c>
      <c r="G29" t="s">
        <v>891</v>
      </c>
      <c r="H29" s="1">
        <f>VLOOKUP(tbl_details5[[#This Row],[Order ID]],Orders!A:F,2,FALSE)</f>
        <v>43199</v>
      </c>
      <c r="I29" s="1" t="str">
        <f>TEXT(tbl_details5[[#This Row],[Order Date]],"mmm-yy")</f>
        <v>Apr-18</v>
      </c>
      <c r="J29" t="str">
        <f>VLOOKUP(tbl_details5[[#This Row],[Order ID]],Table1[],4,FALSE)</f>
        <v>Jitesh</v>
      </c>
      <c r="K29" t="str">
        <f>VLOOKUP(tbl_details5[[#This Row],[Order ID]],Table1[],5,FALSE)</f>
        <v>Uttar Pradesh</v>
      </c>
      <c r="L29" t="str">
        <f>VLOOKUP(tbl_details5[[#This Row],[Order ID]],Table1[],6,FALSE)</f>
        <v>Lucknow</v>
      </c>
    </row>
    <row r="30" spans="1:12" x14ac:dyDescent="0.25">
      <c r="A30" t="s">
        <v>41</v>
      </c>
      <c r="B30" s="4">
        <v>1076</v>
      </c>
      <c r="C30" s="4">
        <v>-38</v>
      </c>
      <c r="D30" s="5">
        <f>tbl_details5[[#This Row],[Profit]]/tbl_details5[[#This Row],[Revenue]]</f>
        <v>-3.5315985130111527E-2</v>
      </c>
      <c r="E30">
        <v>4</v>
      </c>
      <c r="F30" t="s">
        <v>888</v>
      </c>
      <c r="G30" t="s">
        <v>899</v>
      </c>
      <c r="H30" s="1">
        <f>VLOOKUP(tbl_details5[[#This Row],[Order ID]],Orders!A:F,2,FALSE)</f>
        <v>43199</v>
      </c>
      <c r="I30" s="1" t="str">
        <f>TEXT(tbl_details5[[#This Row],[Order Date]],"mmm-yy")</f>
        <v>Apr-18</v>
      </c>
      <c r="J30" t="str">
        <f>VLOOKUP(tbl_details5[[#This Row],[Order ID]],Table1[],4,FALSE)</f>
        <v>Yogesh</v>
      </c>
      <c r="K30" t="str">
        <f>VLOOKUP(tbl_details5[[#This Row],[Order ID]],Table1[],5,FALSE)</f>
        <v>Bihar</v>
      </c>
      <c r="L30" t="str">
        <f>VLOOKUP(tbl_details5[[#This Row],[Order ID]],Table1[],6,FALSE)</f>
        <v>Patna</v>
      </c>
    </row>
    <row r="31" spans="1:12" x14ac:dyDescent="0.25">
      <c r="A31" t="s">
        <v>41</v>
      </c>
      <c r="B31" s="4">
        <v>107</v>
      </c>
      <c r="C31" s="4">
        <v>-54</v>
      </c>
      <c r="D31" s="5">
        <f>tbl_details5[[#This Row],[Profit]]/tbl_details5[[#This Row],[Revenue]]</f>
        <v>-0.50467289719626163</v>
      </c>
      <c r="E31">
        <v>4</v>
      </c>
      <c r="F31" t="s">
        <v>885</v>
      </c>
      <c r="G31" t="s">
        <v>886</v>
      </c>
      <c r="H31" s="1">
        <f>VLOOKUP(tbl_details5[[#This Row],[Order ID]],Orders!A:F,2,FALSE)</f>
        <v>43199</v>
      </c>
      <c r="I31" s="1" t="str">
        <f>TEXT(tbl_details5[[#This Row],[Order Date]],"mmm-yy")</f>
        <v>Apr-18</v>
      </c>
      <c r="J31" t="str">
        <f>VLOOKUP(tbl_details5[[#This Row],[Order ID]],Table1[],4,FALSE)</f>
        <v>Yogesh</v>
      </c>
      <c r="K31" t="str">
        <f>VLOOKUP(tbl_details5[[#This Row],[Order ID]],Table1[],5,FALSE)</f>
        <v>Bihar</v>
      </c>
      <c r="L31" t="str">
        <f>VLOOKUP(tbl_details5[[#This Row],[Order ID]],Table1[],6,FALSE)</f>
        <v>Patna</v>
      </c>
    </row>
    <row r="32" spans="1:12" x14ac:dyDescent="0.25">
      <c r="A32" t="s">
        <v>41</v>
      </c>
      <c r="B32" s="4">
        <v>68</v>
      </c>
      <c r="C32" s="4">
        <v>-55</v>
      </c>
      <c r="D32" s="5">
        <f>tbl_details5[[#This Row],[Profit]]/tbl_details5[[#This Row],[Revenue]]</f>
        <v>-0.80882352941176472</v>
      </c>
      <c r="E32">
        <v>5</v>
      </c>
      <c r="F32" t="s">
        <v>888</v>
      </c>
      <c r="G32" t="s">
        <v>900</v>
      </c>
      <c r="H32" s="1">
        <f>VLOOKUP(tbl_details5[[#This Row],[Order ID]],Orders!A:F,2,FALSE)</f>
        <v>43199</v>
      </c>
      <c r="I32" s="1" t="str">
        <f>TEXT(tbl_details5[[#This Row],[Order Date]],"mmm-yy")</f>
        <v>Apr-18</v>
      </c>
      <c r="J32" t="str">
        <f>VLOOKUP(tbl_details5[[#This Row],[Order ID]],Table1[],4,FALSE)</f>
        <v>Yogesh</v>
      </c>
      <c r="K32" t="str">
        <f>VLOOKUP(tbl_details5[[#This Row],[Order ID]],Table1[],5,FALSE)</f>
        <v>Bihar</v>
      </c>
      <c r="L32" t="str">
        <f>VLOOKUP(tbl_details5[[#This Row],[Order ID]],Table1[],6,FALSE)</f>
        <v>Patna</v>
      </c>
    </row>
    <row r="33" spans="1:12" x14ac:dyDescent="0.25">
      <c r="A33" t="s">
        <v>41</v>
      </c>
      <c r="B33" s="4">
        <v>781</v>
      </c>
      <c r="C33" s="4">
        <v>-594</v>
      </c>
      <c r="D33" s="5">
        <f>tbl_details5[[#This Row],[Profit]]/tbl_details5[[#This Row],[Revenue]]</f>
        <v>-0.76056338028169013</v>
      </c>
      <c r="E33">
        <v>6</v>
      </c>
      <c r="F33" t="s">
        <v>888</v>
      </c>
      <c r="G33" t="s">
        <v>899</v>
      </c>
      <c r="H33" s="1">
        <f>VLOOKUP(tbl_details5[[#This Row],[Order ID]],Orders!A:F,2,FALSE)</f>
        <v>43199</v>
      </c>
      <c r="I33" s="1" t="str">
        <f>TEXT(tbl_details5[[#This Row],[Order Date]],"mmm-yy")</f>
        <v>Apr-18</v>
      </c>
      <c r="J33" t="str">
        <f>VLOOKUP(tbl_details5[[#This Row],[Order ID]],Table1[],4,FALSE)</f>
        <v>Yogesh</v>
      </c>
      <c r="K33" t="str">
        <f>VLOOKUP(tbl_details5[[#This Row],[Order ID]],Table1[],5,FALSE)</f>
        <v>Bihar</v>
      </c>
      <c r="L33" t="str">
        <f>VLOOKUP(tbl_details5[[#This Row],[Order ID]],Table1[],6,FALSE)</f>
        <v>Patna</v>
      </c>
    </row>
    <row r="34" spans="1:12" x14ac:dyDescent="0.25">
      <c r="A34" t="s">
        <v>41</v>
      </c>
      <c r="B34" s="4">
        <v>43</v>
      </c>
      <c r="C34" s="4">
        <v>0</v>
      </c>
      <c r="D34" s="5">
        <f>tbl_details5[[#This Row],[Profit]]/tbl_details5[[#This Row],[Revenue]]</f>
        <v>0</v>
      </c>
      <c r="E34">
        <v>3</v>
      </c>
      <c r="F34" t="s">
        <v>885</v>
      </c>
      <c r="G34" t="s">
        <v>891</v>
      </c>
      <c r="H34" s="1">
        <f>VLOOKUP(tbl_details5[[#This Row],[Order ID]],Orders!A:F,2,FALSE)</f>
        <v>43199</v>
      </c>
      <c r="I34" s="1" t="str">
        <f>TEXT(tbl_details5[[#This Row],[Order Date]],"mmm-yy")</f>
        <v>Apr-18</v>
      </c>
      <c r="J34" t="str">
        <f>VLOOKUP(tbl_details5[[#This Row],[Order ID]],Table1[],4,FALSE)</f>
        <v>Yogesh</v>
      </c>
      <c r="K34" t="str">
        <f>VLOOKUP(tbl_details5[[#This Row],[Order ID]],Table1[],5,FALSE)</f>
        <v>Bihar</v>
      </c>
      <c r="L34" t="str">
        <f>VLOOKUP(tbl_details5[[#This Row],[Order ID]],Table1[],6,FALSE)</f>
        <v>Patna</v>
      </c>
    </row>
    <row r="35" spans="1:12" x14ac:dyDescent="0.25">
      <c r="A35" t="s">
        <v>41</v>
      </c>
      <c r="B35" s="4">
        <v>30</v>
      </c>
      <c r="C35" s="4">
        <v>-5</v>
      </c>
      <c r="D35" s="5">
        <f>tbl_details5[[#This Row],[Profit]]/tbl_details5[[#This Row],[Revenue]]</f>
        <v>-0.16666666666666666</v>
      </c>
      <c r="E35">
        <v>2</v>
      </c>
      <c r="F35" t="s">
        <v>883</v>
      </c>
      <c r="G35" t="s">
        <v>901</v>
      </c>
      <c r="H35" s="1">
        <f>VLOOKUP(tbl_details5[[#This Row],[Order ID]],Orders!A:F,2,FALSE)</f>
        <v>43199</v>
      </c>
      <c r="I35" s="1" t="str">
        <f>TEXT(tbl_details5[[#This Row],[Order Date]],"mmm-yy")</f>
        <v>Apr-18</v>
      </c>
      <c r="J35" t="str">
        <f>VLOOKUP(tbl_details5[[#This Row],[Order ID]],Table1[],4,FALSE)</f>
        <v>Yogesh</v>
      </c>
      <c r="K35" t="str">
        <f>VLOOKUP(tbl_details5[[#This Row],[Order ID]],Table1[],5,FALSE)</f>
        <v>Bihar</v>
      </c>
      <c r="L35" t="str">
        <f>VLOOKUP(tbl_details5[[#This Row],[Order ID]],Table1[],6,FALSE)</f>
        <v>Patna</v>
      </c>
    </row>
    <row r="36" spans="1:12" x14ac:dyDescent="0.25">
      <c r="A36" t="s">
        <v>45</v>
      </c>
      <c r="B36" s="4">
        <v>160</v>
      </c>
      <c r="C36" s="4">
        <v>-59</v>
      </c>
      <c r="D36" s="5">
        <f>tbl_details5[[#This Row],[Profit]]/tbl_details5[[#This Row],[Revenue]]</f>
        <v>-0.36875000000000002</v>
      </c>
      <c r="E36">
        <v>2</v>
      </c>
      <c r="F36" t="s">
        <v>885</v>
      </c>
      <c r="G36" t="s">
        <v>891</v>
      </c>
      <c r="H36" s="1">
        <f>VLOOKUP(tbl_details5[[#This Row],[Order ID]],Orders!A:F,2,FALSE)</f>
        <v>43201</v>
      </c>
      <c r="I36" s="1" t="str">
        <f>TEXT(tbl_details5[[#This Row],[Order Date]],"mmm-yy")</f>
        <v>Apr-18</v>
      </c>
      <c r="J36" t="str">
        <f>VLOOKUP(tbl_details5[[#This Row],[Order ID]],Table1[],4,FALSE)</f>
        <v>Anita</v>
      </c>
      <c r="K36" t="str">
        <f>VLOOKUP(tbl_details5[[#This Row],[Order ID]],Table1[],5,FALSE)</f>
        <v xml:space="preserve">Kerala </v>
      </c>
      <c r="L36" t="str">
        <f>VLOOKUP(tbl_details5[[#This Row],[Order ID]],Table1[],6,FALSE)</f>
        <v>Thiruvananthapuram</v>
      </c>
    </row>
    <row r="37" spans="1:12" x14ac:dyDescent="0.25">
      <c r="A37" t="s">
        <v>49</v>
      </c>
      <c r="B37" s="4">
        <v>259</v>
      </c>
      <c r="C37" s="4">
        <v>-55</v>
      </c>
      <c r="D37" s="5">
        <f>tbl_details5[[#This Row],[Profit]]/tbl_details5[[#This Row],[Revenue]]</f>
        <v>-0.21235521235521235</v>
      </c>
      <c r="E37">
        <v>2</v>
      </c>
      <c r="F37" t="s">
        <v>883</v>
      </c>
      <c r="G37" t="s">
        <v>893</v>
      </c>
      <c r="H37" s="1">
        <f>VLOOKUP(tbl_details5[[#This Row],[Order ID]],Orders!A:F,2,FALSE)</f>
        <v>43202</v>
      </c>
      <c r="I37" s="1" t="str">
        <f>TEXT(tbl_details5[[#This Row],[Order Date]],"mmm-yy")</f>
        <v>Apr-18</v>
      </c>
      <c r="J37" t="str">
        <f>VLOOKUP(tbl_details5[[#This Row],[Order ID]],Table1[],4,FALSE)</f>
        <v>Shrichand</v>
      </c>
      <c r="K37" t="str">
        <f>VLOOKUP(tbl_details5[[#This Row],[Order ID]],Table1[],5,FALSE)</f>
        <v>Punjab</v>
      </c>
      <c r="L37" t="str">
        <f>VLOOKUP(tbl_details5[[#This Row],[Order ID]],Table1[],6,FALSE)</f>
        <v>Chandigarh</v>
      </c>
    </row>
    <row r="38" spans="1:12" x14ac:dyDescent="0.25">
      <c r="A38" t="s">
        <v>53</v>
      </c>
      <c r="B38" s="4">
        <v>1603</v>
      </c>
      <c r="C38" s="4">
        <v>0</v>
      </c>
      <c r="D38" s="5">
        <f>tbl_details5[[#This Row],[Profit]]/tbl_details5[[#This Row],[Revenue]]</f>
        <v>0</v>
      </c>
      <c r="E38">
        <v>9</v>
      </c>
      <c r="F38" t="s">
        <v>885</v>
      </c>
      <c r="G38" t="s">
        <v>891</v>
      </c>
      <c r="H38" s="1">
        <f>VLOOKUP(tbl_details5[[#This Row],[Order ID]],Orders!A:F,2,FALSE)</f>
        <v>43202</v>
      </c>
      <c r="I38" s="1" t="str">
        <f>TEXT(tbl_details5[[#This Row],[Order Date]],"mmm-yy")</f>
        <v>Apr-18</v>
      </c>
      <c r="J38" t="str">
        <f>VLOOKUP(tbl_details5[[#This Row],[Order ID]],Table1[],4,FALSE)</f>
        <v>Mukesh</v>
      </c>
      <c r="K38" t="str">
        <f>VLOOKUP(tbl_details5[[#This Row],[Order ID]],Table1[],5,FALSE)</f>
        <v>Haryana</v>
      </c>
      <c r="L38" t="str">
        <f>VLOOKUP(tbl_details5[[#This Row],[Order ID]],Table1[],6,FALSE)</f>
        <v>Chandigarh</v>
      </c>
    </row>
    <row r="39" spans="1:12" x14ac:dyDescent="0.25">
      <c r="A39" t="s">
        <v>56</v>
      </c>
      <c r="B39" s="4">
        <v>494</v>
      </c>
      <c r="C39" s="4">
        <v>54</v>
      </c>
      <c r="D39" s="5">
        <f>tbl_details5[[#This Row],[Profit]]/tbl_details5[[#This Row],[Revenue]]</f>
        <v>0.10931174089068826</v>
      </c>
      <c r="E39">
        <v>4</v>
      </c>
      <c r="F39" t="s">
        <v>883</v>
      </c>
      <c r="G39" t="s">
        <v>884</v>
      </c>
      <c r="H39" s="1">
        <f>VLOOKUP(tbl_details5[[#This Row],[Order ID]],Orders!A:F,2,FALSE)</f>
        <v>43203</v>
      </c>
      <c r="I39" s="1" t="str">
        <f>TEXT(tbl_details5[[#This Row],[Order Date]],"mmm-yy")</f>
        <v>Apr-18</v>
      </c>
      <c r="J39" t="str">
        <f>VLOOKUP(tbl_details5[[#This Row],[Order ID]],Table1[],4,FALSE)</f>
        <v>Vandana</v>
      </c>
      <c r="K39" t="str">
        <f>VLOOKUP(tbl_details5[[#This Row],[Order ID]],Table1[],5,FALSE)</f>
        <v>Himachal Pradesh</v>
      </c>
      <c r="L39" t="str">
        <f>VLOOKUP(tbl_details5[[#This Row],[Order ID]],Table1[],6,FALSE)</f>
        <v>Simla</v>
      </c>
    </row>
    <row r="40" spans="1:12" x14ac:dyDescent="0.25">
      <c r="A40" t="s">
        <v>56</v>
      </c>
      <c r="B40" s="4">
        <v>98</v>
      </c>
      <c r="C40" s="4">
        <v>-12</v>
      </c>
      <c r="D40" s="5">
        <f>tbl_details5[[#This Row],[Profit]]/tbl_details5[[#This Row],[Revenue]]</f>
        <v>-0.12244897959183673</v>
      </c>
      <c r="E40">
        <v>2</v>
      </c>
      <c r="F40" t="s">
        <v>888</v>
      </c>
      <c r="G40" t="s">
        <v>889</v>
      </c>
      <c r="H40" s="1">
        <f>VLOOKUP(tbl_details5[[#This Row],[Order ID]],Orders!A:F,2,FALSE)</f>
        <v>43203</v>
      </c>
      <c r="I40" s="1" t="str">
        <f>TEXT(tbl_details5[[#This Row],[Order Date]],"mmm-yy")</f>
        <v>Apr-18</v>
      </c>
      <c r="J40" t="str">
        <f>VLOOKUP(tbl_details5[[#This Row],[Order ID]],Table1[],4,FALSE)</f>
        <v>Vandana</v>
      </c>
      <c r="K40" t="str">
        <f>VLOOKUP(tbl_details5[[#This Row],[Order ID]],Table1[],5,FALSE)</f>
        <v>Himachal Pradesh</v>
      </c>
      <c r="L40" t="str">
        <f>VLOOKUP(tbl_details5[[#This Row],[Order ID]],Table1[],6,FALSE)</f>
        <v>Simla</v>
      </c>
    </row>
    <row r="41" spans="1:12" x14ac:dyDescent="0.25">
      <c r="A41" t="s">
        <v>60</v>
      </c>
      <c r="B41" s="4">
        <v>68</v>
      </c>
      <c r="C41" s="4">
        <v>20</v>
      </c>
      <c r="D41" s="5">
        <f>tbl_details5[[#This Row],[Profit]]/tbl_details5[[#This Row],[Revenue]]</f>
        <v>0.29411764705882354</v>
      </c>
      <c r="E41">
        <v>5</v>
      </c>
      <c r="F41" t="s">
        <v>885</v>
      </c>
      <c r="G41" t="s">
        <v>887</v>
      </c>
      <c r="H41" s="1">
        <f>VLOOKUP(tbl_details5[[#This Row],[Order ID]],Orders!A:F,2,FALSE)</f>
        <v>43205</v>
      </c>
      <c r="I41" s="1" t="str">
        <f>TEXT(tbl_details5[[#This Row],[Order Date]],"mmm-yy")</f>
        <v>Apr-18</v>
      </c>
      <c r="J41" t="str">
        <f>VLOOKUP(tbl_details5[[#This Row],[Order ID]],Table1[],4,FALSE)</f>
        <v>Bhavna</v>
      </c>
      <c r="K41" t="str">
        <f>VLOOKUP(tbl_details5[[#This Row],[Order ID]],Table1[],5,FALSE)</f>
        <v>Sikkim</v>
      </c>
      <c r="L41" t="str">
        <f>VLOOKUP(tbl_details5[[#This Row],[Order ID]],Table1[],6,FALSE)</f>
        <v>Gangtok</v>
      </c>
    </row>
    <row r="42" spans="1:12" x14ac:dyDescent="0.25">
      <c r="A42" t="s">
        <v>64</v>
      </c>
      <c r="B42" s="4">
        <v>42</v>
      </c>
      <c r="C42" s="4">
        <v>12</v>
      </c>
      <c r="D42" s="5">
        <f>tbl_details5[[#This Row],[Profit]]/tbl_details5[[#This Row],[Revenue]]</f>
        <v>0.2857142857142857</v>
      </c>
      <c r="E42">
        <v>5</v>
      </c>
      <c r="F42" t="s">
        <v>885</v>
      </c>
      <c r="G42" t="s">
        <v>887</v>
      </c>
      <c r="H42" s="1">
        <f>VLOOKUP(tbl_details5[[#This Row],[Order ID]],Orders!A:F,2,FALSE)</f>
        <v>43205</v>
      </c>
      <c r="I42" s="1" t="str">
        <f>TEXT(tbl_details5[[#This Row],[Order Date]],"mmm-yy")</f>
        <v>Apr-18</v>
      </c>
      <c r="J42" t="str">
        <f>VLOOKUP(tbl_details5[[#This Row],[Order ID]],Table1[],4,FALSE)</f>
        <v>Kanak</v>
      </c>
      <c r="K42" t="str">
        <f>VLOOKUP(tbl_details5[[#This Row],[Order ID]],Table1[],5,FALSE)</f>
        <v>Goa</v>
      </c>
      <c r="L42" t="str">
        <f>VLOOKUP(tbl_details5[[#This Row],[Order ID]],Table1[],6,FALSE)</f>
        <v>Goa</v>
      </c>
    </row>
    <row r="43" spans="1:12" x14ac:dyDescent="0.25">
      <c r="A43" t="s">
        <v>64</v>
      </c>
      <c r="B43" s="4">
        <v>116</v>
      </c>
      <c r="C43" s="4">
        <v>-56</v>
      </c>
      <c r="D43" s="5">
        <f>tbl_details5[[#This Row],[Profit]]/tbl_details5[[#This Row],[Revenue]]</f>
        <v>-0.48275862068965519</v>
      </c>
      <c r="E43">
        <v>5</v>
      </c>
      <c r="F43" t="s">
        <v>885</v>
      </c>
      <c r="G43" t="s">
        <v>886</v>
      </c>
      <c r="H43" s="1">
        <f>VLOOKUP(tbl_details5[[#This Row],[Order ID]],Orders!A:F,2,FALSE)</f>
        <v>43205</v>
      </c>
      <c r="I43" s="1" t="str">
        <f>TEXT(tbl_details5[[#This Row],[Order Date]],"mmm-yy")</f>
        <v>Apr-18</v>
      </c>
      <c r="J43" t="str">
        <f>VLOOKUP(tbl_details5[[#This Row],[Order ID]],Table1[],4,FALSE)</f>
        <v>Kanak</v>
      </c>
      <c r="K43" t="str">
        <f>VLOOKUP(tbl_details5[[#This Row],[Order ID]],Table1[],5,FALSE)</f>
        <v>Goa</v>
      </c>
      <c r="L43" t="str">
        <f>VLOOKUP(tbl_details5[[#This Row],[Order ID]],Table1[],6,FALSE)</f>
        <v>Goa</v>
      </c>
    </row>
    <row r="44" spans="1:12" x14ac:dyDescent="0.25">
      <c r="A44" t="s">
        <v>64</v>
      </c>
      <c r="B44" s="4">
        <v>22</v>
      </c>
      <c r="C44" s="4">
        <v>-2</v>
      </c>
      <c r="D44" s="5">
        <f>tbl_details5[[#This Row],[Profit]]/tbl_details5[[#This Row],[Revenue]]</f>
        <v>-9.0909090909090912E-2</v>
      </c>
      <c r="E44">
        <v>3</v>
      </c>
      <c r="F44" t="s">
        <v>885</v>
      </c>
      <c r="G44" t="s">
        <v>887</v>
      </c>
      <c r="H44" s="1">
        <f>VLOOKUP(tbl_details5[[#This Row],[Order ID]],Orders!A:F,2,FALSE)</f>
        <v>43205</v>
      </c>
      <c r="I44" s="1" t="str">
        <f>TEXT(tbl_details5[[#This Row],[Order Date]],"mmm-yy")</f>
        <v>Apr-18</v>
      </c>
      <c r="J44" t="str">
        <f>VLOOKUP(tbl_details5[[#This Row],[Order ID]],Table1[],4,FALSE)</f>
        <v>Kanak</v>
      </c>
      <c r="K44" t="str">
        <f>VLOOKUP(tbl_details5[[#This Row],[Order ID]],Table1[],5,FALSE)</f>
        <v>Goa</v>
      </c>
      <c r="L44" t="str">
        <f>VLOOKUP(tbl_details5[[#This Row],[Order ID]],Table1[],6,FALSE)</f>
        <v>Goa</v>
      </c>
    </row>
    <row r="45" spans="1:12" x14ac:dyDescent="0.25">
      <c r="A45" t="s">
        <v>64</v>
      </c>
      <c r="B45" s="4">
        <v>14</v>
      </c>
      <c r="C45" s="4">
        <v>-2</v>
      </c>
      <c r="D45" s="5">
        <f>tbl_details5[[#This Row],[Profit]]/tbl_details5[[#This Row],[Revenue]]</f>
        <v>-0.14285714285714285</v>
      </c>
      <c r="E45">
        <v>3</v>
      </c>
      <c r="F45" t="s">
        <v>885</v>
      </c>
      <c r="G45" t="s">
        <v>887</v>
      </c>
      <c r="H45" s="1">
        <f>VLOOKUP(tbl_details5[[#This Row],[Order ID]],Orders!A:F,2,FALSE)</f>
        <v>43205</v>
      </c>
      <c r="I45" s="1" t="str">
        <f>TEXT(tbl_details5[[#This Row],[Order Date]],"mmm-yy")</f>
        <v>Apr-18</v>
      </c>
      <c r="J45" t="str">
        <f>VLOOKUP(tbl_details5[[#This Row],[Order ID]],Table1[],4,FALSE)</f>
        <v>Kanak</v>
      </c>
      <c r="K45" t="str">
        <f>VLOOKUP(tbl_details5[[#This Row],[Order ID]],Table1[],5,FALSE)</f>
        <v>Goa</v>
      </c>
      <c r="L45" t="str">
        <f>VLOOKUP(tbl_details5[[#This Row],[Order ID]],Table1[],6,FALSE)</f>
        <v>Goa</v>
      </c>
    </row>
    <row r="46" spans="1:12" x14ac:dyDescent="0.25">
      <c r="A46" t="s">
        <v>67</v>
      </c>
      <c r="B46" s="4">
        <v>305</v>
      </c>
      <c r="C46" s="4">
        <v>-270</v>
      </c>
      <c r="D46" s="5">
        <f>tbl_details5[[#This Row],[Profit]]/tbl_details5[[#This Row],[Revenue]]</f>
        <v>-0.88524590163934425</v>
      </c>
      <c r="E46">
        <v>5</v>
      </c>
      <c r="F46" t="s">
        <v>888</v>
      </c>
      <c r="G46" t="s">
        <v>889</v>
      </c>
      <c r="H46" s="1">
        <f>VLOOKUP(tbl_details5[[#This Row],[Order ID]],Orders!A:F,2,FALSE)</f>
        <v>43207</v>
      </c>
      <c r="I46" s="1" t="str">
        <f>TEXT(tbl_details5[[#This Row],[Order Date]],"mmm-yy")</f>
        <v>Apr-18</v>
      </c>
      <c r="J46" t="str">
        <f>VLOOKUP(tbl_details5[[#This Row],[Order ID]],Table1[],4,FALSE)</f>
        <v>Sagar</v>
      </c>
      <c r="K46" t="str">
        <f>VLOOKUP(tbl_details5[[#This Row],[Order ID]],Table1[],5,FALSE)</f>
        <v>Nagaland</v>
      </c>
      <c r="L46" t="str">
        <f>VLOOKUP(tbl_details5[[#This Row],[Order ID]],Table1[],6,FALSE)</f>
        <v>Kohima</v>
      </c>
    </row>
    <row r="47" spans="1:12" x14ac:dyDescent="0.25">
      <c r="A47" t="s">
        <v>71</v>
      </c>
      <c r="B47" s="4">
        <v>362</v>
      </c>
      <c r="C47" s="4">
        <v>127</v>
      </c>
      <c r="D47" s="5">
        <f>tbl_details5[[#This Row],[Profit]]/tbl_details5[[#This Row],[Revenue]]</f>
        <v>0.35082872928176795</v>
      </c>
      <c r="E47">
        <v>1</v>
      </c>
      <c r="F47" t="s">
        <v>883</v>
      </c>
      <c r="G47" t="s">
        <v>884</v>
      </c>
      <c r="H47" s="1">
        <f>VLOOKUP(tbl_details5[[#This Row],[Order ID]],Orders!A:F,2,FALSE)</f>
        <v>43208</v>
      </c>
      <c r="I47" s="1" t="str">
        <f>TEXT(tbl_details5[[#This Row],[Order Date]],"mmm-yy")</f>
        <v>Apr-18</v>
      </c>
      <c r="J47" t="str">
        <f>VLOOKUP(tbl_details5[[#This Row],[Order ID]],Table1[],4,FALSE)</f>
        <v>Manju</v>
      </c>
      <c r="K47" t="str">
        <f>VLOOKUP(tbl_details5[[#This Row],[Order ID]],Table1[],5,FALSE)</f>
        <v>Andhra Pradesh</v>
      </c>
      <c r="L47" t="str">
        <f>VLOOKUP(tbl_details5[[#This Row],[Order ID]],Table1[],6,FALSE)</f>
        <v>Hyderabad</v>
      </c>
    </row>
    <row r="48" spans="1:12" x14ac:dyDescent="0.25">
      <c r="A48" t="s">
        <v>71</v>
      </c>
      <c r="B48" s="4">
        <v>12</v>
      </c>
      <c r="C48" s="4">
        <v>0</v>
      </c>
      <c r="D48" s="5">
        <f>tbl_details5[[#This Row],[Profit]]/tbl_details5[[#This Row],[Revenue]]</f>
        <v>0</v>
      </c>
      <c r="E48">
        <v>2</v>
      </c>
      <c r="F48" t="s">
        <v>885</v>
      </c>
      <c r="G48" t="s">
        <v>887</v>
      </c>
      <c r="H48" s="1">
        <f>VLOOKUP(tbl_details5[[#This Row],[Order ID]],Orders!A:F,2,FALSE)</f>
        <v>43208</v>
      </c>
      <c r="I48" s="1" t="str">
        <f>TEXT(tbl_details5[[#This Row],[Order Date]],"mmm-yy")</f>
        <v>Apr-18</v>
      </c>
      <c r="J48" t="str">
        <f>VLOOKUP(tbl_details5[[#This Row],[Order ID]],Table1[],4,FALSE)</f>
        <v>Manju</v>
      </c>
      <c r="K48" t="str">
        <f>VLOOKUP(tbl_details5[[#This Row],[Order ID]],Table1[],5,FALSE)</f>
        <v>Andhra Pradesh</v>
      </c>
      <c r="L48" t="str">
        <f>VLOOKUP(tbl_details5[[#This Row],[Order ID]],Table1[],6,FALSE)</f>
        <v>Hyderabad</v>
      </c>
    </row>
    <row r="49" spans="1:12" x14ac:dyDescent="0.25">
      <c r="A49" t="s">
        <v>75</v>
      </c>
      <c r="B49" s="4">
        <v>353</v>
      </c>
      <c r="C49" s="4">
        <v>90</v>
      </c>
      <c r="D49" s="5">
        <f>tbl_details5[[#This Row],[Profit]]/tbl_details5[[#This Row],[Revenue]]</f>
        <v>0.25495750708215298</v>
      </c>
      <c r="E49">
        <v>8</v>
      </c>
      <c r="F49" t="s">
        <v>885</v>
      </c>
      <c r="G49" t="s">
        <v>891</v>
      </c>
      <c r="H49" s="1">
        <f>VLOOKUP(tbl_details5[[#This Row],[Order ID]],Orders!A:F,2,FALSE)</f>
        <v>43208</v>
      </c>
      <c r="I49" s="1" t="str">
        <f>TEXT(tbl_details5[[#This Row],[Order Date]],"mmm-yy")</f>
        <v>Apr-18</v>
      </c>
      <c r="J49" t="str">
        <f>VLOOKUP(tbl_details5[[#This Row],[Order ID]],Table1[],4,FALSE)</f>
        <v>Ramesh</v>
      </c>
      <c r="K49" t="str">
        <f>VLOOKUP(tbl_details5[[#This Row],[Order ID]],Table1[],5,FALSE)</f>
        <v>Gujarat</v>
      </c>
      <c r="L49" t="str">
        <f>VLOOKUP(tbl_details5[[#This Row],[Order ID]],Table1[],6,FALSE)</f>
        <v>Ahmedabad</v>
      </c>
    </row>
    <row r="50" spans="1:12" x14ac:dyDescent="0.25">
      <c r="A50" t="s">
        <v>77</v>
      </c>
      <c r="B50" s="4">
        <v>193</v>
      </c>
      <c r="C50" s="4">
        <v>46</v>
      </c>
      <c r="D50" s="5">
        <f>tbl_details5[[#This Row],[Profit]]/tbl_details5[[#This Row],[Revenue]]</f>
        <v>0.23834196891191708</v>
      </c>
      <c r="E50">
        <v>1</v>
      </c>
      <c r="F50" t="s">
        <v>888</v>
      </c>
      <c r="G50" t="s">
        <v>899</v>
      </c>
      <c r="H50" s="1">
        <f>VLOOKUP(tbl_details5[[#This Row],[Order ID]],Orders!A:F,2,FALSE)</f>
        <v>43210</v>
      </c>
      <c r="I50" s="1" t="str">
        <f>TEXT(tbl_details5[[#This Row],[Order Date]],"mmm-yy")</f>
        <v>Apr-18</v>
      </c>
      <c r="J50" t="str">
        <f>VLOOKUP(tbl_details5[[#This Row],[Order ID]],Table1[],4,FALSE)</f>
        <v>Sarita</v>
      </c>
      <c r="K50" t="str">
        <f>VLOOKUP(tbl_details5[[#This Row],[Order ID]],Table1[],5,FALSE)</f>
        <v>Maharashtra</v>
      </c>
      <c r="L50" t="str">
        <f>VLOOKUP(tbl_details5[[#This Row],[Order ID]],Table1[],6,FALSE)</f>
        <v>Pune</v>
      </c>
    </row>
    <row r="51" spans="1:12" x14ac:dyDescent="0.25">
      <c r="A51" t="s">
        <v>79</v>
      </c>
      <c r="B51" s="4">
        <v>233</v>
      </c>
      <c r="C51" s="4">
        <v>-10</v>
      </c>
      <c r="D51" s="5">
        <f>tbl_details5[[#This Row],[Profit]]/tbl_details5[[#This Row],[Revenue]]</f>
        <v>-4.2918454935622317E-2</v>
      </c>
      <c r="E51">
        <v>5</v>
      </c>
      <c r="F51" t="s">
        <v>888</v>
      </c>
      <c r="G51" t="s">
        <v>889</v>
      </c>
      <c r="H51" s="1">
        <f>VLOOKUP(tbl_details5[[#This Row],[Order ID]],Orders!A:F,2,FALSE)</f>
        <v>43210</v>
      </c>
      <c r="I51" s="1" t="str">
        <f>TEXT(tbl_details5[[#This Row],[Order Date]],"mmm-yy")</f>
        <v>Apr-18</v>
      </c>
      <c r="J51" t="str">
        <f>VLOOKUP(tbl_details5[[#This Row],[Order ID]],Table1[],4,FALSE)</f>
        <v>Deepak</v>
      </c>
      <c r="K51" t="str">
        <f>VLOOKUP(tbl_details5[[#This Row],[Order ID]],Table1[],5,FALSE)</f>
        <v>Madhya Pradesh</v>
      </c>
      <c r="L51" t="str">
        <f>VLOOKUP(tbl_details5[[#This Row],[Order ID]],Table1[],6,FALSE)</f>
        <v>Bhopal</v>
      </c>
    </row>
    <row r="52" spans="1:12" x14ac:dyDescent="0.25">
      <c r="A52" t="s">
        <v>79</v>
      </c>
      <c r="B52" s="4">
        <v>228</v>
      </c>
      <c r="C52" s="4">
        <v>63</v>
      </c>
      <c r="D52" s="5">
        <f>tbl_details5[[#This Row],[Profit]]/tbl_details5[[#This Row],[Revenue]]</f>
        <v>0.27631578947368424</v>
      </c>
      <c r="E52">
        <v>3</v>
      </c>
      <c r="F52" t="s">
        <v>888</v>
      </c>
      <c r="G52" t="s">
        <v>889</v>
      </c>
      <c r="H52" s="1">
        <f>VLOOKUP(tbl_details5[[#This Row],[Order ID]],Orders!A:F,2,FALSE)</f>
        <v>43210</v>
      </c>
      <c r="I52" s="1" t="str">
        <f>TEXT(tbl_details5[[#This Row],[Order Date]],"mmm-yy")</f>
        <v>Apr-18</v>
      </c>
      <c r="J52" t="str">
        <f>VLOOKUP(tbl_details5[[#This Row],[Order ID]],Table1[],4,FALSE)</f>
        <v>Deepak</v>
      </c>
      <c r="K52" t="str">
        <f>VLOOKUP(tbl_details5[[#This Row],[Order ID]],Table1[],5,FALSE)</f>
        <v>Madhya Pradesh</v>
      </c>
      <c r="L52" t="str">
        <f>VLOOKUP(tbl_details5[[#This Row],[Order ID]],Table1[],6,FALSE)</f>
        <v>Bhopal</v>
      </c>
    </row>
    <row r="53" spans="1:12" x14ac:dyDescent="0.25">
      <c r="A53" t="s">
        <v>79</v>
      </c>
      <c r="B53" s="4">
        <v>333</v>
      </c>
      <c r="C53" s="4">
        <v>-15</v>
      </c>
      <c r="D53" s="5">
        <f>tbl_details5[[#This Row],[Profit]]/tbl_details5[[#This Row],[Revenue]]</f>
        <v>-4.5045045045045043E-2</v>
      </c>
      <c r="E53">
        <v>3</v>
      </c>
      <c r="F53" t="s">
        <v>888</v>
      </c>
      <c r="G53" t="s">
        <v>890</v>
      </c>
      <c r="H53" s="1">
        <f>VLOOKUP(tbl_details5[[#This Row],[Order ID]],Orders!A:F,2,FALSE)</f>
        <v>43210</v>
      </c>
      <c r="I53" s="1" t="str">
        <f>TEXT(tbl_details5[[#This Row],[Order Date]],"mmm-yy")</f>
        <v>Apr-18</v>
      </c>
      <c r="J53" t="str">
        <f>VLOOKUP(tbl_details5[[#This Row],[Order ID]],Table1[],4,FALSE)</f>
        <v>Deepak</v>
      </c>
      <c r="K53" t="str">
        <f>VLOOKUP(tbl_details5[[#This Row],[Order ID]],Table1[],5,FALSE)</f>
        <v>Madhya Pradesh</v>
      </c>
      <c r="L53" t="str">
        <f>VLOOKUP(tbl_details5[[#This Row],[Order ID]],Table1[],6,FALSE)</f>
        <v>Bhopal</v>
      </c>
    </row>
    <row r="54" spans="1:12" x14ac:dyDescent="0.25">
      <c r="A54" t="s">
        <v>81</v>
      </c>
      <c r="B54" s="4">
        <v>534</v>
      </c>
      <c r="C54" s="4">
        <v>0</v>
      </c>
      <c r="D54" s="5">
        <f>tbl_details5[[#This Row],[Profit]]/tbl_details5[[#This Row],[Revenue]]</f>
        <v>0</v>
      </c>
      <c r="E54">
        <v>3</v>
      </c>
      <c r="F54" t="s">
        <v>885</v>
      </c>
      <c r="G54" t="s">
        <v>891</v>
      </c>
      <c r="H54" s="1">
        <f>VLOOKUP(tbl_details5[[#This Row],[Order ID]],Orders!A:F,2,FALSE)</f>
        <v>43212</v>
      </c>
      <c r="I54" s="1" t="str">
        <f>TEXT(tbl_details5[[#This Row],[Order Date]],"mmm-yy")</f>
        <v>Apr-18</v>
      </c>
      <c r="J54" t="str">
        <f>VLOOKUP(tbl_details5[[#This Row],[Order ID]],Table1[],4,FALSE)</f>
        <v>Monisha</v>
      </c>
      <c r="K54" t="str">
        <f>VLOOKUP(tbl_details5[[#This Row],[Order ID]],Table1[],5,FALSE)</f>
        <v>Rajasthan</v>
      </c>
      <c r="L54" t="str">
        <f>VLOOKUP(tbl_details5[[#This Row],[Order ID]],Table1[],6,FALSE)</f>
        <v>Jaipur</v>
      </c>
    </row>
    <row r="55" spans="1:12" x14ac:dyDescent="0.25">
      <c r="A55" t="s">
        <v>83</v>
      </c>
      <c r="B55" s="4">
        <v>53</v>
      </c>
      <c r="C55" s="4">
        <v>1</v>
      </c>
      <c r="D55" s="5">
        <f>tbl_details5[[#This Row],[Profit]]/tbl_details5[[#This Row],[Revenue]]</f>
        <v>1.8867924528301886E-2</v>
      </c>
      <c r="E55">
        <v>4</v>
      </c>
      <c r="F55" t="s">
        <v>885</v>
      </c>
      <c r="G55" t="s">
        <v>886</v>
      </c>
      <c r="H55" s="1">
        <f>VLOOKUP(tbl_details5[[#This Row],[Order ID]],Orders!A:F,2,FALSE)</f>
        <v>43212</v>
      </c>
      <c r="I55" s="1" t="str">
        <f>TEXT(tbl_details5[[#This Row],[Order Date]],"mmm-yy")</f>
        <v>Apr-18</v>
      </c>
      <c r="J55" t="str">
        <f>VLOOKUP(tbl_details5[[#This Row],[Order ID]],Table1[],4,FALSE)</f>
        <v>Atharv</v>
      </c>
      <c r="K55" t="str">
        <f>VLOOKUP(tbl_details5[[#This Row],[Order ID]],Table1[],5,FALSE)</f>
        <v>West Bengal</v>
      </c>
      <c r="L55" t="str">
        <f>VLOOKUP(tbl_details5[[#This Row],[Order ID]],Table1[],6,FALSE)</f>
        <v>Kolkata</v>
      </c>
    </row>
    <row r="56" spans="1:12" x14ac:dyDescent="0.25">
      <c r="A56" t="s">
        <v>83</v>
      </c>
      <c r="B56" s="4">
        <v>158</v>
      </c>
      <c r="C56" s="4">
        <v>69</v>
      </c>
      <c r="D56" s="5">
        <f>tbl_details5[[#This Row],[Profit]]/tbl_details5[[#This Row],[Revenue]]</f>
        <v>0.43670886075949367</v>
      </c>
      <c r="E56">
        <v>3</v>
      </c>
      <c r="F56" t="s">
        <v>885</v>
      </c>
      <c r="G56" t="s">
        <v>886</v>
      </c>
      <c r="H56" s="1">
        <f>VLOOKUP(tbl_details5[[#This Row],[Order ID]],Orders!A:F,2,FALSE)</f>
        <v>43212</v>
      </c>
      <c r="I56" s="1" t="str">
        <f>TEXT(tbl_details5[[#This Row],[Order Date]],"mmm-yy")</f>
        <v>Apr-18</v>
      </c>
      <c r="J56" t="str">
        <f>VLOOKUP(tbl_details5[[#This Row],[Order ID]],Table1[],4,FALSE)</f>
        <v>Atharv</v>
      </c>
      <c r="K56" t="str">
        <f>VLOOKUP(tbl_details5[[#This Row],[Order ID]],Table1[],5,FALSE)</f>
        <v>West Bengal</v>
      </c>
      <c r="L56" t="str">
        <f>VLOOKUP(tbl_details5[[#This Row],[Order ID]],Table1[],6,FALSE)</f>
        <v>Kolkata</v>
      </c>
    </row>
    <row r="57" spans="1:12" x14ac:dyDescent="0.25">
      <c r="A57" t="s">
        <v>83</v>
      </c>
      <c r="B57" s="4">
        <v>149</v>
      </c>
      <c r="C57" s="4">
        <v>-87</v>
      </c>
      <c r="D57" s="5">
        <f>tbl_details5[[#This Row],[Profit]]/tbl_details5[[#This Row],[Revenue]]</f>
        <v>-0.58389261744966447</v>
      </c>
      <c r="E57">
        <v>4</v>
      </c>
      <c r="F57" t="s">
        <v>885</v>
      </c>
      <c r="G57" t="s">
        <v>891</v>
      </c>
      <c r="H57" s="1">
        <f>VLOOKUP(tbl_details5[[#This Row],[Order ID]],Orders!A:F,2,FALSE)</f>
        <v>43212</v>
      </c>
      <c r="I57" s="1" t="str">
        <f>TEXT(tbl_details5[[#This Row],[Order Date]],"mmm-yy")</f>
        <v>Apr-18</v>
      </c>
      <c r="J57" t="str">
        <f>VLOOKUP(tbl_details5[[#This Row],[Order ID]],Table1[],4,FALSE)</f>
        <v>Atharv</v>
      </c>
      <c r="K57" t="str">
        <f>VLOOKUP(tbl_details5[[#This Row],[Order ID]],Table1[],5,FALSE)</f>
        <v>West Bengal</v>
      </c>
      <c r="L57" t="str">
        <f>VLOOKUP(tbl_details5[[#This Row],[Order ID]],Table1[],6,FALSE)</f>
        <v>Kolkata</v>
      </c>
    </row>
    <row r="58" spans="1:12" x14ac:dyDescent="0.25">
      <c r="A58" t="s">
        <v>83</v>
      </c>
      <c r="B58" s="4">
        <v>105</v>
      </c>
      <c r="C58" s="4">
        <v>20</v>
      </c>
      <c r="D58" s="5">
        <f>tbl_details5[[#This Row],[Profit]]/tbl_details5[[#This Row],[Revenue]]</f>
        <v>0.19047619047619047</v>
      </c>
      <c r="E58">
        <v>2</v>
      </c>
      <c r="F58" t="s">
        <v>885</v>
      </c>
      <c r="G58" t="s">
        <v>886</v>
      </c>
      <c r="H58" s="1">
        <f>VLOOKUP(tbl_details5[[#This Row],[Order ID]],Orders!A:F,2,FALSE)</f>
        <v>43212</v>
      </c>
      <c r="I58" s="1" t="str">
        <f>TEXT(tbl_details5[[#This Row],[Order Date]],"mmm-yy")</f>
        <v>Apr-18</v>
      </c>
      <c r="J58" t="str">
        <f>VLOOKUP(tbl_details5[[#This Row],[Order ID]],Table1[],4,FALSE)</f>
        <v>Atharv</v>
      </c>
      <c r="K58" t="str">
        <f>VLOOKUP(tbl_details5[[#This Row],[Order ID]],Table1[],5,FALSE)</f>
        <v>West Bengal</v>
      </c>
      <c r="L58" t="str">
        <f>VLOOKUP(tbl_details5[[#This Row],[Order ID]],Table1[],6,FALSE)</f>
        <v>Kolkata</v>
      </c>
    </row>
    <row r="59" spans="1:12" x14ac:dyDescent="0.25">
      <c r="A59" t="s">
        <v>85</v>
      </c>
      <c r="B59" s="4">
        <v>26</v>
      </c>
      <c r="C59" s="4">
        <v>12</v>
      </c>
      <c r="D59" s="5">
        <f>tbl_details5[[#This Row],[Profit]]/tbl_details5[[#This Row],[Revenue]]</f>
        <v>0.46153846153846156</v>
      </c>
      <c r="E59">
        <v>3</v>
      </c>
      <c r="F59" t="s">
        <v>885</v>
      </c>
      <c r="G59" t="s">
        <v>887</v>
      </c>
      <c r="H59" s="1">
        <f>VLOOKUP(tbl_details5[[#This Row],[Order ID]],Orders!A:F,2,FALSE)</f>
        <v>43212</v>
      </c>
      <c r="I59" s="1" t="str">
        <f>TEXT(tbl_details5[[#This Row],[Order Date]],"mmm-yy")</f>
        <v>Apr-18</v>
      </c>
      <c r="J59" t="str">
        <f>VLOOKUP(tbl_details5[[#This Row],[Order ID]],Table1[],4,FALSE)</f>
        <v>Vini</v>
      </c>
      <c r="K59" t="str">
        <f>VLOOKUP(tbl_details5[[#This Row],[Order ID]],Table1[],5,FALSE)</f>
        <v>Karnataka</v>
      </c>
      <c r="L59" t="str">
        <f>VLOOKUP(tbl_details5[[#This Row],[Order ID]],Table1[],6,FALSE)</f>
        <v>Bangalore</v>
      </c>
    </row>
    <row r="60" spans="1:12" x14ac:dyDescent="0.25">
      <c r="A60" t="s">
        <v>87</v>
      </c>
      <c r="B60" s="4">
        <v>97</v>
      </c>
      <c r="C60" s="4">
        <v>29</v>
      </c>
      <c r="D60" s="5">
        <f>tbl_details5[[#This Row],[Profit]]/tbl_details5[[#This Row],[Revenue]]</f>
        <v>0.29896907216494845</v>
      </c>
      <c r="E60">
        <v>2</v>
      </c>
      <c r="F60" t="s">
        <v>885</v>
      </c>
      <c r="G60" t="s">
        <v>887</v>
      </c>
      <c r="H60" s="1">
        <f>VLOOKUP(tbl_details5[[#This Row],[Order ID]],Orders!A:F,2,FALSE)</f>
        <v>43213</v>
      </c>
      <c r="I60" s="1" t="str">
        <f>TEXT(tbl_details5[[#This Row],[Order Date]],"mmm-yy")</f>
        <v>Apr-18</v>
      </c>
      <c r="J60" t="str">
        <f>VLOOKUP(tbl_details5[[#This Row],[Order ID]],Table1[],4,FALSE)</f>
        <v>Pinky</v>
      </c>
      <c r="K60" t="str">
        <f>VLOOKUP(tbl_details5[[#This Row],[Order ID]],Table1[],5,FALSE)</f>
        <v>Jammu and Kashmir</v>
      </c>
      <c r="L60" t="str">
        <f>VLOOKUP(tbl_details5[[#This Row],[Order ID]],Table1[],6,FALSE)</f>
        <v>Kashmir</v>
      </c>
    </row>
    <row r="61" spans="1:12" x14ac:dyDescent="0.25">
      <c r="A61" t="s">
        <v>87</v>
      </c>
      <c r="B61" s="4">
        <v>59</v>
      </c>
      <c r="C61" s="4">
        <v>30</v>
      </c>
      <c r="D61" s="5">
        <f>tbl_details5[[#This Row],[Profit]]/tbl_details5[[#This Row],[Revenue]]</f>
        <v>0.50847457627118642</v>
      </c>
      <c r="E61">
        <v>3</v>
      </c>
      <c r="F61" t="s">
        <v>885</v>
      </c>
      <c r="G61" t="s">
        <v>897</v>
      </c>
      <c r="H61" s="1">
        <f>VLOOKUP(tbl_details5[[#This Row],[Order ID]],Orders!A:F,2,FALSE)</f>
        <v>43213</v>
      </c>
      <c r="I61" s="1" t="str">
        <f>TEXT(tbl_details5[[#This Row],[Order Date]],"mmm-yy")</f>
        <v>Apr-18</v>
      </c>
      <c r="J61" t="str">
        <f>VLOOKUP(tbl_details5[[#This Row],[Order ID]],Table1[],4,FALSE)</f>
        <v>Pinky</v>
      </c>
      <c r="K61" t="str">
        <f>VLOOKUP(tbl_details5[[#This Row],[Order ID]],Table1[],5,FALSE)</f>
        <v>Jammu and Kashmir</v>
      </c>
      <c r="L61" t="str">
        <f>VLOOKUP(tbl_details5[[#This Row],[Order ID]],Table1[],6,FALSE)</f>
        <v>Kashmir</v>
      </c>
    </row>
    <row r="62" spans="1:12" x14ac:dyDescent="0.25">
      <c r="A62" t="s">
        <v>87</v>
      </c>
      <c r="B62" s="4">
        <v>635</v>
      </c>
      <c r="C62" s="4">
        <v>-349</v>
      </c>
      <c r="D62" s="5">
        <f>tbl_details5[[#This Row],[Profit]]/tbl_details5[[#This Row],[Revenue]]</f>
        <v>-0.5496062992125984</v>
      </c>
      <c r="E62">
        <v>5</v>
      </c>
      <c r="F62" t="s">
        <v>885</v>
      </c>
      <c r="G62" t="s">
        <v>891</v>
      </c>
      <c r="H62" s="1">
        <f>VLOOKUP(tbl_details5[[#This Row],[Order ID]],Orders!A:F,2,FALSE)</f>
        <v>43213</v>
      </c>
      <c r="I62" s="1" t="str">
        <f>TEXT(tbl_details5[[#This Row],[Order Date]],"mmm-yy")</f>
        <v>Apr-18</v>
      </c>
      <c r="J62" t="str">
        <f>VLOOKUP(tbl_details5[[#This Row],[Order ID]],Table1[],4,FALSE)</f>
        <v>Pinky</v>
      </c>
      <c r="K62" t="str">
        <f>VLOOKUP(tbl_details5[[#This Row],[Order ID]],Table1[],5,FALSE)</f>
        <v>Jammu and Kashmir</v>
      </c>
      <c r="L62" t="str">
        <f>VLOOKUP(tbl_details5[[#This Row],[Order ID]],Table1[],6,FALSE)</f>
        <v>Kashmir</v>
      </c>
    </row>
    <row r="63" spans="1:12" x14ac:dyDescent="0.25">
      <c r="A63" t="s">
        <v>89</v>
      </c>
      <c r="B63" s="4">
        <v>46</v>
      </c>
      <c r="C63" s="4">
        <v>-14</v>
      </c>
      <c r="D63" s="5">
        <f>tbl_details5[[#This Row],[Profit]]/tbl_details5[[#This Row],[Revenue]]</f>
        <v>-0.30434782608695654</v>
      </c>
      <c r="E63">
        <v>1</v>
      </c>
      <c r="F63" t="s">
        <v>888</v>
      </c>
      <c r="G63" t="s">
        <v>890</v>
      </c>
      <c r="H63" s="1">
        <f>VLOOKUP(tbl_details5[[#This Row],[Order ID]],Orders!A:F,2,FALSE)</f>
        <v>43213</v>
      </c>
      <c r="I63" s="1" t="str">
        <f>TEXT(tbl_details5[[#This Row],[Order Date]],"mmm-yy")</f>
        <v>Apr-18</v>
      </c>
      <c r="J63" t="str">
        <f>VLOOKUP(tbl_details5[[#This Row],[Order ID]],Table1[],4,FALSE)</f>
        <v>Bhishm</v>
      </c>
      <c r="K63" t="str">
        <f>VLOOKUP(tbl_details5[[#This Row],[Order ID]],Table1[],5,FALSE)</f>
        <v>Maharashtra</v>
      </c>
      <c r="L63" t="str">
        <f>VLOOKUP(tbl_details5[[#This Row],[Order ID]],Table1[],6,FALSE)</f>
        <v>Mumbai</v>
      </c>
    </row>
    <row r="64" spans="1:12" x14ac:dyDescent="0.25">
      <c r="A64" t="s">
        <v>89</v>
      </c>
      <c r="B64" s="4">
        <v>1103</v>
      </c>
      <c r="C64" s="4">
        <v>-276</v>
      </c>
      <c r="D64" s="5">
        <f>tbl_details5[[#This Row],[Profit]]/tbl_details5[[#This Row],[Revenue]]</f>
        <v>-0.25022665457842247</v>
      </c>
      <c r="E64">
        <v>3</v>
      </c>
      <c r="F64" t="s">
        <v>883</v>
      </c>
      <c r="G64" t="s">
        <v>893</v>
      </c>
      <c r="H64" s="1">
        <f>VLOOKUP(tbl_details5[[#This Row],[Order ID]],Orders!A:F,2,FALSE)</f>
        <v>43213</v>
      </c>
      <c r="I64" s="1" t="str">
        <f>TEXT(tbl_details5[[#This Row],[Order Date]],"mmm-yy")</f>
        <v>Apr-18</v>
      </c>
      <c r="J64" t="str">
        <f>VLOOKUP(tbl_details5[[#This Row],[Order ID]],Table1[],4,FALSE)</f>
        <v>Bhishm</v>
      </c>
      <c r="K64" t="str">
        <f>VLOOKUP(tbl_details5[[#This Row],[Order ID]],Table1[],5,FALSE)</f>
        <v>Maharashtra</v>
      </c>
      <c r="L64" t="str">
        <f>VLOOKUP(tbl_details5[[#This Row],[Order ID]],Table1[],6,FALSE)</f>
        <v>Mumbai</v>
      </c>
    </row>
    <row r="65" spans="1:12" x14ac:dyDescent="0.25">
      <c r="A65" t="s">
        <v>92</v>
      </c>
      <c r="B65" s="4">
        <v>55</v>
      </c>
      <c r="C65" s="4">
        <v>-39</v>
      </c>
      <c r="D65" s="5">
        <f>tbl_details5[[#This Row],[Profit]]/tbl_details5[[#This Row],[Revenue]]</f>
        <v>-0.70909090909090911</v>
      </c>
      <c r="E65">
        <v>4</v>
      </c>
      <c r="F65" t="s">
        <v>885</v>
      </c>
      <c r="G65" t="s">
        <v>886</v>
      </c>
      <c r="H65" s="1">
        <f>VLOOKUP(tbl_details5[[#This Row],[Order ID]],Orders!A:F,2,FALSE)</f>
        <v>43213</v>
      </c>
      <c r="I65" s="1" t="str">
        <f>TEXT(tbl_details5[[#This Row],[Order Date]],"mmm-yy")</f>
        <v>Apr-18</v>
      </c>
      <c r="J65" t="str">
        <f>VLOOKUP(tbl_details5[[#This Row],[Order ID]],Table1[],4,FALSE)</f>
        <v>Hitika</v>
      </c>
      <c r="K65" t="str">
        <f>VLOOKUP(tbl_details5[[#This Row],[Order ID]],Table1[],5,FALSE)</f>
        <v>Madhya Pradesh</v>
      </c>
      <c r="L65" t="str">
        <f>VLOOKUP(tbl_details5[[#This Row],[Order ID]],Table1[],6,FALSE)</f>
        <v>Indore</v>
      </c>
    </row>
    <row r="66" spans="1:12" x14ac:dyDescent="0.25">
      <c r="A66" t="s">
        <v>95</v>
      </c>
      <c r="B66" s="4">
        <v>45</v>
      </c>
      <c r="C66" s="4">
        <v>13</v>
      </c>
      <c r="D66" s="5">
        <f>tbl_details5[[#This Row],[Profit]]/tbl_details5[[#This Row],[Revenue]]</f>
        <v>0.28888888888888886</v>
      </c>
      <c r="E66">
        <v>4</v>
      </c>
      <c r="F66" t="s">
        <v>885</v>
      </c>
      <c r="G66" t="s">
        <v>902</v>
      </c>
      <c r="H66" s="1">
        <f>VLOOKUP(tbl_details5[[#This Row],[Order ID]],Orders!A:F,2,FALSE)</f>
        <v>43214</v>
      </c>
      <c r="I66" s="1" t="str">
        <f>TEXT(tbl_details5[[#This Row],[Order Date]],"mmm-yy")</f>
        <v>Apr-18</v>
      </c>
      <c r="J66" t="str">
        <f>VLOOKUP(tbl_details5[[#This Row],[Order ID]],Table1[],4,FALSE)</f>
        <v>Pooja</v>
      </c>
      <c r="K66" t="str">
        <f>VLOOKUP(tbl_details5[[#This Row],[Order ID]],Table1[],5,FALSE)</f>
        <v>Bihar</v>
      </c>
      <c r="L66" t="str">
        <f>VLOOKUP(tbl_details5[[#This Row],[Order ID]],Table1[],6,FALSE)</f>
        <v>Patna</v>
      </c>
    </row>
    <row r="67" spans="1:12" x14ac:dyDescent="0.25">
      <c r="A67" t="s">
        <v>95</v>
      </c>
      <c r="B67" s="4">
        <v>24</v>
      </c>
      <c r="C67" s="4">
        <v>-9</v>
      </c>
      <c r="D67" s="5">
        <f>tbl_details5[[#This Row],[Profit]]/tbl_details5[[#This Row],[Revenue]]</f>
        <v>-0.375</v>
      </c>
      <c r="E67">
        <v>4</v>
      </c>
      <c r="F67" t="s">
        <v>885</v>
      </c>
      <c r="G67" t="s">
        <v>891</v>
      </c>
      <c r="H67" s="1">
        <f>VLOOKUP(tbl_details5[[#This Row],[Order ID]],Orders!A:F,2,FALSE)</f>
        <v>43214</v>
      </c>
      <c r="I67" s="1" t="str">
        <f>TEXT(tbl_details5[[#This Row],[Order Date]],"mmm-yy")</f>
        <v>Apr-18</v>
      </c>
      <c r="J67" t="str">
        <f>VLOOKUP(tbl_details5[[#This Row],[Order ID]],Table1[],4,FALSE)</f>
        <v>Pooja</v>
      </c>
      <c r="K67" t="str">
        <f>VLOOKUP(tbl_details5[[#This Row],[Order ID]],Table1[],5,FALSE)</f>
        <v>Bihar</v>
      </c>
      <c r="L67" t="str">
        <f>VLOOKUP(tbl_details5[[#This Row],[Order ID]],Table1[],6,FALSE)</f>
        <v>Patna</v>
      </c>
    </row>
    <row r="68" spans="1:12" x14ac:dyDescent="0.25">
      <c r="A68" t="s">
        <v>95</v>
      </c>
      <c r="B68" s="4">
        <v>35</v>
      </c>
      <c r="C68" s="4">
        <v>-8</v>
      </c>
      <c r="D68" s="5">
        <f>tbl_details5[[#This Row],[Profit]]/tbl_details5[[#This Row],[Revenue]]</f>
        <v>-0.22857142857142856</v>
      </c>
      <c r="E68">
        <v>2</v>
      </c>
      <c r="F68" t="s">
        <v>883</v>
      </c>
      <c r="G68" t="s">
        <v>901</v>
      </c>
      <c r="H68" s="1">
        <f>VLOOKUP(tbl_details5[[#This Row],[Order ID]],Orders!A:F,2,FALSE)</f>
        <v>43214</v>
      </c>
      <c r="I68" s="1" t="str">
        <f>TEXT(tbl_details5[[#This Row],[Order Date]],"mmm-yy")</f>
        <v>Apr-18</v>
      </c>
      <c r="J68" t="str">
        <f>VLOOKUP(tbl_details5[[#This Row],[Order ID]],Table1[],4,FALSE)</f>
        <v>Pooja</v>
      </c>
      <c r="K68" t="str">
        <f>VLOOKUP(tbl_details5[[#This Row],[Order ID]],Table1[],5,FALSE)</f>
        <v>Bihar</v>
      </c>
      <c r="L68" t="str">
        <f>VLOOKUP(tbl_details5[[#This Row],[Order ID]],Table1[],6,FALSE)</f>
        <v>Patna</v>
      </c>
    </row>
    <row r="69" spans="1:12" x14ac:dyDescent="0.25">
      <c r="A69" t="s">
        <v>97</v>
      </c>
      <c r="B69" s="4">
        <v>1560</v>
      </c>
      <c r="C69" s="4">
        <v>421</v>
      </c>
      <c r="D69" s="5">
        <f>tbl_details5[[#This Row],[Profit]]/tbl_details5[[#This Row],[Revenue]]</f>
        <v>0.26987179487179486</v>
      </c>
      <c r="E69">
        <v>3</v>
      </c>
      <c r="F69" t="s">
        <v>885</v>
      </c>
      <c r="G69" t="s">
        <v>892</v>
      </c>
      <c r="H69" s="1">
        <f>VLOOKUP(tbl_details5[[#This Row],[Order ID]],Orders!A:F,2,FALSE)</f>
        <v>43214</v>
      </c>
      <c r="I69" s="1" t="str">
        <f>TEXT(tbl_details5[[#This Row],[Order Date]],"mmm-yy")</f>
        <v>Apr-18</v>
      </c>
      <c r="J69" t="str">
        <f>VLOOKUP(tbl_details5[[#This Row],[Order ID]],Table1[],4,FALSE)</f>
        <v>Hemant</v>
      </c>
      <c r="K69" t="str">
        <f>VLOOKUP(tbl_details5[[#This Row],[Order ID]],Table1[],5,FALSE)</f>
        <v xml:space="preserve">Kerala </v>
      </c>
      <c r="L69" t="str">
        <f>VLOOKUP(tbl_details5[[#This Row],[Order ID]],Table1[],6,FALSE)</f>
        <v>Thiruvananthapuram</v>
      </c>
    </row>
    <row r="70" spans="1:12" x14ac:dyDescent="0.25">
      <c r="A70" t="s">
        <v>99</v>
      </c>
      <c r="B70" s="4">
        <v>133</v>
      </c>
      <c r="C70" s="4">
        <v>12</v>
      </c>
      <c r="D70" s="5">
        <f>tbl_details5[[#This Row],[Profit]]/tbl_details5[[#This Row],[Revenue]]</f>
        <v>9.0225563909774431E-2</v>
      </c>
      <c r="E70">
        <v>5</v>
      </c>
      <c r="F70" t="s">
        <v>885</v>
      </c>
      <c r="G70" t="s">
        <v>886</v>
      </c>
      <c r="H70" s="1">
        <f>VLOOKUP(tbl_details5[[#This Row],[Order ID]],Orders!A:F,2,FALSE)</f>
        <v>43214</v>
      </c>
      <c r="I70" s="1" t="str">
        <f>TEXT(tbl_details5[[#This Row],[Order Date]],"mmm-yy")</f>
        <v>Apr-18</v>
      </c>
      <c r="J70" t="str">
        <f>VLOOKUP(tbl_details5[[#This Row],[Order ID]],Table1[],4,FALSE)</f>
        <v>Sahil</v>
      </c>
      <c r="K70" t="str">
        <f>VLOOKUP(tbl_details5[[#This Row],[Order ID]],Table1[],5,FALSE)</f>
        <v>Punjab</v>
      </c>
      <c r="L70" t="str">
        <f>VLOOKUP(tbl_details5[[#This Row],[Order ID]],Table1[],6,FALSE)</f>
        <v>Chandigarh</v>
      </c>
    </row>
    <row r="71" spans="1:12" x14ac:dyDescent="0.25">
      <c r="A71" t="s">
        <v>99</v>
      </c>
      <c r="B71" s="4">
        <v>114</v>
      </c>
      <c r="C71" s="4">
        <v>-39</v>
      </c>
      <c r="D71" s="5">
        <f>tbl_details5[[#This Row],[Profit]]/tbl_details5[[#This Row],[Revenue]]</f>
        <v>-0.34210526315789475</v>
      </c>
      <c r="E71">
        <v>5</v>
      </c>
      <c r="F71" t="s">
        <v>885</v>
      </c>
      <c r="G71" t="s">
        <v>894</v>
      </c>
      <c r="H71" s="1">
        <f>VLOOKUP(tbl_details5[[#This Row],[Order ID]],Orders!A:F,2,FALSE)</f>
        <v>43214</v>
      </c>
      <c r="I71" s="1" t="str">
        <f>TEXT(tbl_details5[[#This Row],[Order Date]],"mmm-yy")</f>
        <v>Apr-18</v>
      </c>
      <c r="J71" t="str">
        <f>VLOOKUP(tbl_details5[[#This Row],[Order ID]],Table1[],4,FALSE)</f>
        <v>Sahil</v>
      </c>
      <c r="K71" t="str">
        <f>VLOOKUP(tbl_details5[[#This Row],[Order ID]],Table1[],5,FALSE)</f>
        <v>Punjab</v>
      </c>
      <c r="L71" t="str">
        <f>VLOOKUP(tbl_details5[[#This Row],[Order ID]],Table1[],6,FALSE)</f>
        <v>Chandigarh</v>
      </c>
    </row>
    <row r="72" spans="1:12" x14ac:dyDescent="0.25">
      <c r="A72" t="s">
        <v>99</v>
      </c>
      <c r="B72" s="4">
        <v>143</v>
      </c>
      <c r="C72" s="4">
        <v>-129</v>
      </c>
      <c r="D72" s="5">
        <f>tbl_details5[[#This Row],[Profit]]/tbl_details5[[#This Row],[Revenue]]</f>
        <v>-0.90209790209790208</v>
      </c>
      <c r="E72">
        <v>2</v>
      </c>
      <c r="F72" t="s">
        <v>888</v>
      </c>
      <c r="G72" t="s">
        <v>890</v>
      </c>
      <c r="H72" s="1">
        <f>VLOOKUP(tbl_details5[[#This Row],[Order ID]],Orders!A:F,2,FALSE)</f>
        <v>43214</v>
      </c>
      <c r="I72" s="1" t="str">
        <f>TEXT(tbl_details5[[#This Row],[Order Date]],"mmm-yy")</f>
        <v>Apr-18</v>
      </c>
      <c r="J72" t="str">
        <f>VLOOKUP(tbl_details5[[#This Row],[Order ID]],Table1[],4,FALSE)</f>
        <v>Sahil</v>
      </c>
      <c r="K72" t="str">
        <f>VLOOKUP(tbl_details5[[#This Row],[Order ID]],Table1[],5,FALSE)</f>
        <v>Punjab</v>
      </c>
      <c r="L72" t="str">
        <f>VLOOKUP(tbl_details5[[#This Row],[Order ID]],Table1[],6,FALSE)</f>
        <v>Chandigarh</v>
      </c>
    </row>
    <row r="73" spans="1:12" x14ac:dyDescent="0.25">
      <c r="A73" t="s">
        <v>99</v>
      </c>
      <c r="B73" s="4">
        <v>40</v>
      </c>
      <c r="C73" s="4">
        <v>-7</v>
      </c>
      <c r="D73" s="5">
        <f>tbl_details5[[#This Row],[Profit]]/tbl_details5[[#This Row],[Revenue]]</f>
        <v>-0.17499999999999999</v>
      </c>
      <c r="E73">
        <v>3</v>
      </c>
      <c r="F73" t="s">
        <v>885</v>
      </c>
      <c r="G73" t="s">
        <v>886</v>
      </c>
      <c r="H73" s="1">
        <f>VLOOKUP(tbl_details5[[#This Row],[Order ID]],Orders!A:F,2,FALSE)</f>
        <v>43214</v>
      </c>
      <c r="I73" s="1" t="str">
        <f>TEXT(tbl_details5[[#This Row],[Order Date]],"mmm-yy")</f>
        <v>Apr-18</v>
      </c>
      <c r="J73" t="str">
        <f>VLOOKUP(tbl_details5[[#This Row],[Order ID]],Table1[],4,FALSE)</f>
        <v>Sahil</v>
      </c>
      <c r="K73" t="str">
        <f>VLOOKUP(tbl_details5[[#This Row],[Order ID]],Table1[],5,FALSE)</f>
        <v>Punjab</v>
      </c>
      <c r="L73" t="str">
        <f>VLOOKUP(tbl_details5[[#This Row],[Order ID]],Table1[],6,FALSE)</f>
        <v>Chandigarh</v>
      </c>
    </row>
    <row r="74" spans="1:12" x14ac:dyDescent="0.25">
      <c r="A74" t="s">
        <v>99</v>
      </c>
      <c r="B74" s="4">
        <v>34</v>
      </c>
      <c r="C74" s="4">
        <v>-22</v>
      </c>
      <c r="D74" s="5">
        <f>tbl_details5[[#This Row],[Profit]]/tbl_details5[[#This Row],[Revenue]]</f>
        <v>-0.6470588235294118</v>
      </c>
      <c r="E74">
        <v>4</v>
      </c>
      <c r="F74" t="s">
        <v>885</v>
      </c>
      <c r="G74" t="s">
        <v>895</v>
      </c>
      <c r="H74" s="1">
        <f>VLOOKUP(tbl_details5[[#This Row],[Order ID]],Orders!A:F,2,FALSE)</f>
        <v>43214</v>
      </c>
      <c r="I74" s="1" t="str">
        <f>TEXT(tbl_details5[[#This Row],[Order Date]],"mmm-yy")</f>
        <v>Apr-18</v>
      </c>
      <c r="J74" t="str">
        <f>VLOOKUP(tbl_details5[[#This Row],[Order ID]],Table1[],4,FALSE)</f>
        <v>Sahil</v>
      </c>
      <c r="K74" t="str">
        <f>VLOOKUP(tbl_details5[[#This Row],[Order ID]],Table1[],5,FALSE)</f>
        <v>Punjab</v>
      </c>
      <c r="L74" t="str">
        <f>VLOOKUP(tbl_details5[[#This Row],[Order ID]],Table1[],6,FALSE)</f>
        <v>Chandigarh</v>
      </c>
    </row>
    <row r="75" spans="1:12" x14ac:dyDescent="0.25">
      <c r="A75" t="s">
        <v>99</v>
      </c>
      <c r="B75" s="4">
        <v>42</v>
      </c>
      <c r="C75" s="4">
        <v>-26</v>
      </c>
      <c r="D75" s="5">
        <f>tbl_details5[[#This Row],[Profit]]/tbl_details5[[#This Row],[Revenue]]</f>
        <v>-0.61904761904761907</v>
      </c>
      <c r="E75">
        <v>2</v>
      </c>
      <c r="F75" t="s">
        <v>885</v>
      </c>
      <c r="G75" t="s">
        <v>894</v>
      </c>
      <c r="H75" s="1">
        <f>VLOOKUP(tbl_details5[[#This Row],[Order ID]],Orders!A:F,2,FALSE)</f>
        <v>43214</v>
      </c>
      <c r="I75" s="1" t="str">
        <f>TEXT(tbl_details5[[#This Row],[Order Date]],"mmm-yy")</f>
        <v>Apr-18</v>
      </c>
      <c r="J75" t="str">
        <f>VLOOKUP(tbl_details5[[#This Row],[Order ID]],Table1[],4,FALSE)</f>
        <v>Sahil</v>
      </c>
      <c r="K75" t="str">
        <f>VLOOKUP(tbl_details5[[#This Row],[Order ID]],Table1[],5,FALSE)</f>
        <v>Punjab</v>
      </c>
      <c r="L75" t="str">
        <f>VLOOKUP(tbl_details5[[#This Row],[Order ID]],Table1[],6,FALSE)</f>
        <v>Chandigarh</v>
      </c>
    </row>
    <row r="76" spans="1:12" x14ac:dyDescent="0.25">
      <c r="A76" t="s">
        <v>101</v>
      </c>
      <c r="B76" s="4">
        <v>89</v>
      </c>
      <c r="C76" s="4">
        <v>-89</v>
      </c>
      <c r="D76" s="5">
        <f>tbl_details5[[#This Row],[Profit]]/tbl_details5[[#This Row],[Revenue]]</f>
        <v>-1</v>
      </c>
      <c r="E76">
        <v>2</v>
      </c>
      <c r="F76" t="s">
        <v>883</v>
      </c>
      <c r="G76" t="s">
        <v>901</v>
      </c>
      <c r="H76" s="1">
        <f>VLOOKUP(tbl_details5[[#This Row],[Order ID]],Orders!A:F,2,FALSE)</f>
        <v>43214</v>
      </c>
      <c r="I76" s="1" t="str">
        <f>TEXT(tbl_details5[[#This Row],[Order Date]],"mmm-yy")</f>
        <v>Apr-18</v>
      </c>
      <c r="J76" t="str">
        <f>VLOOKUP(tbl_details5[[#This Row],[Order ID]],Table1[],4,FALSE)</f>
        <v>Ritu</v>
      </c>
      <c r="K76" t="str">
        <f>VLOOKUP(tbl_details5[[#This Row],[Order ID]],Table1[],5,FALSE)</f>
        <v>Haryana</v>
      </c>
      <c r="L76" t="str">
        <f>VLOOKUP(tbl_details5[[#This Row],[Order ID]],Table1[],6,FALSE)</f>
        <v>Chandigarh</v>
      </c>
    </row>
    <row r="77" spans="1:12" x14ac:dyDescent="0.25">
      <c r="A77" t="s">
        <v>103</v>
      </c>
      <c r="B77" s="4">
        <v>19</v>
      </c>
      <c r="C77" s="4">
        <v>-2</v>
      </c>
      <c r="D77" s="5">
        <f>tbl_details5[[#This Row],[Profit]]/tbl_details5[[#This Row],[Revenue]]</f>
        <v>-0.10526315789473684</v>
      </c>
      <c r="E77">
        <v>2</v>
      </c>
      <c r="F77" t="s">
        <v>885</v>
      </c>
      <c r="G77" t="s">
        <v>897</v>
      </c>
      <c r="H77" s="1">
        <f>VLOOKUP(tbl_details5[[#This Row],[Order ID]],Orders!A:F,2,FALSE)</f>
        <v>43215</v>
      </c>
      <c r="I77" s="1" t="str">
        <f>TEXT(tbl_details5[[#This Row],[Order Date]],"mmm-yy")</f>
        <v>Apr-18</v>
      </c>
      <c r="J77" t="str">
        <f>VLOOKUP(tbl_details5[[#This Row],[Order ID]],Table1[],4,FALSE)</f>
        <v>Manish</v>
      </c>
      <c r="K77" t="str">
        <f>VLOOKUP(tbl_details5[[#This Row],[Order ID]],Table1[],5,FALSE)</f>
        <v>Himachal Pradesh</v>
      </c>
      <c r="L77" t="str">
        <f>VLOOKUP(tbl_details5[[#This Row],[Order ID]],Table1[],6,FALSE)</f>
        <v>Simla</v>
      </c>
    </row>
    <row r="78" spans="1:12" x14ac:dyDescent="0.25">
      <c r="A78" t="s">
        <v>105</v>
      </c>
      <c r="B78" s="4">
        <v>249</v>
      </c>
      <c r="C78" s="4">
        <v>-130</v>
      </c>
      <c r="D78" s="5">
        <f>tbl_details5[[#This Row],[Profit]]/tbl_details5[[#This Row],[Revenue]]</f>
        <v>-0.52208835341365467</v>
      </c>
      <c r="E78">
        <v>4</v>
      </c>
      <c r="F78" t="s">
        <v>888</v>
      </c>
      <c r="G78" t="s">
        <v>890</v>
      </c>
      <c r="H78" s="1">
        <f>VLOOKUP(tbl_details5[[#This Row],[Order ID]],Orders!A:F,2,FALSE)</f>
        <v>43216</v>
      </c>
      <c r="I78" s="1" t="str">
        <f>TEXT(tbl_details5[[#This Row],[Order Date]],"mmm-yy")</f>
        <v>Apr-18</v>
      </c>
      <c r="J78" t="str">
        <f>VLOOKUP(tbl_details5[[#This Row],[Order ID]],Table1[],4,FALSE)</f>
        <v>Amit</v>
      </c>
      <c r="K78" t="str">
        <f>VLOOKUP(tbl_details5[[#This Row],[Order ID]],Table1[],5,FALSE)</f>
        <v>Sikkim</v>
      </c>
      <c r="L78" t="str">
        <f>VLOOKUP(tbl_details5[[#This Row],[Order ID]],Table1[],6,FALSE)</f>
        <v>Gangtok</v>
      </c>
    </row>
    <row r="79" spans="1:12" x14ac:dyDescent="0.25">
      <c r="A79" t="s">
        <v>105</v>
      </c>
      <c r="B79" s="4">
        <v>711</v>
      </c>
      <c r="C79" s="4">
        <v>-8</v>
      </c>
      <c r="D79" s="5">
        <f>tbl_details5[[#This Row],[Profit]]/tbl_details5[[#This Row],[Revenue]]</f>
        <v>-1.1251758087201125E-2</v>
      </c>
      <c r="E79">
        <v>4</v>
      </c>
      <c r="F79" t="s">
        <v>885</v>
      </c>
      <c r="G79" t="s">
        <v>891</v>
      </c>
      <c r="H79" s="1">
        <f>VLOOKUP(tbl_details5[[#This Row],[Order ID]],Orders!A:F,2,FALSE)</f>
        <v>43216</v>
      </c>
      <c r="I79" s="1" t="str">
        <f>TEXT(tbl_details5[[#This Row],[Order Date]],"mmm-yy")</f>
        <v>Apr-18</v>
      </c>
      <c r="J79" t="str">
        <f>VLOOKUP(tbl_details5[[#This Row],[Order ID]],Table1[],4,FALSE)</f>
        <v>Amit</v>
      </c>
      <c r="K79" t="str">
        <f>VLOOKUP(tbl_details5[[#This Row],[Order ID]],Table1[],5,FALSE)</f>
        <v>Sikkim</v>
      </c>
      <c r="L79" t="str">
        <f>VLOOKUP(tbl_details5[[#This Row],[Order ID]],Table1[],6,FALSE)</f>
        <v>Gangtok</v>
      </c>
    </row>
    <row r="80" spans="1:12" x14ac:dyDescent="0.25">
      <c r="A80" t="s">
        <v>105</v>
      </c>
      <c r="B80" s="4">
        <v>496</v>
      </c>
      <c r="C80" s="4">
        <v>-79</v>
      </c>
      <c r="D80" s="5">
        <f>tbl_details5[[#This Row],[Profit]]/tbl_details5[[#This Row],[Revenue]]</f>
        <v>-0.15927419354838709</v>
      </c>
      <c r="E80">
        <v>2</v>
      </c>
      <c r="F80" t="s">
        <v>885</v>
      </c>
      <c r="G80" t="s">
        <v>892</v>
      </c>
      <c r="H80" s="1">
        <f>VLOOKUP(tbl_details5[[#This Row],[Order ID]],Orders!A:F,2,FALSE)</f>
        <v>43216</v>
      </c>
      <c r="I80" s="1" t="str">
        <f>TEXT(tbl_details5[[#This Row],[Order Date]],"mmm-yy")</f>
        <v>Apr-18</v>
      </c>
      <c r="J80" t="str">
        <f>VLOOKUP(tbl_details5[[#This Row],[Order ID]],Table1[],4,FALSE)</f>
        <v>Amit</v>
      </c>
      <c r="K80" t="str">
        <f>VLOOKUP(tbl_details5[[#This Row],[Order ID]],Table1[],5,FALSE)</f>
        <v>Sikkim</v>
      </c>
      <c r="L80" t="str">
        <f>VLOOKUP(tbl_details5[[#This Row],[Order ID]],Table1[],6,FALSE)</f>
        <v>Gangtok</v>
      </c>
    </row>
    <row r="81" spans="1:12" x14ac:dyDescent="0.25">
      <c r="A81" t="s">
        <v>107</v>
      </c>
      <c r="B81" s="4">
        <v>389</v>
      </c>
      <c r="C81" s="4">
        <v>-83</v>
      </c>
      <c r="D81" s="5">
        <f>tbl_details5[[#This Row],[Profit]]/tbl_details5[[#This Row],[Revenue]]</f>
        <v>-0.21336760925449871</v>
      </c>
      <c r="E81">
        <v>3</v>
      </c>
      <c r="F81" t="s">
        <v>883</v>
      </c>
      <c r="G81" t="s">
        <v>893</v>
      </c>
      <c r="H81" s="1">
        <f>VLOOKUP(tbl_details5[[#This Row],[Order ID]],Orders!A:F,2,FALSE)</f>
        <v>43216</v>
      </c>
      <c r="I81" s="1" t="str">
        <f>TEXT(tbl_details5[[#This Row],[Order Date]],"mmm-yy")</f>
        <v>Apr-18</v>
      </c>
      <c r="J81" t="str">
        <f>VLOOKUP(tbl_details5[[#This Row],[Order ID]],Table1[],4,FALSE)</f>
        <v>Sanjay</v>
      </c>
      <c r="K81" t="str">
        <f>VLOOKUP(tbl_details5[[#This Row],[Order ID]],Table1[],5,FALSE)</f>
        <v>Goa</v>
      </c>
      <c r="L81" t="str">
        <f>VLOOKUP(tbl_details5[[#This Row],[Order ID]],Table1[],6,FALSE)</f>
        <v>Goa</v>
      </c>
    </row>
    <row r="82" spans="1:12" x14ac:dyDescent="0.25">
      <c r="A82" t="s">
        <v>109</v>
      </c>
      <c r="B82" s="4">
        <v>40</v>
      </c>
      <c r="C82" s="4">
        <v>16</v>
      </c>
      <c r="D82" s="5">
        <f>tbl_details5[[#This Row],[Profit]]/tbl_details5[[#This Row],[Revenue]]</f>
        <v>0.4</v>
      </c>
      <c r="E82">
        <v>3</v>
      </c>
      <c r="F82" t="s">
        <v>885</v>
      </c>
      <c r="G82" t="s">
        <v>887</v>
      </c>
      <c r="H82" s="1">
        <f>VLOOKUP(tbl_details5[[#This Row],[Order ID]],Orders!A:F,2,FALSE)</f>
        <v>43216</v>
      </c>
      <c r="I82" s="1" t="str">
        <f>TEXT(tbl_details5[[#This Row],[Order Date]],"mmm-yy")</f>
        <v>Apr-18</v>
      </c>
      <c r="J82" t="str">
        <f>VLOOKUP(tbl_details5[[#This Row],[Order ID]],Table1[],4,FALSE)</f>
        <v>Nidhi</v>
      </c>
      <c r="K82" t="str">
        <f>VLOOKUP(tbl_details5[[#This Row],[Order ID]],Table1[],5,FALSE)</f>
        <v>Nagaland</v>
      </c>
      <c r="L82" t="str">
        <f>VLOOKUP(tbl_details5[[#This Row],[Order ID]],Table1[],6,FALSE)</f>
        <v>Kohima</v>
      </c>
    </row>
    <row r="83" spans="1:12" x14ac:dyDescent="0.25">
      <c r="A83" t="s">
        <v>109</v>
      </c>
      <c r="B83" s="4">
        <v>23</v>
      </c>
      <c r="C83" s="4">
        <v>2</v>
      </c>
      <c r="D83" s="5">
        <f>tbl_details5[[#This Row],[Profit]]/tbl_details5[[#This Row],[Revenue]]</f>
        <v>8.6956521739130432E-2</v>
      </c>
      <c r="E83">
        <v>2</v>
      </c>
      <c r="F83" t="s">
        <v>885</v>
      </c>
      <c r="G83" t="s">
        <v>902</v>
      </c>
      <c r="H83" s="1">
        <f>VLOOKUP(tbl_details5[[#This Row],[Order ID]],Orders!A:F,2,FALSE)</f>
        <v>43216</v>
      </c>
      <c r="I83" s="1" t="str">
        <f>TEXT(tbl_details5[[#This Row],[Order Date]],"mmm-yy")</f>
        <v>Apr-18</v>
      </c>
      <c r="J83" t="str">
        <f>VLOOKUP(tbl_details5[[#This Row],[Order ID]],Table1[],4,FALSE)</f>
        <v>Nidhi</v>
      </c>
      <c r="K83" t="str">
        <f>VLOOKUP(tbl_details5[[#This Row],[Order ID]],Table1[],5,FALSE)</f>
        <v>Nagaland</v>
      </c>
      <c r="L83" t="str">
        <f>VLOOKUP(tbl_details5[[#This Row],[Order ID]],Table1[],6,FALSE)</f>
        <v>Kohima</v>
      </c>
    </row>
    <row r="84" spans="1:12" x14ac:dyDescent="0.25">
      <c r="A84" t="s">
        <v>109</v>
      </c>
      <c r="B84" s="4">
        <v>382</v>
      </c>
      <c r="C84" s="4">
        <v>30</v>
      </c>
      <c r="D84" s="5">
        <f>tbl_details5[[#This Row],[Profit]]/tbl_details5[[#This Row],[Revenue]]</f>
        <v>7.8534031413612565E-2</v>
      </c>
      <c r="E84">
        <v>3</v>
      </c>
      <c r="F84" t="s">
        <v>885</v>
      </c>
      <c r="G84" t="s">
        <v>891</v>
      </c>
      <c r="H84" s="1">
        <f>VLOOKUP(tbl_details5[[#This Row],[Order ID]],Orders!A:F,2,FALSE)</f>
        <v>43216</v>
      </c>
      <c r="I84" s="1" t="str">
        <f>TEXT(tbl_details5[[#This Row],[Order Date]],"mmm-yy")</f>
        <v>Apr-18</v>
      </c>
      <c r="J84" t="str">
        <f>VLOOKUP(tbl_details5[[#This Row],[Order ID]],Table1[],4,FALSE)</f>
        <v>Nidhi</v>
      </c>
      <c r="K84" t="str">
        <f>VLOOKUP(tbl_details5[[#This Row],[Order ID]],Table1[],5,FALSE)</f>
        <v>Nagaland</v>
      </c>
      <c r="L84" t="str">
        <f>VLOOKUP(tbl_details5[[#This Row],[Order ID]],Table1[],6,FALSE)</f>
        <v>Kohima</v>
      </c>
    </row>
    <row r="85" spans="1:12" x14ac:dyDescent="0.25">
      <c r="A85" t="s">
        <v>111</v>
      </c>
      <c r="B85" s="4">
        <v>637</v>
      </c>
      <c r="C85" s="4">
        <v>113</v>
      </c>
      <c r="D85" s="5">
        <f>tbl_details5[[#This Row],[Profit]]/tbl_details5[[#This Row],[Revenue]]</f>
        <v>0.17739403453689168</v>
      </c>
      <c r="E85">
        <v>5</v>
      </c>
      <c r="F85" t="s">
        <v>885</v>
      </c>
      <c r="G85" t="s">
        <v>891</v>
      </c>
      <c r="H85" s="1">
        <f>VLOOKUP(tbl_details5[[#This Row],[Order ID]],Orders!A:F,2,FALSE)</f>
        <v>43216</v>
      </c>
      <c r="I85" s="1" t="str">
        <f>TEXT(tbl_details5[[#This Row],[Order Date]],"mmm-yy")</f>
        <v>Apr-18</v>
      </c>
      <c r="J85" t="str">
        <f>VLOOKUP(tbl_details5[[#This Row],[Order ID]],Table1[],4,FALSE)</f>
        <v>Nishi</v>
      </c>
      <c r="K85" t="str">
        <f>VLOOKUP(tbl_details5[[#This Row],[Order ID]],Table1[],5,FALSE)</f>
        <v>Maharashtra</v>
      </c>
      <c r="L85" t="str">
        <f>VLOOKUP(tbl_details5[[#This Row],[Order ID]],Table1[],6,FALSE)</f>
        <v>Mumbai</v>
      </c>
    </row>
    <row r="86" spans="1:12" x14ac:dyDescent="0.25">
      <c r="A86" t="s">
        <v>113</v>
      </c>
      <c r="B86" s="4">
        <v>117</v>
      </c>
      <c r="C86" s="4">
        <v>14</v>
      </c>
      <c r="D86" s="5">
        <f>tbl_details5[[#This Row],[Profit]]/tbl_details5[[#This Row],[Revenue]]</f>
        <v>0.11965811965811966</v>
      </c>
      <c r="E86">
        <v>3</v>
      </c>
      <c r="F86" t="s">
        <v>885</v>
      </c>
      <c r="G86" t="s">
        <v>896</v>
      </c>
      <c r="H86" s="1">
        <f>VLOOKUP(tbl_details5[[#This Row],[Order ID]],Orders!A:F,2,FALSE)</f>
        <v>43216</v>
      </c>
      <c r="I86" s="1" t="str">
        <f>TEXT(tbl_details5[[#This Row],[Order Date]],"mmm-yy")</f>
        <v>Apr-18</v>
      </c>
      <c r="J86" t="str">
        <f>VLOOKUP(tbl_details5[[#This Row],[Order ID]],Table1[],4,FALSE)</f>
        <v>Ashmi</v>
      </c>
      <c r="K86" t="str">
        <f>VLOOKUP(tbl_details5[[#This Row],[Order ID]],Table1[],5,FALSE)</f>
        <v>Madhya Pradesh</v>
      </c>
      <c r="L86" t="str">
        <f>VLOOKUP(tbl_details5[[#This Row],[Order ID]],Table1[],6,FALSE)</f>
        <v>Indore</v>
      </c>
    </row>
    <row r="87" spans="1:12" x14ac:dyDescent="0.25">
      <c r="A87" t="s">
        <v>115</v>
      </c>
      <c r="B87" s="4">
        <v>182</v>
      </c>
      <c r="C87" s="4">
        <v>-11</v>
      </c>
      <c r="D87" s="5">
        <f>tbl_details5[[#This Row],[Profit]]/tbl_details5[[#This Row],[Revenue]]</f>
        <v>-6.043956043956044E-2</v>
      </c>
      <c r="E87">
        <v>3</v>
      </c>
      <c r="F87" t="s">
        <v>883</v>
      </c>
      <c r="G87" t="s">
        <v>884</v>
      </c>
      <c r="H87" s="1">
        <f>VLOOKUP(tbl_details5[[#This Row],[Order ID]],Orders!A:F,2,FALSE)</f>
        <v>43216</v>
      </c>
      <c r="I87" s="1" t="str">
        <f>TEXT(tbl_details5[[#This Row],[Order Date]],"mmm-yy")</f>
        <v>Apr-18</v>
      </c>
      <c r="J87" t="str">
        <f>VLOOKUP(tbl_details5[[#This Row],[Order ID]],Table1[],4,FALSE)</f>
        <v>Parth</v>
      </c>
      <c r="K87" t="str">
        <f>VLOOKUP(tbl_details5[[#This Row],[Order ID]],Table1[],5,FALSE)</f>
        <v>Maharashtra</v>
      </c>
      <c r="L87" t="str">
        <f>VLOOKUP(tbl_details5[[#This Row],[Order ID]],Table1[],6,FALSE)</f>
        <v>Pune</v>
      </c>
    </row>
    <row r="88" spans="1:12" x14ac:dyDescent="0.25">
      <c r="A88" t="s">
        <v>115</v>
      </c>
      <c r="B88" s="4">
        <v>880</v>
      </c>
      <c r="C88" s="4">
        <v>97</v>
      </c>
      <c r="D88" s="5">
        <f>tbl_details5[[#This Row],[Profit]]/tbl_details5[[#This Row],[Revenue]]</f>
        <v>0.11022727272727273</v>
      </c>
      <c r="E88">
        <v>8</v>
      </c>
      <c r="F88" t="s">
        <v>883</v>
      </c>
      <c r="G88" t="s">
        <v>901</v>
      </c>
      <c r="H88" s="1">
        <f>VLOOKUP(tbl_details5[[#This Row],[Order ID]],Orders!A:F,2,FALSE)</f>
        <v>43216</v>
      </c>
      <c r="I88" s="1" t="str">
        <f>TEXT(tbl_details5[[#This Row],[Order Date]],"mmm-yy")</f>
        <v>Apr-18</v>
      </c>
      <c r="J88" t="str">
        <f>VLOOKUP(tbl_details5[[#This Row],[Order ID]],Table1[],4,FALSE)</f>
        <v>Parth</v>
      </c>
      <c r="K88" t="str">
        <f>VLOOKUP(tbl_details5[[#This Row],[Order ID]],Table1[],5,FALSE)</f>
        <v>Maharashtra</v>
      </c>
      <c r="L88" t="str">
        <f>VLOOKUP(tbl_details5[[#This Row],[Order ID]],Table1[],6,FALSE)</f>
        <v>Pune</v>
      </c>
    </row>
    <row r="89" spans="1:12" x14ac:dyDescent="0.25">
      <c r="A89" t="s">
        <v>115</v>
      </c>
      <c r="B89" s="4">
        <v>154</v>
      </c>
      <c r="C89" s="4">
        <v>39</v>
      </c>
      <c r="D89" s="5">
        <f>tbl_details5[[#This Row],[Profit]]/tbl_details5[[#This Row],[Revenue]]</f>
        <v>0.25324675324675322</v>
      </c>
      <c r="E89">
        <v>3</v>
      </c>
      <c r="F89" t="s">
        <v>885</v>
      </c>
      <c r="G89" t="s">
        <v>887</v>
      </c>
      <c r="H89" s="1">
        <f>VLOOKUP(tbl_details5[[#This Row],[Order ID]],Orders!A:F,2,FALSE)</f>
        <v>43216</v>
      </c>
      <c r="I89" s="1" t="str">
        <f>TEXT(tbl_details5[[#This Row],[Order Date]],"mmm-yy")</f>
        <v>Apr-18</v>
      </c>
      <c r="J89" t="str">
        <f>VLOOKUP(tbl_details5[[#This Row],[Order ID]],Table1[],4,FALSE)</f>
        <v>Parth</v>
      </c>
      <c r="K89" t="str">
        <f>VLOOKUP(tbl_details5[[#This Row],[Order ID]],Table1[],5,FALSE)</f>
        <v>Maharashtra</v>
      </c>
      <c r="L89" t="str">
        <f>VLOOKUP(tbl_details5[[#This Row],[Order ID]],Table1[],6,FALSE)</f>
        <v>Pune</v>
      </c>
    </row>
    <row r="90" spans="1:12" x14ac:dyDescent="0.25">
      <c r="A90" t="s">
        <v>115</v>
      </c>
      <c r="B90" s="4">
        <v>816</v>
      </c>
      <c r="C90" s="4">
        <v>-96</v>
      </c>
      <c r="D90" s="5">
        <f>tbl_details5[[#This Row],[Profit]]/tbl_details5[[#This Row],[Revenue]]</f>
        <v>-0.11764705882352941</v>
      </c>
      <c r="E90">
        <v>3</v>
      </c>
      <c r="F90" t="s">
        <v>888</v>
      </c>
      <c r="G90" t="s">
        <v>899</v>
      </c>
      <c r="H90" s="1">
        <f>VLOOKUP(tbl_details5[[#This Row],[Order ID]],Orders!A:F,2,FALSE)</f>
        <v>43216</v>
      </c>
      <c r="I90" s="1" t="str">
        <f>TEXT(tbl_details5[[#This Row],[Order Date]],"mmm-yy")</f>
        <v>Apr-18</v>
      </c>
      <c r="J90" t="str">
        <f>VLOOKUP(tbl_details5[[#This Row],[Order ID]],Table1[],4,FALSE)</f>
        <v>Parth</v>
      </c>
      <c r="K90" t="str">
        <f>VLOOKUP(tbl_details5[[#This Row],[Order ID]],Table1[],5,FALSE)</f>
        <v>Maharashtra</v>
      </c>
      <c r="L90" t="str">
        <f>VLOOKUP(tbl_details5[[#This Row],[Order ID]],Table1[],6,FALSE)</f>
        <v>Pune</v>
      </c>
    </row>
    <row r="91" spans="1:12" x14ac:dyDescent="0.25">
      <c r="A91" t="s">
        <v>117</v>
      </c>
      <c r="B91" s="4">
        <v>1629</v>
      </c>
      <c r="C91" s="4">
        <v>-153</v>
      </c>
      <c r="D91" s="5">
        <f>tbl_details5[[#This Row],[Profit]]/tbl_details5[[#This Row],[Revenue]]</f>
        <v>-9.3922651933701654E-2</v>
      </c>
      <c r="E91">
        <v>3</v>
      </c>
      <c r="F91" t="s">
        <v>888</v>
      </c>
      <c r="G91" t="s">
        <v>890</v>
      </c>
      <c r="H91" s="1">
        <f>VLOOKUP(tbl_details5[[#This Row],[Order ID]],Orders!A:F,2,FALSE)</f>
        <v>43217</v>
      </c>
      <c r="I91" s="1" t="str">
        <f>TEXT(tbl_details5[[#This Row],[Order Date]],"mmm-yy")</f>
        <v>Apr-18</v>
      </c>
      <c r="J91" t="str">
        <f>VLOOKUP(tbl_details5[[#This Row],[Order ID]],Table1[],4,FALSE)</f>
        <v>Lisha</v>
      </c>
      <c r="K91" t="str">
        <f>VLOOKUP(tbl_details5[[#This Row],[Order ID]],Table1[],5,FALSE)</f>
        <v>Madhya Pradesh</v>
      </c>
      <c r="L91" t="str">
        <f>VLOOKUP(tbl_details5[[#This Row],[Order ID]],Table1[],6,FALSE)</f>
        <v>Bhopal</v>
      </c>
    </row>
    <row r="92" spans="1:12" x14ac:dyDescent="0.25">
      <c r="A92" t="s">
        <v>119</v>
      </c>
      <c r="B92" s="4">
        <v>68</v>
      </c>
      <c r="C92" s="4">
        <v>-62</v>
      </c>
      <c r="D92" s="5">
        <f>tbl_details5[[#This Row],[Profit]]/tbl_details5[[#This Row],[Revenue]]</f>
        <v>-0.91176470588235292</v>
      </c>
      <c r="E92">
        <v>2</v>
      </c>
      <c r="F92" t="s">
        <v>885</v>
      </c>
      <c r="G92" t="s">
        <v>892</v>
      </c>
      <c r="H92" s="1">
        <f>VLOOKUP(tbl_details5[[#This Row],[Order ID]],Orders!A:F,2,FALSE)</f>
        <v>43217</v>
      </c>
      <c r="I92" s="1" t="str">
        <f>TEXT(tbl_details5[[#This Row],[Order Date]],"mmm-yy")</f>
        <v>Apr-18</v>
      </c>
      <c r="J92" t="str">
        <f>VLOOKUP(tbl_details5[[#This Row],[Order ID]],Table1[],4,FALSE)</f>
        <v>Paridhi</v>
      </c>
      <c r="K92" t="str">
        <f>VLOOKUP(tbl_details5[[#This Row],[Order ID]],Table1[],5,FALSE)</f>
        <v>Rajasthan</v>
      </c>
      <c r="L92" t="str">
        <f>VLOOKUP(tbl_details5[[#This Row],[Order ID]],Table1[],6,FALSE)</f>
        <v>Jaipur</v>
      </c>
    </row>
    <row r="93" spans="1:12" x14ac:dyDescent="0.25">
      <c r="A93" t="s">
        <v>119</v>
      </c>
      <c r="B93" s="4">
        <v>314</v>
      </c>
      <c r="C93" s="4">
        <v>-239</v>
      </c>
      <c r="D93" s="5">
        <f>tbl_details5[[#This Row],[Profit]]/tbl_details5[[#This Row],[Revenue]]</f>
        <v>-0.76114649681528668</v>
      </c>
      <c r="E93">
        <v>13</v>
      </c>
      <c r="F93" t="s">
        <v>885</v>
      </c>
      <c r="G93" t="s">
        <v>887</v>
      </c>
      <c r="H93" s="1">
        <f>VLOOKUP(tbl_details5[[#This Row],[Order ID]],Orders!A:F,2,FALSE)</f>
        <v>43217</v>
      </c>
      <c r="I93" s="1" t="str">
        <f>TEXT(tbl_details5[[#This Row],[Order Date]],"mmm-yy")</f>
        <v>Apr-18</v>
      </c>
      <c r="J93" t="str">
        <f>VLOOKUP(tbl_details5[[#This Row],[Order ID]],Table1[],4,FALSE)</f>
        <v>Paridhi</v>
      </c>
      <c r="K93" t="str">
        <f>VLOOKUP(tbl_details5[[#This Row],[Order ID]],Table1[],5,FALSE)</f>
        <v>Rajasthan</v>
      </c>
      <c r="L93" t="str">
        <f>VLOOKUP(tbl_details5[[#This Row],[Order ID]],Table1[],6,FALSE)</f>
        <v>Jaipur</v>
      </c>
    </row>
    <row r="94" spans="1:12" x14ac:dyDescent="0.25">
      <c r="A94" t="s">
        <v>119</v>
      </c>
      <c r="B94" s="4">
        <v>122</v>
      </c>
      <c r="C94" s="4">
        <v>-47</v>
      </c>
      <c r="D94" s="5">
        <f>tbl_details5[[#This Row],[Profit]]/tbl_details5[[#This Row],[Revenue]]</f>
        <v>-0.38524590163934425</v>
      </c>
      <c r="E94">
        <v>4</v>
      </c>
      <c r="F94" t="s">
        <v>885</v>
      </c>
      <c r="G94" t="s">
        <v>891</v>
      </c>
      <c r="H94" s="1">
        <f>VLOOKUP(tbl_details5[[#This Row],[Order ID]],Orders!A:F,2,FALSE)</f>
        <v>43217</v>
      </c>
      <c r="I94" s="1" t="str">
        <f>TEXT(tbl_details5[[#This Row],[Order Date]],"mmm-yy")</f>
        <v>Apr-18</v>
      </c>
      <c r="J94" t="str">
        <f>VLOOKUP(tbl_details5[[#This Row],[Order ID]],Table1[],4,FALSE)</f>
        <v>Paridhi</v>
      </c>
      <c r="K94" t="str">
        <f>VLOOKUP(tbl_details5[[#This Row],[Order ID]],Table1[],5,FALSE)</f>
        <v>Rajasthan</v>
      </c>
      <c r="L94" t="str">
        <f>VLOOKUP(tbl_details5[[#This Row],[Order ID]],Table1[],6,FALSE)</f>
        <v>Jaipur</v>
      </c>
    </row>
    <row r="95" spans="1:12" x14ac:dyDescent="0.25">
      <c r="A95" t="s">
        <v>121</v>
      </c>
      <c r="B95" s="4">
        <v>22</v>
      </c>
      <c r="C95" s="4">
        <v>-6</v>
      </c>
      <c r="D95" s="5">
        <f>tbl_details5[[#This Row],[Profit]]/tbl_details5[[#This Row],[Revenue]]</f>
        <v>-0.27272727272727271</v>
      </c>
      <c r="E95">
        <v>1</v>
      </c>
      <c r="F95" t="s">
        <v>883</v>
      </c>
      <c r="G95" t="s">
        <v>901</v>
      </c>
      <c r="H95" s="1">
        <f>VLOOKUP(tbl_details5[[#This Row],[Order ID]],Orders!A:F,2,FALSE)</f>
        <v>43217</v>
      </c>
      <c r="I95" s="1" t="str">
        <f>TEXT(tbl_details5[[#This Row],[Order Date]],"mmm-yy")</f>
        <v>Apr-18</v>
      </c>
      <c r="J95" t="str">
        <f>VLOOKUP(tbl_details5[[#This Row],[Order ID]],Table1[],4,FALSE)</f>
        <v>Parishi</v>
      </c>
      <c r="K95" t="str">
        <f>VLOOKUP(tbl_details5[[#This Row],[Order ID]],Table1[],5,FALSE)</f>
        <v>West Bengal</v>
      </c>
      <c r="L95" t="str">
        <f>VLOOKUP(tbl_details5[[#This Row],[Order ID]],Table1[],6,FALSE)</f>
        <v>Kolkata</v>
      </c>
    </row>
    <row r="96" spans="1:12" x14ac:dyDescent="0.25">
      <c r="A96" t="s">
        <v>123</v>
      </c>
      <c r="B96" s="4">
        <v>434</v>
      </c>
      <c r="C96" s="4">
        <v>26</v>
      </c>
      <c r="D96" s="5">
        <f>tbl_details5[[#This Row],[Profit]]/tbl_details5[[#This Row],[Revenue]]</f>
        <v>5.9907834101382486E-2</v>
      </c>
      <c r="E96">
        <v>11</v>
      </c>
      <c r="F96" t="s">
        <v>885</v>
      </c>
      <c r="G96" t="s">
        <v>896</v>
      </c>
      <c r="H96" s="1">
        <f>VLOOKUP(tbl_details5[[#This Row],[Order ID]],Orders!A:F,2,FALSE)</f>
        <v>43218</v>
      </c>
      <c r="I96" s="1" t="str">
        <f>TEXT(tbl_details5[[#This Row],[Order Date]],"mmm-yy")</f>
        <v>Apr-18</v>
      </c>
      <c r="J96" t="str">
        <f>VLOOKUP(tbl_details5[[#This Row],[Order ID]],Table1[],4,FALSE)</f>
        <v>Ajay</v>
      </c>
      <c r="K96" t="str">
        <f>VLOOKUP(tbl_details5[[#This Row],[Order ID]],Table1[],5,FALSE)</f>
        <v>Karnataka</v>
      </c>
      <c r="L96" t="str">
        <f>VLOOKUP(tbl_details5[[#This Row],[Order ID]],Table1[],6,FALSE)</f>
        <v>Bangalore</v>
      </c>
    </row>
    <row r="97" spans="1:12" x14ac:dyDescent="0.25">
      <c r="A97" t="s">
        <v>125</v>
      </c>
      <c r="B97" s="4">
        <v>1061</v>
      </c>
      <c r="C97" s="4">
        <v>-36</v>
      </c>
      <c r="D97" s="5">
        <f>tbl_details5[[#This Row],[Profit]]/tbl_details5[[#This Row],[Revenue]]</f>
        <v>-3.3930254476908575E-2</v>
      </c>
      <c r="E97">
        <v>8</v>
      </c>
      <c r="F97" t="s">
        <v>883</v>
      </c>
      <c r="G97" t="s">
        <v>884</v>
      </c>
      <c r="H97" s="1">
        <f>VLOOKUP(tbl_details5[[#This Row],[Order ID]],Orders!A:F,2,FALSE)</f>
        <v>43219</v>
      </c>
      <c r="I97" s="1" t="str">
        <f>TEXT(tbl_details5[[#This Row],[Order Date]],"mmm-yy")</f>
        <v>Apr-18</v>
      </c>
      <c r="J97" t="str">
        <f>VLOOKUP(tbl_details5[[#This Row],[Order ID]],Table1[],4,FALSE)</f>
        <v>Kirti</v>
      </c>
      <c r="K97" t="str">
        <f>VLOOKUP(tbl_details5[[#This Row],[Order ID]],Table1[],5,FALSE)</f>
        <v>Jammu and Kashmir</v>
      </c>
      <c r="L97" t="str">
        <f>VLOOKUP(tbl_details5[[#This Row],[Order ID]],Table1[],6,FALSE)</f>
        <v>Kashmir</v>
      </c>
    </row>
    <row r="98" spans="1:12" x14ac:dyDescent="0.25">
      <c r="A98" t="s">
        <v>125</v>
      </c>
      <c r="B98" s="4">
        <v>50</v>
      </c>
      <c r="C98" s="4">
        <v>-44</v>
      </c>
      <c r="D98" s="5">
        <f>tbl_details5[[#This Row],[Profit]]/tbl_details5[[#This Row],[Revenue]]</f>
        <v>-0.88</v>
      </c>
      <c r="E98">
        <v>2</v>
      </c>
      <c r="F98" t="s">
        <v>885</v>
      </c>
      <c r="G98" t="s">
        <v>887</v>
      </c>
      <c r="H98" s="1">
        <f>VLOOKUP(tbl_details5[[#This Row],[Order ID]],Orders!A:F,2,FALSE)</f>
        <v>43219</v>
      </c>
      <c r="I98" s="1" t="str">
        <f>TEXT(tbl_details5[[#This Row],[Order Date]],"mmm-yy")</f>
        <v>Apr-18</v>
      </c>
      <c r="J98" t="str">
        <f>VLOOKUP(tbl_details5[[#This Row],[Order ID]],Table1[],4,FALSE)</f>
        <v>Kirti</v>
      </c>
      <c r="K98" t="str">
        <f>VLOOKUP(tbl_details5[[#This Row],[Order ID]],Table1[],5,FALSE)</f>
        <v>Jammu and Kashmir</v>
      </c>
      <c r="L98" t="str">
        <f>VLOOKUP(tbl_details5[[#This Row],[Order ID]],Table1[],6,FALSE)</f>
        <v>Kashmir</v>
      </c>
    </row>
    <row r="99" spans="1:12" x14ac:dyDescent="0.25">
      <c r="A99" t="s">
        <v>125</v>
      </c>
      <c r="B99" s="4">
        <v>37</v>
      </c>
      <c r="C99" s="4">
        <v>-23</v>
      </c>
      <c r="D99" s="5">
        <f>tbl_details5[[#This Row],[Profit]]/tbl_details5[[#This Row],[Revenue]]</f>
        <v>-0.6216216216216216</v>
      </c>
      <c r="E99">
        <v>4</v>
      </c>
      <c r="F99" t="s">
        <v>885</v>
      </c>
      <c r="G99" t="s">
        <v>896</v>
      </c>
      <c r="H99" s="1">
        <f>VLOOKUP(tbl_details5[[#This Row],[Order ID]],Orders!A:F,2,FALSE)</f>
        <v>43219</v>
      </c>
      <c r="I99" s="1" t="str">
        <f>TEXT(tbl_details5[[#This Row],[Order Date]],"mmm-yy")</f>
        <v>Apr-18</v>
      </c>
      <c r="J99" t="str">
        <f>VLOOKUP(tbl_details5[[#This Row],[Order ID]],Table1[],4,FALSE)</f>
        <v>Kirti</v>
      </c>
      <c r="K99" t="str">
        <f>VLOOKUP(tbl_details5[[#This Row],[Order ID]],Table1[],5,FALSE)</f>
        <v>Jammu and Kashmir</v>
      </c>
      <c r="L99" t="str">
        <f>VLOOKUP(tbl_details5[[#This Row],[Order ID]],Table1[],6,FALSE)</f>
        <v>Kashmir</v>
      </c>
    </row>
    <row r="100" spans="1:12" x14ac:dyDescent="0.25">
      <c r="A100" t="s">
        <v>125</v>
      </c>
      <c r="B100" s="4">
        <v>263</v>
      </c>
      <c r="C100" s="4">
        <v>-63</v>
      </c>
      <c r="D100" s="5">
        <f>tbl_details5[[#This Row],[Profit]]/tbl_details5[[#This Row],[Revenue]]</f>
        <v>-0.23954372623574144</v>
      </c>
      <c r="E100">
        <v>2</v>
      </c>
      <c r="F100" t="s">
        <v>888</v>
      </c>
      <c r="G100" t="s">
        <v>889</v>
      </c>
      <c r="H100" s="1">
        <f>VLOOKUP(tbl_details5[[#This Row],[Order ID]],Orders!A:F,2,FALSE)</f>
        <v>43219</v>
      </c>
      <c r="I100" s="1" t="str">
        <f>TEXT(tbl_details5[[#This Row],[Order Date]],"mmm-yy")</f>
        <v>Apr-18</v>
      </c>
      <c r="J100" t="str">
        <f>VLOOKUP(tbl_details5[[#This Row],[Order ID]],Table1[],4,FALSE)</f>
        <v>Kirti</v>
      </c>
      <c r="K100" t="str">
        <f>VLOOKUP(tbl_details5[[#This Row],[Order ID]],Table1[],5,FALSE)</f>
        <v>Jammu and Kashmir</v>
      </c>
      <c r="L100" t="str">
        <f>VLOOKUP(tbl_details5[[#This Row],[Order ID]],Table1[],6,FALSE)</f>
        <v>Kashmir</v>
      </c>
    </row>
    <row r="101" spans="1:12" x14ac:dyDescent="0.25">
      <c r="A101" t="s">
        <v>125</v>
      </c>
      <c r="B101" s="4">
        <v>36</v>
      </c>
      <c r="C101" s="4">
        <v>-7</v>
      </c>
      <c r="D101" s="5">
        <f>tbl_details5[[#This Row],[Profit]]/tbl_details5[[#This Row],[Revenue]]</f>
        <v>-0.19444444444444445</v>
      </c>
      <c r="E101">
        <v>1</v>
      </c>
      <c r="F101" t="s">
        <v>888</v>
      </c>
      <c r="G101" t="s">
        <v>889</v>
      </c>
      <c r="H101" s="1">
        <f>VLOOKUP(tbl_details5[[#This Row],[Order ID]],Orders!A:F,2,FALSE)</f>
        <v>43219</v>
      </c>
      <c r="I101" s="1" t="str">
        <f>TEXT(tbl_details5[[#This Row],[Order Date]],"mmm-yy")</f>
        <v>Apr-18</v>
      </c>
      <c r="J101" t="str">
        <f>VLOOKUP(tbl_details5[[#This Row],[Order ID]],Table1[],4,FALSE)</f>
        <v>Kirti</v>
      </c>
      <c r="K101" t="str">
        <f>VLOOKUP(tbl_details5[[#This Row],[Order ID]],Table1[],5,FALSE)</f>
        <v>Jammu and Kashmir</v>
      </c>
      <c r="L101" t="str">
        <f>VLOOKUP(tbl_details5[[#This Row],[Order ID]],Table1[],6,FALSE)</f>
        <v>Kashmir</v>
      </c>
    </row>
    <row r="102" spans="1:12" x14ac:dyDescent="0.25">
      <c r="A102" t="s">
        <v>127</v>
      </c>
      <c r="B102" s="4">
        <v>76</v>
      </c>
      <c r="C102" s="4">
        <v>-92</v>
      </c>
      <c r="D102" s="5">
        <f>tbl_details5[[#This Row],[Profit]]/tbl_details5[[#This Row],[Revenue]]</f>
        <v>-1.2105263157894737</v>
      </c>
      <c r="E102">
        <v>8</v>
      </c>
      <c r="F102" t="s">
        <v>883</v>
      </c>
      <c r="G102" t="s">
        <v>901</v>
      </c>
      <c r="H102" s="1">
        <f>VLOOKUP(tbl_details5[[#This Row],[Order ID]],Orders!A:F,2,FALSE)</f>
        <v>43220</v>
      </c>
      <c r="I102" s="1" t="str">
        <f>TEXT(tbl_details5[[#This Row],[Order Date]],"mmm-yy")</f>
        <v>Apr-18</v>
      </c>
      <c r="J102" t="str">
        <f>VLOOKUP(tbl_details5[[#This Row],[Order ID]],Table1[],4,FALSE)</f>
        <v>Mayank</v>
      </c>
      <c r="K102" t="str">
        <f>VLOOKUP(tbl_details5[[#This Row],[Order ID]],Table1[],5,FALSE)</f>
        <v>Maharashtra</v>
      </c>
      <c r="L102" t="str">
        <f>VLOOKUP(tbl_details5[[#This Row],[Order ID]],Table1[],6,FALSE)</f>
        <v>Mumbai</v>
      </c>
    </row>
    <row r="103" spans="1:12" x14ac:dyDescent="0.25">
      <c r="A103" t="s">
        <v>129</v>
      </c>
      <c r="B103" s="4">
        <v>273</v>
      </c>
      <c r="C103" s="4">
        <v>-87</v>
      </c>
      <c r="D103" s="5">
        <f>tbl_details5[[#This Row],[Profit]]/tbl_details5[[#This Row],[Revenue]]</f>
        <v>-0.31868131868131866</v>
      </c>
      <c r="E103">
        <v>4</v>
      </c>
      <c r="F103" t="s">
        <v>888</v>
      </c>
      <c r="G103" t="s">
        <v>890</v>
      </c>
      <c r="H103" s="1">
        <f>VLOOKUP(tbl_details5[[#This Row],[Order ID]],Orders!A:F,2,FALSE)</f>
        <v>43221</v>
      </c>
      <c r="I103" s="1" t="str">
        <f>TEXT(tbl_details5[[#This Row],[Order Date]],"mmm-yy")</f>
        <v>May-18</v>
      </c>
      <c r="J103" t="str">
        <f>VLOOKUP(tbl_details5[[#This Row],[Order ID]],Table1[],4,FALSE)</f>
        <v>Yaanvi</v>
      </c>
      <c r="K103" t="str">
        <f>VLOOKUP(tbl_details5[[#This Row],[Order ID]],Table1[],5,FALSE)</f>
        <v>Madhya Pradesh</v>
      </c>
      <c r="L103" t="str">
        <f>VLOOKUP(tbl_details5[[#This Row],[Order ID]],Table1[],6,FALSE)</f>
        <v>Indore</v>
      </c>
    </row>
    <row r="104" spans="1:12" x14ac:dyDescent="0.25">
      <c r="A104" t="s">
        <v>129</v>
      </c>
      <c r="B104" s="4">
        <v>86</v>
      </c>
      <c r="C104" s="4">
        <v>0</v>
      </c>
      <c r="D104" s="5">
        <f>tbl_details5[[#This Row],[Profit]]/tbl_details5[[#This Row],[Revenue]]</f>
        <v>0</v>
      </c>
      <c r="E104">
        <v>4</v>
      </c>
      <c r="F104" t="s">
        <v>885</v>
      </c>
      <c r="G104" t="s">
        <v>895</v>
      </c>
      <c r="H104" s="1">
        <f>VLOOKUP(tbl_details5[[#This Row],[Order ID]],Orders!A:F,2,FALSE)</f>
        <v>43221</v>
      </c>
      <c r="I104" s="1" t="str">
        <f>TEXT(tbl_details5[[#This Row],[Order Date]],"mmm-yy")</f>
        <v>May-18</v>
      </c>
      <c r="J104" t="str">
        <f>VLOOKUP(tbl_details5[[#This Row],[Order ID]],Table1[],4,FALSE)</f>
        <v>Yaanvi</v>
      </c>
      <c r="K104" t="str">
        <f>VLOOKUP(tbl_details5[[#This Row],[Order ID]],Table1[],5,FALSE)</f>
        <v>Madhya Pradesh</v>
      </c>
      <c r="L104" t="str">
        <f>VLOOKUP(tbl_details5[[#This Row],[Order ID]],Table1[],6,FALSE)</f>
        <v>Indore</v>
      </c>
    </row>
    <row r="105" spans="1:12" x14ac:dyDescent="0.25">
      <c r="A105" t="s">
        <v>129</v>
      </c>
      <c r="B105" s="4">
        <v>133</v>
      </c>
      <c r="C105" s="4">
        <v>-42</v>
      </c>
      <c r="D105" s="5">
        <f>tbl_details5[[#This Row],[Profit]]/tbl_details5[[#This Row],[Revenue]]</f>
        <v>-0.31578947368421051</v>
      </c>
      <c r="E105">
        <v>1</v>
      </c>
      <c r="F105" t="s">
        <v>888</v>
      </c>
      <c r="G105" t="s">
        <v>899</v>
      </c>
      <c r="H105" s="1">
        <f>VLOOKUP(tbl_details5[[#This Row],[Order ID]],Orders!A:F,2,FALSE)</f>
        <v>43221</v>
      </c>
      <c r="I105" s="1" t="str">
        <f>TEXT(tbl_details5[[#This Row],[Order Date]],"mmm-yy")</f>
        <v>May-18</v>
      </c>
      <c r="J105" t="str">
        <f>VLOOKUP(tbl_details5[[#This Row],[Order ID]],Table1[],4,FALSE)</f>
        <v>Yaanvi</v>
      </c>
      <c r="K105" t="str">
        <f>VLOOKUP(tbl_details5[[#This Row],[Order ID]],Table1[],5,FALSE)</f>
        <v>Madhya Pradesh</v>
      </c>
      <c r="L105" t="str">
        <f>VLOOKUP(tbl_details5[[#This Row],[Order ID]],Table1[],6,FALSE)</f>
        <v>Indore</v>
      </c>
    </row>
    <row r="106" spans="1:12" x14ac:dyDescent="0.25">
      <c r="A106" t="s">
        <v>129</v>
      </c>
      <c r="B106" s="4">
        <v>183</v>
      </c>
      <c r="C106" s="4">
        <v>-66</v>
      </c>
      <c r="D106" s="5">
        <f>tbl_details5[[#This Row],[Profit]]/tbl_details5[[#This Row],[Revenue]]</f>
        <v>-0.36065573770491804</v>
      </c>
      <c r="E106">
        <v>5</v>
      </c>
      <c r="F106" t="s">
        <v>888</v>
      </c>
      <c r="G106" t="s">
        <v>890</v>
      </c>
      <c r="H106" s="1">
        <f>VLOOKUP(tbl_details5[[#This Row],[Order ID]],Orders!A:F,2,FALSE)</f>
        <v>43221</v>
      </c>
      <c r="I106" s="1" t="str">
        <f>TEXT(tbl_details5[[#This Row],[Order Date]],"mmm-yy")</f>
        <v>May-18</v>
      </c>
      <c r="J106" t="str">
        <f>VLOOKUP(tbl_details5[[#This Row],[Order ID]],Table1[],4,FALSE)</f>
        <v>Yaanvi</v>
      </c>
      <c r="K106" t="str">
        <f>VLOOKUP(tbl_details5[[#This Row],[Order ID]],Table1[],5,FALSE)</f>
        <v>Madhya Pradesh</v>
      </c>
      <c r="L106" t="str">
        <f>VLOOKUP(tbl_details5[[#This Row],[Order ID]],Table1[],6,FALSE)</f>
        <v>Indore</v>
      </c>
    </row>
    <row r="107" spans="1:12" x14ac:dyDescent="0.25">
      <c r="A107" t="s">
        <v>131</v>
      </c>
      <c r="B107" s="4">
        <v>20</v>
      </c>
      <c r="C107" s="4">
        <v>-8</v>
      </c>
      <c r="D107" s="5">
        <f>tbl_details5[[#This Row],[Profit]]/tbl_details5[[#This Row],[Revenue]]</f>
        <v>-0.4</v>
      </c>
      <c r="E107">
        <v>2</v>
      </c>
      <c r="F107" t="s">
        <v>885</v>
      </c>
      <c r="G107" t="s">
        <v>891</v>
      </c>
      <c r="H107" s="1">
        <f>VLOOKUP(tbl_details5[[#This Row],[Order ID]],Orders!A:F,2,FALSE)</f>
        <v>43221</v>
      </c>
      <c r="I107" s="1" t="str">
        <f>TEXT(tbl_details5[[#This Row],[Order Date]],"mmm-yy")</f>
        <v>May-18</v>
      </c>
      <c r="J107" t="str">
        <f>VLOOKUP(tbl_details5[[#This Row],[Order ID]],Table1[],4,FALSE)</f>
        <v>Sonal</v>
      </c>
      <c r="K107" t="str">
        <f>VLOOKUP(tbl_details5[[#This Row],[Order ID]],Table1[],5,FALSE)</f>
        <v>Bihar</v>
      </c>
      <c r="L107" t="str">
        <f>VLOOKUP(tbl_details5[[#This Row],[Order ID]],Table1[],6,FALSE)</f>
        <v>Patna</v>
      </c>
    </row>
    <row r="108" spans="1:12" x14ac:dyDescent="0.25">
      <c r="A108" t="s">
        <v>133</v>
      </c>
      <c r="B108" s="4">
        <v>42</v>
      </c>
      <c r="C108" s="4">
        <v>-6</v>
      </c>
      <c r="D108" s="5">
        <f>tbl_details5[[#This Row],[Profit]]/tbl_details5[[#This Row],[Revenue]]</f>
        <v>-0.14285714285714285</v>
      </c>
      <c r="E108">
        <v>4</v>
      </c>
      <c r="F108" t="s">
        <v>885</v>
      </c>
      <c r="G108" t="s">
        <v>891</v>
      </c>
      <c r="H108" s="1">
        <f>VLOOKUP(tbl_details5[[#This Row],[Order ID]],Orders!A:F,2,FALSE)</f>
        <v>43223</v>
      </c>
      <c r="I108" s="1" t="str">
        <f>TEXT(tbl_details5[[#This Row],[Order Date]],"mmm-yy")</f>
        <v>May-18</v>
      </c>
      <c r="J108" t="str">
        <f>VLOOKUP(tbl_details5[[#This Row],[Order ID]],Table1[],4,FALSE)</f>
        <v>Sharda</v>
      </c>
      <c r="K108" t="str">
        <f>VLOOKUP(tbl_details5[[#This Row],[Order ID]],Table1[],5,FALSE)</f>
        <v xml:space="preserve">Kerala </v>
      </c>
      <c r="L108" t="str">
        <f>VLOOKUP(tbl_details5[[#This Row],[Order ID]],Table1[],6,FALSE)</f>
        <v>Thiruvananthapuram</v>
      </c>
    </row>
    <row r="109" spans="1:12" x14ac:dyDescent="0.25">
      <c r="A109" t="s">
        <v>135</v>
      </c>
      <c r="B109" s="4">
        <v>100</v>
      </c>
      <c r="C109" s="4">
        <v>-23</v>
      </c>
      <c r="D109" s="5">
        <f>tbl_details5[[#This Row],[Profit]]/tbl_details5[[#This Row],[Revenue]]</f>
        <v>-0.23</v>
      </c>
      <c r="E109">
        <v>1</v>
      </c>
      <c r="F109" t="s">
        <v>888</v>
      </c>
      <c r="G109" t="s">
        <v>890</v>
      </c>
      <c r="H109" s="1">
        <f>VLOOKUP(tbl_details5[[#This Row],[Order ID]],Orders!A:F,2,FALSE)</f>
        <v>43224</v>
      </c>
      <c r="I109" s="1" t="str">
        <f>TEXT(tbl_details5[[#This Row],[Order Date]],"mmm-yy")</f>
        <v>May-18</v>
      </c>
      <c r="J109" t="str">
        <f>VLOOKUP(tbl_details5[[#This Row],[Order ID]],Table1[],4,FALSE)</f>
        <v>Aditya</v>
      </c>
      <c r="K109" t="str">
        <f>VLOOKUP(tbl_details5[[#This Row],[Order ID]],Table1[],5,FALSE)</f>
        <v>Punjab</v>
      </c>
      <c r="L109" t="str">
        <f>VLOOKUP(tbl_details5[[#This Row],[Order ID]],Table1[],6,FALSE)</f>
        <v>Chandigarh</v>
      </c>
    </row>
    <row r="110" spans="1:12" x14ac:dyDescent="0.25">
      <c r="A110" t="s">
        <v>135</v>
      </c>
      <c r="B110" s="4">
        <v>30</v>
      </c>
      <c r="C110" s="4">
        <v>13</v>
      </c>
      <c r="D110" s="5">
        <f>tbl_details5[[#This Row],[Profit]]/tbl_details5[[#This Row],[Revenue]]</f>
        <v>0.43333333333333335</v>
      </c>
      <c r="E110">
        <v>1</v>
      </c>
      <c r="F110" t="s">
        <v>885</v>
      </c>
      <c r="G110" t="s">
        <v>895</v>
      </c>
      <c r="H110" s="1">
        <f>VLOOKUP(tbl_details5[[#This Row],[Order ID]],Orders!A:F,2,FALSE)</f>
        <v>43224</v>
      </c>
      <c r="I110" s="1" t="str">
        <f>TEXT(tbl_details5[[#This Row],[Order Date]],"mmm-yy")</f>
        <v>May-18</v>
      </c>
      <c r="J110" t="str">
        <f>VLOOKUP(tbl_details5[[#This Row],[Order ID]],Table1[],4,FALSE)</f>
        <v>Aditya</v>
      </c>
      <c r="K110" t="str">
        <f>VLOOKUP(tbl_details5[[#This Row],[Order ID]],Table1[],5,FALSE)</f>
        <v>Punjab</v>
      </c>
      <c r="L110" t="str">
        <f>VLOOKUP(tbl_details5[[#This Row],[Order ID]],Table1[],6,FALSE)</f>
        <v>Chandigarh</v>
      </c>
    </row>
    <row r="111" spans="1:12" x14ac:dyDescent="0.25">
      <c r="A111" t="s">
        <v>135</v>
      </c>
      <c r="B111" s="4">
        <v>55</v>
      </c>
      <c r="C111" s="4">
        <v>-26</v>
      </c>
      <c r="D111" s="5">
        <f>tbl_details5[[#This Row],[Profit]]/tbl_details5[[#This Row],[Revenue]]</f>
        <v>-0.47272727272727272</v>
      </c>
      <c r="E111">
        <v>4</v>
      </c>
      <c r="F111" t="s">
        <v>885</v>
      </c>
      <c r="G111" t="s">
        <v>891</v>
      </c>
      <c r="H111" s="1">
        <f>VLOOKUP(tbl_details5[[#This Row],[Order ID]],Orders!A:F,2,FALSE)</f>
        <v>43224</v>
      </c>
      <c r="I111" s="1" t="str">
        <f>TEXT(tbl_details5[[#This Row],[Order Date]],"mmm-yy")</f>
        <v>May-18</v>
      </c>
      <c r="J111" t="str">
        <f>VLOOKUP(tbl_details5[[#This Row],[Order ID]],Table1[],4,FALSE)</f>
        <v>Aditya</v>
      </c>
      <c r="K111" t="str">
        <f>VLOOKUP(tbl_details5[[#This Row],[Order ID]],Table1[],5,FALSE)</f>
        <v>Punjab</v>
      </c>
      <c r="L111" t="str">
        <f>VLOOKUP(tbl_details5[[#This Row],[Order ID]],Table1[],6,FALSE)</f>
        <v>Chandigarh</v>
      </c>
    </row>
    <row r="112" spans="1:12" x14ac:dyDescent="0.25">
      <c r="A112" t="s">
        <v>135</v>
      </c>
      <c r="B112" s="4">
        <v>130</v>
      </c>
      <c r="C112" s="4">
        <v>-41</v>
      </c>
      <c r="D112" s="5">
        <f>tbl_details5[[#This Row],[Profit]]/tbl_details5[[#This Row],[Revenue]]</f>
        <v>-0.31538461538461537</v>
      </c>
      <c r="E112">
        <v>4</v>
      </c>
      <c r="F112" t="s">
        <v>885</v>
      </c>
      <c r="G112" t="s">
        <v>891</v>
      </c>
      <c r="H112" s="1">
        <f>VLOOKUP(tbl_details5[[#This Row],[Order ID]],Orders!A:F,2,FALSE)</f>
        <v>43224</v>
      </c>
      <c r="I112" s="1" t="str">
        <f>TEXT(tbl_details5[[#This Row],[Order Date]],"mmm-yy")</f>
        <v>May-18</v>
      </c>
      <c r="J112" t="str">
        <f>VLOOKUP(tbl_details5[[#This Row],[Order ID]],Table1[],4,FALSE)</f>
        <v>Aditya</v>
      </c>
      <c r="K112" t="str">
        <f>VLOOKUP(tbl_details5[[#This Row],[Order ID]],Table1[],5,FALSE)</f>
        <v>Punjab</v>
      </c>
      <c r="L112" t="str">
        <f>VLOOKUP(tbl_details5[[#This Row],[Order ID]],Table1[],6,FALSE)</f>
        <v>Chandigarh</v>
      </c>
    </row>
    <row r="113" spans="1:12" x14ac:dyDescent="0.25">
      <c r="A113" t="s">
        <v>137</v>
      </c>
      <c r="B113" s="4">
        <v>27</v>
      </c>
      <c r="C113" s="4">
        <v>-25</v>
      </c>
      <c r="D113" s="5">
        <f>tbl_details5[[#This Row],[Profit]]/tbl_details5[[#This Row],[Revenue]]</f>
        <v>-0.92592592592592593</v>
      </c>
      <c r="E113">
        <v>2</v>
      </c>
      <c r="F113" t="s">
        <v>885</v>
      </c>
      <c r="G113" t="s">
        <v>886</v>
      </c>
      <c r="H113" s="1">
        <f>VLOOKUP(tbl_details5[[#This Row],[Order ID]],Orders!A:F,2,FALSE)</f>
        <v>43225</v>
      </c>
      <c r="I113" s="1" t="str">
        <f>TEXT(tbl_details5[[#This Row],[Order Date]],"mmm-yy")</f>
        <v>May-18</v>
      </c>
      <c r="J113" t="str">
        <f>VLOOKUP(tbl_details5[[#This Row],[Order ID]],Table1[],4,FALSE)</f>
        <v>Rachna</v>
      </c>
      <c r="K113" t="str">
        <f>VLOOKUP(tbl_details5[[#This Row],[Order ID]],Table1[],5,FALSE)</f>
        <v>Haryana</v>
      </c>
      <c r="L113" t="str">
        <f>VLOOKUP(tbl_details5[[#This Row],[Order ID]],Table1[],6,FALSE)</f>
        <v>Chandigarh</v>
      </c>
    </row>
    <row r="114" spans="1:12" x14ac:dyDescent="0.25">
      <c r="A114" t="s">
        <v>139</v>
      </c>
      <c r="B114" s="4">
        <v>245</v>
      </c>
      <c r="C114" s="4">
        <v>-78</v>
      </c>
      <c r="D114" s="5">
        <f>tbl_details5[[#This Row],[Profit]]/tbl_details5[[#This Row],[Revenue]]</f>
        <v>-0.3183673469387755</v>
      </c>
      <c r="E114">
        <v>2</v>
      </c>
      <c r="F114" t="s">
        <v>888</v>
      </c>
      <c r="G114" t="s">
        <v>899</v>
      </c>
      <c r="H114" s="1">
        <f>VLOOKUP(tbl_details5[[#This Row],[Order ID]],Orders!A:F,2,FALSE)</f>
        <v>43226</v>
      </c>
      <c r="I114" s="1" t="str">
        <f>TEXT(tbl_details5[[#This Row],[Order Date]],"mmm-yy")</f>
        <v>May-18</v>
      </c>
      <c r="J114" t="str">
        <f>VLOOKUP(tbl_details5[[#This Row],[Order ID]],Table1[],4,FALSE)</f>
        <v>Chirag</v>
      </c>
      <c r="K114" t="str">
        <f>VLOOKUP(tbl_details5[[#This Row],[Order ID]],Table1[],5,FALSE)</f>
        <v>Maharashtra</v>
      </c>
      <c r="L114" t="str">
        <f>VLOOKUP(tbl_details5[[#This Row],[Order ID]],Table1[],6,FALSE)</f>
        <v>Mumbai</v>
      </c>
    </row>
    <row r="115" spans="1:12" x14ac:dyDescent="0.25">
      <c r="A115" t="s">
        <v>139</v>
      </c>
      <c r="B115" s="4">
        <v>211</v>
      </c>
      <c r="C115" s="4">
        <v>-105</v>
      </c>
      <c r="D115" s="5">
        <f>tbl_details5[[#This Row],[Profit]]/tbl_details5[[#This Row],[Revenue]]</f>
        <v>-0.49763033175355448</v>
      </c>
      <c r="E115">
        <v>2</v>
      </c>
      <c r="F115" t="s">
        <v>885</v>
      </c>
      <c r="G115" t="s">
        <v>891</v>
      </c>
      <c r="H115" s="1">
        <f>VLOOKUP(tbl_details5[[#This Row],[Order ID]],Orders!A:F,2,FALSE)</f>
        <v>43226</v>
      </c>
      <c r="I115" s="1" t="str">
        <f>TEXT(tbl_details5[[#This Row],[Order Date]],"mmm-yy")</f>
        <v>May-18</v>
      </c>
      <c r="J115" t="str">
        <f>VLOOKUP(tbl_details5[[#This Row],[Order ID]],Table1[],4,FALSE)</f>
        <v>Chirag</v>
      </c>
      <c r="K115" t="str">
        <f>VLOOKUP(tbl_details5[[#This Row],[Order ID]],Table1[],5,FALSE)</f>
        <v>Maharashtra</v>
      </c>
      <c r="L115" t="str">
        <f>VLOOKUP(tbl_details5[[#This Row],[Order ID]],Table1[],6,FALSE)</f>
        <v>Mumbai</v>
      </c>
    </row>
    <row r="116" spans="1:12" x14ac:dyDescent="0.25">
      <c r="A116" t="s">
        <v>139</v>
      </c>
      <c r="B116" s="4">
        <v>31</v>
      </c>
      <c r="C116" s="4">
        <v>-2</v>
      </c>
      <c r="D116" s="5">
        <f>tbl_details5[[#This Row],[Profit]]/tbl_details5[[#This Row],[Revenue]]</f>
        <v>-6.4516129032258063E-2</v>
      </c>
      <c r="E116">
        <v>2</v>
      </c>
      <c r="F116" t="s">
        <v>885</v>
      </c>
      <c r="G116" t="s">
        <v>891</v>
      </c>
      <c r="H116" s="1">
        <f>VLOOKUP(tbl_details5[[#This Row],[Order ID]],Orders!A:F,2,FALSE)</f>
        <v>43226</v>
      </c>
      <c r="I116" s="1" t="str">
        <f>TEXT(tbl_details5[[#This Row],[Order Date]],"mmm-yy")</f>
        <v>May-18</v>
      </c>
      <c r="J116" t="str">
        <f>VLOOKUP(tbl_details5[[#This Row],[Order ID]],Table1[],4,FALSE)</f>
        <v>Chirag</v>
      </c>
      <c r="K116" t="str">
        <f>VLOOKUP(tbl_details5[[#This Row],[Order ID]],Table1[],5,FALSE)</f>
        <v>Maharashtra</v>
      </c>
      <c r="L116" t="str">
        <f>VLOOKUP(tbl_details5[[#This Row],[Order ID]],Table1[],6,FALSE)</f>
        <v>Mumbai</v>
      </c>
    </row>
    <row r="117" spans="1:12" x14ac:dyDescent="0.25">
      <c r="A117" t="s">
        <v>139</v>
      </c>
      <c r="B117" s="4">
        <v>28</v>
      </c>
      <c r="C117" s="4">
        <v>-26</v>
      </c>
      <c r="D117" s="5">
        <f>tbl_details5[[#This Row],[Profit]]/tbl_details5[[#This Row],[Revenue]]</f>
        <v>-0.9285714285714286</v>
      </c>
      <c r="E117">
        <v>2</v>
      </c>
      <c r="F117" t="s">
        <v>885</v>
      </c>
      <c r="G117" t="s">
        <v>886</v>
      </c>
      <c r="H117" s="1">
        <f>VLOOKUP(tbl_details5[[#This Row],[Order ID]],Orders!A:F,2,FALSE)</f>
        <v>43226</v>
      </c>
      <c r="I117" s="1" t="str">
        <f>TEXT(tbl_details5[[#This Row],[Order Date]],"mmm-yy")</f>
        <v>May-18</v>
      </c>
      <c r="J117" t="str">
        <f>VLOOKUP(tbl_details5[[#This Row],[Order ID]],Table1[],4,FALSE)</f>
        <v>Chirag</v>
      </c>
      <c r="K117" t="str">
        <f>VLOOKUP(tbl_details5[[#This Row],[Order ID]],Table1[],5,FALSE)</f>
        <v>Maharashtra</v>
      </c>
      <c r="L117" t="str">
        <f>VLOOKUP(tbl_details5[[#This Row],[Order ID]],Table1[],6,FALSE)</f>
        <v>Mumbai</v>
      </c>
    </row>
    <row r="118" spans="1:12" x14ac:dyDescent="0.25">
      <c r="A118" t="s">
        <v>139</v>
      </c>
      <c r="B118" s="4">
        <v>512</v>
      </c>
      <c r="C118" s="4">
        <v>-225</v>
      </c>
      <c r="D118" s="5">
        <f>tbl_details5[[#This Row],[Profit]]/tbl_details5[[#This Row],[Revenue]]</f>
        <v>-0.439453125</v>
      </c>
      <c r="E118">
        <v>5</v>
      </c>
      <c r="F118" t="s">
        <v>885</v>
      </c>
      <c r="G118" t="s">
        <v>891</v>
      </c>
      <c r="H118" s="1">
        <f>VLOOKUP(tbl_details5[[#This Row],[Order ID]],Orders!A:F,2,FALSE)</f>
        <v>43226</v>
      </c>
      <c r="I118" s="1" t="str">
        <f>TEXT(tbl_details5[[#This Row],[Order Date]],"mmm-yy")</f>
        <v>May-18</v>
      </c>
      <c r="J118" t="str">
        <f>VLOOKUP(tbl_details5[[#This Row],[Order ID]],Table1[],4,FALSE)</f>
        <v>Chirag</v>
      </c>
      <c r="K118" t="str">
        <f>VLOOKUP(tbl_details5[[#This Row],[Order ID]],Table1[],5,FALSE)</f>
        <v>Maharashtra</v>
      </c>
      <c r="L118" t="str">
        <f>VLOOKUP(tbl_details5[[#This Row],[Order ID]],Table1[],6,FALSE)</f>
        <v>Mumbai</v>
      </c>
    </row>
    <row r="119" spans="1:12" x14ac:dyDescent="0.25">
      <c r="A119" t="s">
        <v>139</v>
      </c>
      <c r="B119" s="4">
        <v>925</v>
      </c>
      <c r="C119" s="4">
        <v>-447</v>
      </c>
      <c r="D119" s="5">
        <f>tbl_details5[[#This Row],[Profit]]/tbl_details5[[#This Row],[Revenue]]</f>
        <v>-0.48324324324324325</v>
      </c>
      <c r="E119">
        <v>5</v>
      </c>
      <c r="F119" t="s">
        <v>888</v>
      </c>
      <c r="G119" t="s">
        <v>889</v>
      </c>
      <c r="H119" s="1">
        <f>VLOOKUP(tbl_details5[[#This Row],[Order ID]],Orders!A:F,2,FALSE)</f>
        <v>43226</v>
      </c>
      <c r="I119" s="1" t="str">
        <f>TEXT(tbl_details5[[#This Row],[Order Date]],"mmm-yy")</f>
        <v>May-18</v>
      </c>
      <c r="J119" t="str">
        <f>VLOOKUP(tbl_details5[[#This Row],[Order ID]],Table1[],4,FALSE)</f>
        <v>Chirag</v>
      </c>
      <c r="K119" t="str">
        <f>VLOOKUP(tbl_details5[[#This Row],[Order ID]],Table1[],5,FALSE)</f>
        <v>Maharashtra</v>
      </c>
      <c r="L119" t="str">
        <f>VLOOKUP(tbl_details5[[#This Row],[Order ID]],Table1[],6,FALSE)</f>
        <v>Mumbai</v>
      </c>
    </row>
    <row r="120" spans="1:12" x14ac:dyDescent="0.25">
      <c r="A120" t="s">
        <v>139</v>
      </c>
      <c r="B120" s="4">
        <v>238</v>
      </c>
      <c r="C120" s="4">
        <v>20</v>
      </c>
      <c r="D120" s="5">
        <f>tbl_details5[[#This Row],[Profit]]/tbl_details5[[#This Row],[Revenue]]</f>
        <v>8.4033613445378158E-2</v>
      </c>
      <c r="E120">
        <v>2</v>
      </c>
      <c r="F120" t="s">
        <v>885</v>
      </c>
      <c r="G120" t="s">
        <v>891</v>
      </c>
      <c r="H120" s="1">
        <f>VLOOKUP(tbl_details5[[#This Row],[Order ID]],Orders!A:F,2,FALSE)</f>
        <v>43226</v>
      </c>
      <c r="I120" s="1" t="str">
        <f>TEXT(tbl_details5[[#This Row],[Order Date]],"mmm-yy")</f>
        <v>May-18</v>
      </c>
      <c r="J120" t="str">
        <f>VLOOKUP(tbl_details5[[#This Row],[Order ID]],Table1[],4,FALSE)</f>
        <v>Chirag</v>
      </c>
      <c r="K120" t="str">
        <f>VLOOKUP(tbl_details5[[#This Row],[Order ID]],Table1[],5,FALSE)</f>
        <v>Maharashtra</v>
      </c>
      <c r="L120" t="str">
        <f>VLOOKUP(tbl_details5[[#This Row],[Order ID]],Table1[],6,FALSE)</f>
        <v>Mumbai</v>
      </c>
    </row>
    <row r="121" spans="1:12" x14ac:dyDescent="0.25">
      <c r="A121" t="s">
        <v>139</v>
      </c>
      <c r="B121" s="4">
        <v>351</v>
      </c>
      <c r="C121" s="4">
        <v>-47</v>
      </c>
      <c r="D121" s="5">
        <f>tbl_details5[[#This Row],[Profit]]/tbl_details5[[#This Row],[Revenue]]</f>
        <v>-0.13390313390313391</v>
      </c>
      <c r="E121">
        <v>8</v>
      </c>
      <c r="F121" t="s">
        <v>888</v>
      </c>
      <c r="G121" t="s">
        <v>890</v>
      </c>
      <c r="H121" s="1">
        <f>VLOOKUP(tbl_details5[[#This Row],[Order ID]],Orders!A:F,2,FALSE)</f>
        <v>43226</v>
      </c>
      <c r="I121" s="1" t="str">
        <f>TEXT(tbl_details5[[#This Row],[Order Date]],"mmm-yy")</f>
        <v>May-18</v>
      </c>
      <c r="J121" t="str">
        <f>VLOOKUP(tbl_details5[[#This Row],[Order ID]],Table1[],4,FALSE)</f>
        <v>Chirag</v>
      </c>
      <c r="K121" t="str">
        <f>VLOOKUP(tbl_details5[[#This Row],[Order ID]],Table1[],5,FALSE)</f>
        <v>Maharashtra</v>
      </c>
      <c r="L121" t="str">
        <f>VLOOKUP(tbl_details5[[#This Row],[Order ID]],Table1[],6,FALSE)</f>
        <v>Mumbai</v>
      </c>
    </row>
    <row r="122" spans="1:12" x14ac:dyDescent="0.25">
      <c r="A122" t="s">
        <v>139</v>
      </c>
      <c r="B122" s="4">
        <v>269</v>
      </c>
      <c r="C122" s="4">
        <v>111</v>
      </c>
      <c r="D122" s="5">
        <f>tbl_details5[[#This Row],[Profit]]/tbl_details5[[#This Row],[Revenue]]</f>
        <v>0.41263940520446096</v>
      </c>
      <c r="E122">
        <v>3</v>
      </c>
      <c r="F122" t="s">
        <v>885</v>
      </c>
      <c r="G122" t="s">
        <v>892</v>
      </c>
      <c r="H122" s="1">
        <f>VLOOKUP(tbl_details5[[#This Row],[Order ID]],Orders!A:F,2,FALSE)</f>
        <v>43226</v>
      </c>
      <c r="I122" s="1" t="str">
        <f>TEXT(tbl_details5[[#This Row],[Order Date]],"mmm-yy")</f>
        <v>May-18</v>
      </c>
      <c r="J122" t="str">
        <f>VLOOKUP(tbl_details5[[#This Row],[Order ID]],Table1[],4,FALSE)</f>
        <v>Chirag</v>
      </c>
      <c r="K122" t="str">
        <f>VLOOKUP(tbl_details5[[#This Row],[Order ID]],Table1[],5,FALSE)</f>
        <v>Maharashtra</v>
      </c>
      <c r="L122" t="str">
        <f>VLOOKUP(tbl_details5[[#This Row],[Order ID]],Table1[],6,FALSE)</f>
        <v>Mumbai</v>
      </c>
    </row>
    <row r="123" spans="1:12" x14ac:dyDescent="0.25">
      <c r="A123" t="s">
        <v>141</v>
      </c>
      <c r="B123" s="4">
        <v>200</v>
      </c>
      <c r="C123" s="4">
        <v>-60</v>
      </c>
      <c r="D123" s="5">
        <f>tbl_details5[[#This Row],[Profit]]/tbl_details5[[#This Row],[Revenue]]</f>
        <v>-0.3</v>
      </c>
      <c r="E123">
        <v>4</v>
      </c>
      <c r="F123" t="s">
        <v>883</v>
      </c>
      <c r="G123" t="s">
        <v>884</v>
      </c>
      <c r="H123" s="1">
        <f>VLOOKUP(tbl_details5[[#This Row],[Order ID]],Orders!A:F,2,FALSE)</f>
        <v>43227</v>
      </c>
      <c r="I123" s="1" t="str">
        <f>TEXT(tbl_details5[[#This Row],[Order Date]],"mmm-yy")</f>
        <v>May-18</v>
      </c>
      <c r="J123" t="str">
        <f>VLOOKUP(tbl_details5[[#This Row],[Order ID]],Table1[],4,FALSE)</f>
        <v>Anurag</v>
      </c>
      <c r="K123" t="str">
        <f>VLOOKUP(tbl_details5[[#This Row],[Order ID]],Table1[],5,FALSE)</f>
        <v>Madhya Pradesh</v>
      </c>
      <c r="L123" t="str">
        <f>VLOOKUP(tbl_details5[[#This Row],[Order ID]],Table1[],6,FALSE)</f>
        <v>Indore</v>
      </c>
    </row>
    <row r="124" spans="1:12" x14ac:dyDescent="0.25">
      <c r="A124" t="s">
        <v>141</v>
      </c>
      <c r="B124" s="4">
        <v>44</v>
      </c>
      <c r="C124" s="4">
        <v>-8</v>
      </c>
      <c r="D124" s="5">
        <f>tbl_details5[[#This Row],[Profit]]/tbl_details5[[#This Row],[Revenue]]</f>
        <v>-0.18181818181818182</v>
      </c>
      <c r="E124">
        <v>3</v>
      </c>
      <c r="F124" t="s">
        <v>885</v>
      </c>
      <c r="G124" t="s">
        <v>886</v>
      </c>
      <c r="H124" s="1">
        <f>VLOOKUP(tbl_details5[[#This Row],[Order ID]],Orders!A:F,2,FALSE)</f>
        <v>43227</v>
      </c>
      <c r="I124" s="1" t="str">
        <f>TEXT(tbl_details5[[#This Row],[Order Date]],"mmm-yy")</f>
        <v>May-18</v>
      </c>
      <c r="J124" t="str">
        <f>VLOOKUP(tbl_details5[[#This Row],[Order ID]],Table1[],4,FALSE)</f>
        <v>Anurag</v>
      </c>
      <c r="K124" t="str">
        <f>VLOOKUP(tbl_details5[[#This Row],[Order ID]],Table1[],5,FALSE)</f>
        <v>Madhya Pradesh</v>
      </c>
      <c r="L124" t="str">
        <f>VLOOKUP(tbl_details5[[#This Row],[Order ID]],Table1[],6,FALSE)</f>
        <v>Indore</v>
      </c>
    </row>
    <row r="125" spans="1:12" x14ac:dyDescent="0.25">
      <c r="A125" t="s">
        <v>141</v>
      </c>
      <c r="B125" s="4">
        <v>7</v>
      </c>
      <c r="C125" s="4">
        <v>0</v>
      </c>
      <c r="D125" s="5">
        <f>tbl_details5[[#This Row],[Profit]]/tbl_details5[[#This Row],[Revenue]]</f>
        <v>0</v>
      </c>
      <c r="E125">
        <v>1</v>
      </c>
      <c r="F125" t="s">
        <v>885</v>
      </c>
      <c r="G125" t="s">
        <v>897</v>
      </c>
      <c r="H125" s="1">
        <f>VLOOKUP(tbl_details5[[#This Row],[Order ID]],Orders!A:F,2,FALSE)</f>
        <v>43227</v>
      </c>
      <c r="I125" s="1" t="str">
        <f>TEXT(tbl_details5[[#This Row],[Order Date]],"mmm-yy")</f>
        <v>May-18</v>
      </c>
      <c r="J125" t="str">
        <f>VLOOKUP(tbl_details5[[#This Row],[Order ID]],Table1[],4,FALSE)</f>
        <v>Anurag</v>
      </c>
      <c r="K125" t="str">
        <f>VLOOKUP(tbl_details5[[#This Row],[Order ID]],Table1[],5,FALSE)</f>
        <v>Madhya Pradesh</v>
      </c>
      <c r="L125" t="str">
        <f>VLOOKUP(tbl_details5[[#This Row],[Order ID]],Table1[],6,FALSE)</f>
        <v>Indore</v>
      </c>
    </row>
    <row r="126" spans="1:12" x14ac:dyDescent="0.25">
      <c r="A126" t="s">
        <v>141</v>
      </c>
      <c r="B126" s="4">
        <v>11</v>
      </c>
      <c r="C126" s="4">
        <v>-4</v>
      </c>
      <c r="D126" s="5">
        <f>tbl_details5[[#This Row],[Profit]]/tbl_details5[[#This Row],[Revenue]]</f>
        <v>-0.36363636363636365</v>
      </c>
      <c r="E126">
        <v>2</v>
      </c>
      <c r="F126" t="s">
        <v>885</v>
      </c>
      <c r="G126" t="s">
        <v>902</v>
      </c>
      <c r="H126" s="1">
        <f>VLOOKUP(tbl_details5[[#This Row],[Order ID]],Orders!A:F,2,FALSE)</f>
        <v>43227</v>
      </c>
      <c r="I126" s="1" t="str">
        <f>TEXT(tbl_details5[[#This Row],[Order Date]],"mmm-yy")</f>
        <v>May-18</v>
      </c>
      <c r="J126" t="str">
        <f>VLOOKUP(tbl_details5[[#This Row],[Order ID]],Table1[],4,FALSE)</f>
        <v>Anurag</v>
      </c>
      <c r="K126" t="str">
        <f>VLOOKUP(tbl_details5[[#This Row],[Order ID]],Table1[],5,FALSE)</f>
        <v>Madhya Pradesh</v>
      </c>
      <c r="L126" t="str">
        <f>VLOOKUP(tbl_details5[[#This Row],[Order ID]],Table1[],6,FALSE)</f>
        <v>Indore</v>
      </c>
    </row>
    <row r="127" spans="1:12" x14ac:dyDescent="0.25">
      <c r="A127" t="s">
        <v>141</v>
      </c>
      <c r="B127" s="4">
        <v>16</v>
      </c>
      <c r="C127" s="4">
        <v>-10</v>
      </c>
      <c r="D127" s="5">
        <f>tbl_details5[[#This Row],[Profit]]/tbl_details5[[#This Row],[Revenue]]</f>
        <v>-0.625</v>
      </c>
      <c r="E127">
        <v>2</v>
      </c>
      <c r="F127" t="s">
        <v>885</v>
      </c>
      <c r="G127" t="s">
        <v>895</v>
      </c>
      <c r="H127" s="1">
        <f>VLOOKUP(tbl_details5[[#This Row],[Order ID]],Orders!A:F,2,FALSE)</f>
        <v>43227</v>
      </c>
      <c r="I127" s="1" t="str">
        <f>TEXT(tbl_details5[[#This Row],[Order Date]],"mmm-yy")</f>
        <v>May-18</v>
      </c>
      <c r="J127" t="str">
        <f>VLOOKUP(tbl_details5[[#This Row],[Order ID]],Table1[],4,FALSE)</f>
        <v>Anurag</v>
      </c>
      <c r="K127" t="str">
        <f>VLOOKUP(tbl_details5[[#This Row],[Order ID]],Table1[],5,FALSE)</f>
        <v>Madhya Pradesh</v>
      </c>
      <c r="L127" t="str">
        <f>VLOOKUP(tbl_details5[[#This Row],[Order ID]],Table1[],6,FALSE)</f>
        <v>Indore</v>
      </c>
    </row>
    <row r="128" spans="1:12" x14ac:dyDescent="0.25">
      <c r="A128" t="s">
        <v>141</v>
      </c>
      <c r="B128" s="4">
        <v>172</v>
      </c>
      <c r="C128" s="4">
        <v>-103</v>
      </c>
      <c r="D128" s="5">
        <f>tbl_details5[[#This Row],[Profit]]/tbl_details5[[#This Row],[Revenue]]</f>
        <v>-0.59883720930232553</v>
      </c>
      <c r="E128">
        <v>3</v>
      </c>
      <c r="F128" t="s">
        <v>883</v>
      </c>
      <c r="G128" t="s">
        <v>893</v>
      </c>
      <c r="H128" s="1">
        <f>VLOOKUP(tbl_details5[[#This Row],[Order ID]],Orders!A:F,2,FALSE)</f>
        <v>43227</v>
      </c>
      <c r="I128" s="1" t="str">
        <f>TEXT(tbl_details5[[#This Row],[Order Date]],"mmm-yy")</f>
        <v>May-18</v>
      </c>
      <c r="J128" t="str">
        <f>VLOOKUP(tbl_details5[[#This Row],[Order ID]],Table1[],4,FALSE)</f>
        <v>Anurag</v>
      </c>
      <c r="K128" t="str">
        <f>VLOOKUP(tbl_details5[[#This Row],[Order ID]],Table1[],5,FALSE)</f>
        <v>Madhya Pradesh</v>
      </c>
      <c r="L128" t="str">
        <f>VLOOKUP(tbl_details5[[#This Row],[Order ID]],Table1[],6,FALSE)</f>
        <v>Indore</v>
      </c>
    </row>
    <row r="129" spans="1:12" x14ac:dyDescent="0.25">
      <c r="A129" t="s">
        <v>141</v>
      </c>
      <c r="B129" s="4">
        <v>49</v>
      </c>
      <c r="C129" s="4">
        <v>3</v>
      </c>
      <c r="D129" s="5">
        <f>tbl_details5[[#This Row],[Profit]]/tbl_details5[[#This Row],[Revenue]]</f>
        <v>6.1224489795918366E-2</v>
      </c>
      <c r="E129">
        <v>1</v>
      </c>
      <c r="F129" t="s">
        <v>885</v>
      </c>
      <c r="G129" t="s">
        <v>896</v>
      </c>
      <c r="H129" s="1">
        <f>VLOOKUP(tbl_details5[[#This Row],[Order ID]],Orders!A:F,2,FALSE)</f>
        <v>43227</v>
      </c>
      <c r="I129" s="1" t="str">
        <f>TEXT(tbl_details5[[#This Row],[Order Date]],"mmm-yy")</f>
        <v>May-18</v>
      </c>
      <c r="J129" t="str">
        <f>VLOOKUP(tbl_details5[[#This Row],[Order ID]],Table1[],4,FALSE)</f>
        <v>Anurag</v>
      </c>
      <c r="K129" t="str">
        <f>VLOOKUP(tbl_details5[[#This Row],[Order ID]],Table1[],5,FALSE)</f>
        <v>Madhya Pradesh</v>
      </c>
      <c r="L129" t="str">
        <f>VLOOKUP(tbl_details5[[#This Row],[Order ID]],Table1[],6,FALSE)</f>
        <v>Indore</v>
      </c>
    </row>
    <row r="130" spans="1:12" x14ac:dyDescent="0.25">
      <c r="A130" t="s">
        <v>141</v>
      </c>
      <c r="B130" s="4">
        <v>823</v>
      </c>
      <c r="C130" s="4">
        <v>-18</v>
      </c>
      <c r="D130" s="5">
        <f>tbl_details5[[#This Row],[Profit]]/tbl_details5[[#This Row],[Revenue]]</f>
        <v>-2.187120291616039E-2</v>
      </c>
      <c r="E130">
        <v>7</v>
      </c>
      <c r="F130" t="s">
        <v>883</v>
      </c>
      <c r="G130" t="s">
        <v>893</v>
      </c>
      <c r="H130" s="1">
        <f>VLOOKUP(tbl_details5[[#This Row],[Order ID]],Orders!A:F,2,FALSE)</f>
        <v>43227</v>
      </c>
      <c r="I130" s="1" t="str">
        <f>TEXT(tbl_details5[[#This Row],[Order Date]],"mmm-yy")</f>
        <v>May-18</v>
      </c>
      <c r="J130" t="str">
        <f>VLOOKUP(tbl_details5[[#This Row],[Order ID]],Table1[],4,FALSE)</f>
        <v>Anurag</v>
      </c>
      <c r="K130" t="str">
        <f>VLOOKUP(tbl_details5[[#This Row],[Order ID]],Table1[],5,FALSE)</f>
        <v>Madhya Pradesh</v>
      </c>
      <c r="L130" t="str">
        <f>VLOOKUP(tbl_details5[[#This Row],[Order ID]],Table1[],6,FALSE)</f>
        <v>Indore</v>
      </c>
    </row>
    <row r="131" spans="1:12" x14ac:dyDescent="0.25">
      <c r="A131" t="s">
        <v>141</v>
      </c>
      <c r="B131" s="4">
        <v>23</v>
      </c>
      <c r="C131" s="4">
        <v>4</v>
      </c>
      <c r="D131" s="5">
        <f>tbl_details5[[#This Row],[Profit]]/tbl_details5[[#This Row],[Revenue]]</f>
        <v>0.17391304347826086</v>
      </c>
      <c r="E131">
        <v>1</v>
      </c>
      <c r="F131" t="s">
        <v>885</v>
      </c>
      <c r="G131" t="s">
        <v>891</v>
      </c>
      <c r="H131" s="1">
        <f>VLOOKUP(tbl_details5[[#This Row],[Order ID]],Orders!A:F,2,FALSE)</f>
        <v>43227</v>
      </c>
      <c r="I131" s="1" t="str">
        <f>TEXT(tbl_details5[[#This Row],[Order Date]],"mmm-yy")</f>
        <v>May-18</v>
      </c>
      <c r="J131" t="str">
        <f>VLOOKUP(tbl_details5[[#This Row],[Order ID]],Table1[],4,FALSE)</f>
        <v>Anurag</v>
      </c>
      <c r="K131" t="str">
        <f>VLOOKUP(tbl_details5[[#This Row],[Order ID]],Table1[],5,FALSE)</f>
        <v>Madhya Pradesh</v>
      </c>
      <c r="L131" t="str">
        <f>VLOOKUP(tbl_details5[[#This Row],[Order ID]],Table1[],6,FALSE)</f>
        <v>Indore</v>
      </c>
    </row>
    <row r="132" spans="1:12" x14ac:dyDescent="0.25">
      <c r="A132" t="s">
        <v>141</v>
      </c>
      <c r="B132" s="4">
        <v>457</v>
      </c>
      <c r="C132" s="4">
        <v>-41</v>
      </c>
      <c r="D132" s="5">
        <f>tbl_details5[[#This Row],[Profit]]/tbl_details5[[#This Row],[Revenue]]</f>
        <v>-8.9715536105032828E-2</v>
      </c>
      <c r="E132">
        <v>4</v>
      </c>
      <c r="F132" t="s">
        <v>885</v>
      </c>
      <c r="G132" t="s">
        <v>891</v>
      </c>
      <c r="H132" s="1">
        <f>VLOOKUP(tbl_details5[[#This Row],[Order ID]],Orders!A:F,2,FALSE)</f>
        <v>43227</v>
      </c>
      <c r="I132" s="1" t="str">
        <f>TEXT(tbl_details5[[#This Row],[Order Date]],"mmm-yy")</f>
        <v>May-18</v>
      </c>
      <c r="J132" t="str">
        <f>VLOOKUP(tbl_details5[[#This Row],[Order ID]],Table1[],4,FALSE)</f>
        <v>Anurag</v>
      </c>
      <c r="K132" t="str">
        <f>VLOOKUP(tbl_details5[[#This Row],[Order ID]],Table1[],5,FALSE)</f>
        <v>Madhya Pradesh</v>
      </c>
      <c r="L132" t="str">
        <f>VLOOKUP(tbl_details5[[#This Row],[Order ID]],Table1[],6,FALSE)</f>
        <v>Indore</v>
      </c>
    </row>
    <row r="133" spans="1:12" x14ac:dyDescent="0.25">
      <c r="A133" t="s">
        <v>143</v>
      </c>
      <c r="B133" s="4">
        <v>24</v>
      </c>
      <c r="C133" s="4">
        <v>-21</v>
      </c>
      <c r="D133" s="5">
        <f>tbl_details5[[#This Row],[Profit]]/tbl_details5[[#This Row],[Revenue]]</f>
        <v>-0.875</v>
      </c>
      <c r="E133">
        <v>7</v>
      </c>
      <c r="F133" t="s">
        <v>885</v>
      </c>
      <c r="G133" t="s">
        <v>902</v>
      </c>
      <c r="H133" s="1">
        <f>VLOOKUP(tbl_details5[[#This Row],[Order ID]],Orders!A:F,2,FALSE)</f>
        <v>43228</v>
      </c>
      <c r="I133" s="1" t="str">
        <f>TEXT(tbl_details5[[#This Row],[Order Date]],"mmm-yy")</f>
        <v>May-18</v>
      </c>
      <c r="J133" t="str">
        <f>VLOOKUP(tbl_details5[[#This Row],[Order ID]],Table1[],4,FALSE)</f>
        <v>Tushina</v>
      </c>
      <c r="K133" t="str">
        <f>VLOOKUP(tbl_details5[[#This Row],[Order ID]],Table1[],5,FALSE)</f>
        <v>Goa</v>
      </c>
      <c r="L133" t="str">
        <f>VLOOKUP(tbl_details5[[#This Row],[Order ID]],Table1[],6,FALSE)</f>
        <v>Goa</v>
      </c>
    </row>
    <row r="134" spans="1:12" x14ac:dyDescent="0.25">
      <c r="A134" t="s">
        <v>143</v>
      </c>
      <c r="B134" s="4">
        <v>25</v>
      </c>
      <c r="C134" s="4">
        <v>-2</v>
      </c>
      <c r="D134" s="5">
        <f>tbl_details5[[#This Row],[Profit]]/tbl_details5[[#This Row],[Revenue]]</f>
        <v>-0.08</v>
      </c>
      <c r="E134">
        <v>5</v>
      </c>
      <c r="F134" t="s">
        <v>885</v>
      </c>
      <c r="G134" t="s">
        <v>887</v>
      </c>
      <c r="H134" s="1">
        <f>VLOOKUP(tbl_details5[[#This Row],[Order ID]],Orders!A:F,2,FALSE)</f>
        <v>43228</v>
      </c>
      <c r="I134" s="1" t="str">
        <f>TEXT(tbl_details5[[#This Row],[Order Date]],"mmm-yy")</f>
        <v>May-18</v>
      </c>
      <c r="J134" t="str">
        <f>VLOOKUP(tbl_details5[[#This Row],[Order ID]],Table1[],4,FALSE)</f>
        <v>Tushina</v>
      </c>
      <c r="K134" t="str">
        <f>VLOOKUP(tbl_details5[[#This Row],[Order ID]],Table1[],5,FALSE)</f>
        <v>Goa</v>
      </c>
      <c r="L134" t="str">
        <f>VLOOKUP(tbl_details5[[#This Row],[Order ID]],Table1[],6,FALSE)</f>
        <v>Goa</v>
      </c>
    </row>
    <row r="135" spans="1:12" x14ac:dyDescent="0.25">
      <c r="A135" t="s">
        <v>143</v>
      </c>
      <c r="B135" s="4">
        <v>174</v>
      </c>
      <c r="C135" s="4">
        <v>-70</v>
      </c>
      <c r="D135" s="5">
        <f>tbl_details5[[#This Row],[Profit]]/tbl_details5[[#This Row],[Revenue]]</f>
        <v>-0.40229885057471265</v>
      </c>
      <c r="E135">
        <v>3</v>
      </c>
      <c r="F135" t="s">
        <v>888</v>
      </c>
      <c r="G135" t="s">
        <v>900</v>
      </c>
      <c r="H135" s="1">
        <f>VLOOKUP(tbl_details5[[#This Row],[Order ID]],Orders!A:F,2,FALSE)</f>
        <v>43228</v>
      </c>
      <c r="I135" s="1" t="str">
        <f>TEXT(tbl_details5[[#This Row],[Order Date]],"mmm-yy")</f>
        <v>May-18</v>
      </c>
      <c r="J135" t="str">
        <f>VLOOKUP(tbl_details5[[#This Row],[Order ID]],Table1[],4,FALSE)</f>
        <v>Tushina</v>
      </c>
      <c r="K135" t="str">
        <f>VLOOKUP(tbl_details5[[#This Row],[Order ID]],Table1[],5,FALSE)</f>
        <v>Goa</v>
      </c>
      <c r="L135" t="str">
        <f>VLOOKUP(tbl_details5[[#This Row],[Order ID]],Table1[],6,FALSE)</f>
        <v>Goa</v>
      </c>
    </row>
    <row r="136" spans="1:12" x14ac:dyDescent="0.25">
      <c r="A136" t="s">
        <v>143</v>
      </c>
      <c r="B136" s="4">
        <v>206</v>
      </c>
      <c r="C136" s="4">
        <v>-206</v>
      </c>
      <c r="D136" s="5">
        <f>tbl_details5[[#This Row],[Profit]]/tbl_details5[[#This Row],[Revenue]]</f>
        <v>-1</v>
      </c>
      <c r="E136">
        <v>3</v>
      </c>
      <c r="F136" t="s">
        <v>885</v>
      </c>
      <c r="G136" t="s">
        <v>891</v>
      </c>
      <c r="H136" s="1">
        <f>VLOOKUP(tbl_details5[[#This Row],[Order ID]],Orders!A:F,2,FALSE)</f>
        <v>43228</v>
      </c>
      <c r="I136" s="1" t="str">
        <f>TEXT(tbl_details5[[#This Row],[Order Date]],"mmm-yy")</f>
        <v>May-18</v>
      </c>
      <c r="J136" t="str">
        <f>VLOOKUP(tbl_details5[[#This Row],[Order ID]],Table1[],4,FALSE)</f>
        <v>Tushina</v>
      </c>
      <c r="K136" t="str">
        <f>VLOOKUP(tbl_details5[[#This Row],[Order ID]],Table1[],5,FALSE)</f>
        <v>Goa</v>
      </c>
      <c r="L136" t="str">
        <f>VLOOKUP(tbl_details5[[#This Row],[Order ID]],Table1[],6,FALSE)</f>
        <v>Goa</v>
      </c>
    </row>
    <row r="137" spans="1:12" x14ac:dyDescent="0.25">
      <c r="A137" t="s">
        <v>143</v>
      </c>
      <c r="B137" s="4">
        <v>21</v>
      </c>
      <c r="C137" s="4">
        <v>-13</v>
      </c>
      <c r="D137" s="5">
        <f>tbl_details5[[#This Row],[Profit]]/tbl_details5[[#This Row],[Revenue]]</f>
        <v>-0.61904761904761907</v>
      </c>
      <c r="E137">
        <v>3</v>
      </c>
      <c r="F137" t="s">
        <v>885</v>
      </c>
      <c r="G137" t="s">
        <v>897</v>
      </c>
      <c r="H137" s="1">
        <f>VLOOKUP(tbl_details5[[#This Row],[Order ID]],Orders!A:F,2,FALSE)</f>
        <v>43228</v>
      </c>
      <c r="I137" s="1" t="str">
        <f>TEXT(tbl_details5[[#This Row],[Order Date]],"mmm-yy")</f>
        <v>May-18</v>
      </c>
      <c r="J137" t="str">
        <f>VLOOKUP(tbl_details5[[#This Row],[Order ID]],Table1[],4,FALSE)</f>
        <v>Tushina</v>
      </c>
      <c r="K137" t="str">
        <f>VLOOKUP(tbl_details5[[#This Row],[Order ID]],Table1[],5,FALSE)</f>
        <v>Goa</v>
      </c>
      <c r="L137" t="str">
        <f>VLOOKUP(tbl_details5[[#This Row],[Order ID]],Table1[],6,FALSE)</f>
        <v>Goa</v>
      </c>
    </row>
    <row r="138" spans="1:12" x14ac:dyDescent="0.25">
      <c r="A138" t="s">
        <v>143</v>
      </c>
      <c r="B138" s="4">
        <v>34</v>
      </c>
      <c r="C138" s="4">
        <v>-6</v>
      </c>
      <c r="D138" s="5">
        <f>tbl_details5[[#This Row],[Profit]]/tbl_details5[[#This Row],[Revenue]]</f>
        <v>-0.17647058823529413</v>
      </c>
      <c r="E138">
        <v>4</v>
      </c>
      <c r="F138" t="s">
        <v>885</v>
      </c>
      <c r="G138" t="s">
        <v>897</v>
      </c>
      <c r="H138" s="1">
        <f>VLOOKUP(tbl_details5[[#This Row],[Order ID]],Orders!A:F,2,FALSE)</f>
        <v>43228</v>
      </c>
      <c r="I138" s="1" t="str">
        <f>TEXT(tbl_details5[[#This Row],[Order Date]],"mmm-yy")</f>
        <v>May-18</v>
      </c>
      <c r="J138" t="str">
        <f>VLOOKUP(tbl_details5[[#This Row],[Order ID]],Table1[],4,FALSE)</f>
        <v>Tushina</v>
      </c>
      <c r="K138" t="str">
        <f>VLOOKUP(tbl_details5[[#This Row],[Order ID]],Table1[],5,FALSE)</f>
        <v>Goa</v>
      </c>
      <c r="L138" t="str">
        <f>VLOOKUP(tbl_details5[[#This Row],[Order ID]],Table1[],6,FALSE)</f>
        <v>Goa</v>
      </c>
    </row>
    <row r="139" spans="1:12" x14ac:dyDescent="0.25">
      <c r="A139" t="s">
        <v>143</v>
      </c>
      <c r="B139" s="4">
        <v>9</v>
      </c>
      <c r="C139" s="4">
        <v>-6</v>
      </c>
      <c r="D139" s="5">
        <f>tbl_details5[[#This Row],[Profit]]/tbl_details5[[#This Row],[Revenue]]</f>
        <v>-0.66666666666666663</v>
      </c>
      <c r="E139">
        <v>2</v>
      </c>
      <c r="F139" t="s">
        <v>885</v>
      </c>
      <c r="G139" t="s">
        <v>887</v>
      </c>
      <c r="H139" s="1">
        <f>VLOOKUP(tbl_details5[[#This Row],[Order ID]],Orders!A:F,2,FALSE)</f>
        <v>43228</v>
      </c>
      <c r="I139" s="1" t="str">
        <f>TEXT(tbl_details5[[#This Row],[Order Date]],"mmm-yy")</f>
        <v>May-18</v>
      </c>
      <c r="J139" t="str">
        <f>VLOOKUP(tbl_details5[[#This Row],[Order ID]],Table1[],4,FALSE)</f>
        <v>Tushina</v>
      </c>
      <c r="K139" t="str">
        <f>VLOOKUP(tbl_details5[[#This Row],[Order ID]],Table1[],5,FALSE)</f>
        <v>Goa</v>
      </c>
      <c r="L139" t="str">
        <f>VLOOKUP(tbl_details5[[#This Row],[Order ID]],Table1[],6,FALSE)</f>
        <v>Goa</v>
      </c>
    </row>
    <row r="140" spans="1:12" x14ac:dyDescent="0.25">
      <c r="A140" t="s">
        <v>145</v>
      </c>
      <c r="B140" s="4">
        <v>1279</v>
      </c>
      <c r="C140" s="4">
        <v>-640</v>
      </c>
      <c r="D140" s="5">
        <f>tbl_details5[[#This Row],[Profit]]/tbl_details5[[#This Row],[Revenue]]</f>
        <v>-0.5003909304143862</v>
      </c>
      <c r="E140">
        <v>8</v>
      </c>
      <c r="F140" t="s">
        <v>888</v>
      </c>
      <c r="G140" t="s">
        <v>899</v>
      </c>
      <c r="H140" s="1">
        <f>VLOOKUP(tbl_details5[[#This Row],[Order ID]],Orders!A:F,2,FALSE)</f>
        <v>43228</v>
      </c>
      <c r="I140" s="1" t="str">
        <f>TEXT(tbl_details5[[#This Row],[Order Date]],"mmm-yy")</f>
        <v>May-18</v>
      </c>
      <c r="J140" t="str">
        <f>VLOOKUP(tbl_details5[[#This Row],[Order ID]],Table1[],4,FALSE)</f>
        <v>Farah</v>
      </c>
      <c r="K140" t="str">
        <f>VLOOKUP(tbl_details5[[#This Row],[Order ID]],Table1[],5,FALSE)</f>
        <v>Nagaland</v>
      </c>
      <c r="L140" t="str">
        <f>VLOOKUP(tbl_details5[[#This Row],[Order ID]],Table1[],6,FALSE)</f>
        <v>Kohima</v>
      </c>
    </row>
    <row r="141" spans="1:12" x14ac:dyDescent="0.25">
      <c r="A141" t="s">
        <v>145</v>
      </c>
      <c r="B141" s="4">
        <v>28</v>
      </c>
      <c r="C141" s="4">
        <v>-3</v>
      </c>
      <c r="D141" s="5">
        <f>tbl_details5[[#This Row],[Profit]]/tbl_details5[[#This Row],[Revenue]]</f>
        <v>-0.10714285714285714</v>
      </c>
      <c r="E141">
        <v>2</v>
      </c>
      <c r="F141" t="s">
        <v>885</v>
      </c>
      <c r="G141" t="s">
        <v>891</v>
      </c>
      <c r="H141" s="1">
        <f>VLOOKUP(tbl_details5[[#This Row],[Order ID]],Orders!A:F,2,FALSE)</f>
        <v>43228</v>
      </c>
      <c r="I141" s="1" t="str">
        <f>TEXT(tbl_details5[[#This Row],[Order Date]],"mmm-yy")</f>
        <v>May-18</v>
      </c>
      <c r="J141" t="str">
        <f>VLOOKUP(tbl_details5[[#This Row],[Order ID]],Table1[],4,FALSE)</f>
        <v>Farah</v>
      </c>
      <c r="K141" t="str">
        <f>VLOOKUP(tbl_details5[[#This Row],[Order ID]],Table1[],5,FALSE)</f>
        <v>Nagaland</v>
      </c>
      <c r="L141" t="str">
        <f>VLOOKUP(tbl_details5[[#This Row],[Order ID]],Table1[],6,FALSE)</f>
        <v>Kohima</v>
      </c>
    </row>
    <row r="142" spans="1:12" x14ac:dyDescent="0.25">
      <c r="A142" t="s">
        <v>145</v>
      </c>
      <c r="B142" s="4">
        <v>427</v>
      </c>
      <c r="C142" s="4">
        <v>-50</v>
      </c>
      <c r="D142" s="5">
        <f>tbl_details5[[#This Row],[Profit]]/tbl_details5[[#This Row],[Revenue]]</f>
        <v>-0.117096018735363</v>
      </c>
      <c r="E142">
        <v>7</v>
      </c>
      <c r="F142" t="s">
        <v>888</v>
      </c>
      <c r="G142" t="s">
        <v>890</v>
      </c>
      <c r="H142" s="1">
        <f>VLOOKUP(tbl_details5[[#This Row],[Order ID]],Orders!A:F,2,FALSE)</f>
        <v>43228</v>
      </c>
      <c r="I142" s="1" t="str">
        <f>TEXT(tbl_details5[[#This Row],[Order Date]],"mmm-yy")</f>
        <v>May-18</v>
      </c>
      <c r="J142" t="str">
        <f>VLOOKUP(tbl_details5[[#This Row],[Order ID]],Table1[],4,FALSE)</f>
        <v>Farah</v>
      </c>
      <c r="K142" t="str">
        <f>VLOOKUP(tbl_details5[[#This Row],[Order ID]],Table1[],5,FALSE)</f>
        <v>Nagaland</v>
      </c>
      <c r="L142" t="str">
        <f>VLOOKUP(tbl_details5[[#This Row],[Order ID]],Table1[],6,FALSE)</f>
        <v>Kohima</v>
      </c>
    </row>
    <row r="143" spans="1:12" x14ac:dyDescent="0.25">
      <c r="A143" t="s">
        <v>145</v>
      </c>
      <c r="B143" s="4">
        <v>168</v>
      </c>
      <c r="C143" s="4">
        <v>-10</v>
      </c>
      <c r="D143" s="5">
        <f>tbl_details5[[#This Row],[Profit]]/tbl_details5[[#This Row],[Revenue]]</f>
        <v>-5.9523809523809521E-2</v>
      </c>
      <c r="E143">
        <v>3</v>
      </c>
      <c r="F143" t="s">
        <v>888</v>
      </c>
      <c r="G143" t="s">
        <v>900</v>
      </c>
      <c r="H143" s="1">
        <f>VLOOKUP(tbl_details5[[#This Row],[Order ID]],Orders!A:F,2,FALSE)</f>
        <v>43228</v>
      </c>
      <c r="I143" s="1" t="str">
        <f>TEXT(tbl_details5[[#This Row],[Order Date]],"mmm-yy")</f>
        <v>May-18</v>
      </c>
      <c r="J143" t="str">
        <f>VLOOKUP(tbl_details5[[#This Row],[Order ID]],Table1[],4,FALSE)</f>
        <v>Farah</v>
      </c>
      <c r="K143" t="str">
        <f>VLOOKUP(tbl_details5[[#This Row],[Order ID]],Table1[],5,FALSE)</f>
        <v>Nagaland</v>
      </c>
      <c r="L143" t="str">
        <f>VLOOKUP(tbl_details5[[#This Row],[Order ID]],Table1[],6,FALSE)</f>
        <v>Kohima</v>
      </c>
    </row>
    <row r="144" spans="1:12" x14ac:dyDescent="0.25">
      <c r="A144" t="s">
        <v>145</v>
      </c>
      <c r="B144" s="4">
        <v>1327</v>
      </c>
      <c r="C144" s="4">
        <v>318</v>
      </c>
      <c r="D144" s="5">
        <f>tbl_details5[[#This Row],[Profit]]/tbl_details5[[#This Row],[Revenue]]</f>
        <v>0.23963828183873398</v>
      </c>
      <c r="E144">
        <v>8</v>
      </c>
      <c r="F144" t="s">
        <v>883</v>
      </c>
      <c r="G144" t="s">
        <v>893</v>
      </c>
      <c r="H144" s="1">
        <f>VLOOKUP(tbl_details5[[#This Row],[Order ID]],Orders!A:F,2,FALSE)</f>
        <v>43228</v>
      </c>
      <c r="I144" s="1" t="str">
        <f>TEXT(tbl_details5[[#This Row],[Order Date]],"mmm-yy")</f>
        <v>May-18</v>
      </c>
      <c r="J144" t="str">
        <f>VLOOKUP(tbl_details5[[#This Row],[Order ID]],Table1[],4,FALSE)</f>
        <v>Farah</v>
      </c>
      <c r="K144" t="str">
        <f>VLOOKUP(tbl_details5[[#This Row],[Order ID]],Table1[],5,FALSE)</f>
        <v>Nagaland</v>
      </c>
      <c r="L144" t="str">
        <f>VLOOKUP(tbl_details5[[#This Row],[Order ID]],Table1[],6,FALSE)</f>
        <v>Kohima</v>
      </c>
    </row>
    <row r="145" spans="1:12" x14ac:dyDescent="0.25">
      <c r="A145" t="s">
        <v>145</v>
      </c>
      <c r="B145" s="4">
        <v>195</v>
      </c>
      <c r="C145" s="4">
        <v>-117</v>
      </c>
      <c r="D145" s="5">
        <f>tbl_details5[[#This Row],[Profit]]/tbl_details5[[#This Row],[Revenue]]</f>
        <v>-0.6</v>
      </c>
      <c r="E145">
        <v>5</v>
      </c>
      <c r="F145" t="s">
        <v>888</v>
      </c>
      <c r="G145" t="s">
        <v>890</v>
      </c>
      <c r="H145" s="1">
        <f>VLOOKUP(tbl_details5[[#This Row],[Order ID]],Orders!A:F,2,FALSE)</f>
        <v>43228</v>
      </c>
      <c r="I145" s="1" t="str">
        <f>TEXT(tbl_details5[[#This Row],[Order Date]],"mmm-yy")</f>
        <v>May-18</v>
      </c>
      <c r="J145" t="str">
        <f>VLOOKUP(tbl_details5[[#This Row],[Order ID]],Table1[],4,FALSE)</f>
        <v>Farah</v>
      </c>
      <c r="K145" t="str">
        <f>VLOOKUP(tbl_details5[[#This Row],[Order ID]],Table1[],5,FALSE)</f>
        <v>Nagaland</v>
      </c>
      <c r="L145" t="str">
        <f>VLOOKUP(tbl_details5[[#This Row],[Order ID]],Table1[],6,FALSE)</f>
        <v>Kohima</v>
      </c>
    </row>
    <row r="146" spans="1:12" x14ac:dyDescent="0.25">
      <c r="A146" t="s">
        <v>145</v>
      </c>
      <c r="B146" s="4">
        <v>115</v>
      </c>
      <c r="C146" s="4">
        <v>25</v>
      </c>
      <c r="D146" s="5">
        <f>tbl_details5[[#This Row],[Profit]]/tbl_details5[[#This Row],[Revenue]]</f>
        <v>0.21739130434782608</v>
      </c>
      <c r="E146">
        <v>1</v>
      </c>
      <c r="F146" t="s">
        <v>888</v>
      </c>
      <c r="G146" t="s">
        <v>900</v>
      </c>
      <c r="H146" s="1">
        <f>VLOOKUP(tbl_details5[[#This Row],[Order ID]],Orders!A:F,2,FALSE)</f>
        <v>43228</v>
      </c>
      <c r="I146" s="1" t="str">
        <f>TEXT(tbl_details5[[#This Row],[Order Date]],"mmm-yy")</f>
        <v>May-18</v>
      </c>
      <c r="J146" t="str">
        <f>VLOOKUP(tbl_details5[[#This Row],[Order ID]],Table1[],4,FALSE)</f>
        <v>Farah</v>
      </c>
      <c r="K146" t="str">
        <f>VLOOKUP(tbl_details5[[#This Row],[Order ID]],Table1[],5,FALSE)</f>
        <v>Nagaland</v>
      </c>
      <c r="L146" t="str">
        <f>VLOOKUP(tbl_details5[[#This Row],[Order ID]],Table1[],6,FALSE)</f>
        <v>Kohima</v>
      </c>
    </row>
    <row r="147" spans="1:12" x14ac:dyDescent="0.25">
      <c r="A147" t="s">
        <v>145</v>
      </c>
      <c r="B147" s="4">
        <v>668</v>
      </c>
      <c r="C147" s="4">
        <v>-31</v>
      </c>
      <c r="D147" s="5">
        <f>tbl_details5[[#This Row],[Profit]]/tbl_details5[[#This Row],[Revenue]]</f>
        <v>-4.6407185628742513E-2</v>
      </c>
      <c r="E147">
        <v>3</v>
      </c>
      <c r="F147" t="s">
        <v>888</v>
      </c>
      <c r="G147" t="s">
        <v>899</v>
      </c>
      <c r="H147" s="1">
        <f>VLOOKUP(tbl_details5[[#This Row],[Order ID]],Orders!A:F,2,FALSE)</f>
        <v>43228</v>
      </c>
      <c r="I147" s="1" t="str">
        <f>TEXT(tbl_details5[[#This Row],[Order Date]],"mmm-yy")</f>
        <v>May-18</v>
      </c>
      <c r="J147" t="str">
        <f>VLOOKUP(tbl_details5[[#This Row],[Order ID]],Table1[],4,FALSE)</f>
        <v>Farah</v>
      </c>
      <c r="K147" t="str">
        <f>VLOOKUP(tbl_details5[[#This Row],[Order ID]],Table1[],5,FALSE)</f>
        <v>Nagaland</v>
      </c>
      <c r="L147" t="str">
        <f>VLOOKUP(tbl_details5[[#This Row],[Order ID]],Table1[],6,FALSE)</f>
        <v>Kohima</v>
      </c>
    </row>
    <row r="148" spans="1:12" x14ac:dyDescent="0.25">
      <c r="A148" t="s">
        <v>145</v>
      </c>
      <c r="B148" s="4">
        <v>227</v>
      </c>
      <c r="C148" s="4">
        <v>102</v>
      </c>
      <c r="D148" s="5">
        <f>tbl_details5[[#This Row],[Profit]]/tbl_details5[[#This Row],[Revenue]]</f>
        <v>0.44933920704845814</v>
      </c>
      <c r="E148">
        <v>8</v>
      </c>
      <c r="F148" t="s">
        <v>888</v>
      </c>
      <c r="G148" t="s">
        <v>900</v>
      </c>
      <c r="H148" s="1">
        <f>VLOOKUP(tbl_details5[[#This Row],[Order ID]],Orders!A:F,2,FALSE)</f>
        <v>43228</v>
      </c>
      <c r="I148" s="1" t="str">
        <f>TEXT(tbl_details5[[#This Row],[Order Date]],"mmm-yy")</f>
        <v>May-18</v>
      </c>
      <c r="J148" t="str">
        <f>VLOOKUP(tbl_details5[[#This Row],[Order ID]],Table1[],4,FALSE)</f>
        <v>Farah</v>
      </c>
      <c r="K148" t="str">
        <f>VLOOKUP(tbl_details5[[#This Row],[Order ID]],Table1[],5,FALSE)</f>
        <v>Nagaland</v>
      </c>
      <c r="L148" t="str">
        <f>VLOOKUP(tbl_details5[[#This Row],[Order ID]],Table1[],6,FALSE)</f>
        <v>Kohima</v>
      </c>
    </row>
    <row r="149" spans="1:12" x14ac:dyDescent="0.25">
      <c r="A149" t="s">
        <v>147</v>
      </c>
      <c r="B149" s="4">
        <v>34</v>
      </c>
      <c r="C149" s="4">
        <v>12</v>
      </c>
      <c r="D149" s="5">
        <f>tbl_details5[[#This Row],[Profit]]/tbl_details5[[#This Row],[Revenue]]</f>
        <v>0.35294117647058826</v>
      </c>
      <c r="E149">
        <v>3</v>
      </c>
      <c r="F149" t="s">
        <v>885</v>
      </c>
      <c r="G149" t="s">
        <v>887</v>
      </c>
      <c r="H149" s="1">
        <f>VLOOKUP(tbl_details5[[#This Row],[Order ID]],Orders!A:F,2,FALSE)</f>
        <v>43230</v>
      </c>
      <c r="I149" s="1" t="str">
        <f>TEXT(tbl_details5[[#This Row],[Order Date]],"mmm-yy")</f>
        <v>May-18</v>
      </c>
      <c r="J149" t="str">
        <f>VLOOKUP(tbl_details5[[#This Row],[Order ID]],Table1[],4,FALSE)</f>
        <v>Sabah</v>
      </c>
      <c r="K149" t="str">
        <f>VLOOKUP(tbl_details5[[#This Row],[Order ID]],Table1[],5,FALSE)</f>
        <v>Maharashtra</v>
      </c>
      <c r="L149" t="str">
        <f>VLOOKUP(tbl_details5[[#This Row],[Order ID]],Table1[],6,FALSE)</f>
        <v>Mumbai</v>
      </c>
    </row>
    <row r="150" spans="1:12" x14ac:dyDescent="0.25">
      <c r="A150" t="s">
        <v>147</v>
      </c>
      <c r="B150" s="4">
        <v>229</v>
      </c>
      <c r="C150" s="4">
        <v>-23</v>
      </c>
      <c r="D150" s="5">
        <f>tbl_details5[[#This Row],[Profit]]/tbl_details5[[#This Row],[Revenue]]</f>
        <v>-0.10043668122270742</v>
      </c>
      <c r="E150">
        <v>2</v>
      </c>
      <c r="F150" t="s">
        <v>885</v>
      </c>
      <c r="G150" t="s">
        <v>891</v>
      </c>
      <c r="H150" s="1">
        <f>VLOOKUP(tbl_details5[[#This Row],[Order ID]],Orders!A:F,2,FALSE)</f>
        <v>43230</v>
      </c>
      <c r="I150" s="1" t="str">
        <f>TEXT(tbl_details5[[#This Row],[Order Date]],"mmm-yy")</f>
        <v>May-18</v>
      </c>
      <c r="J150" t="str">
        <f>VLOOKUP(tbl_details5[[#This Row],[Order ID]],Table1[],4,FALSE)</f>
        <v>Sabah</v>
      </c>
      <c r="K150" t="str">
        <f>VLOOKUP(tbl_details5[[#This Row],[Order ID]],Table1[],5,FALSE)</f>
        <v>Maharashtra</v>
      </c>
      <c r="L150" t="str">
        <f>VLOOKUP(tbl_details5[[#This Row],[Order ID]],Table1[],6,FALSE)</f>
        <v>Mumbai</v>
      </c>
    </row>
    <row r="151" spans="1:12" x14ac:dyDescent="0.25">
      <c r="A151" t="s">
        <v>147</v>
      </c>
      <c r="B151" s="4">
        <v>54</v>
      </c>
      <c r="C151" s="4">
        <v>-3</v>
      </c>
      <c r="D151" s="5">
        <f>tbl_details5[[#This Row],[Profit]]/tbl_details5[[#This Row],[Revenue]]</f>
        <v>-5.5555555555555552E-2</v>
      </c>
      <c r="E151">
        <v>3</v>
      </c>
      <c r="F151" t="s">
        <v>885</v>
      </c>
      <c r="G151" t="s">
        <v>891</v>
      </c>
      <c r="H151" s="1">
        <f>VLOOKUP(tbl_details5[[#This Row],[Order ID]],Orders!A:F,2,FALSE)</f>
        <v>43230</v>
      </c>
      <c r="I151" s="1" t="str">
        <f>TEXT(tbl_details5[[#This Row],[Order Date]],"mmm-yy")</f>
        <v>May-18</v>
      </c>
      <c r="J151" t="str">
        <f>VLOOKUP(tbl_details5[[#This Row],[Order ID]],Table1[],4,FALSE)</f>
        <v>Sabah</v>
      </c>
      <c r="K151" t="str">
        <f>VLOOKUP(tbl_details5[[#This Row],[Order ID]],Table1[],5,FALSE)</f>
        <v>Maharashtra</v>
      </c>
      <c r="L151" t="str">
        <f>VLOOKUP(tbl_details5[[#This Row],[Order ID]],Table1[],6,FALSE)</f>
        <v>Mumbai</v>
      </c>
    </row>
    <row r="152" spans="1:12" x14ac:dyDescent="0.25">
      <c r="A152" t="s">
        <v>147</v>
      </c>
      <c r="B152" s="4">
        <v>269</v>
      </c>
      <c r="C152" s="4">
        <v>-86</v>
      </c>
      <c r="D152" s="5">
        <f>tbl_details5[[#This Row],[Profit]]/tbl_details5[[#This Row],[Revenue]]</f>
        <v>-0.31970260223048325</v>
      </c>
      <c r="E152">
        <v>2</v>
      </c>
      <c r="F152" t="s">
        <v>888</v>
      </c>
      <c r="G152" t="s">
        <v>889</v>
      </c>
      <c r="H152" s="1">
        <f>VLOOKUP(tbl_details5[[#This Row],[Order ID]],Orders!A:F,2,FALSE)</f>
        <v>43230</v>
      </c>
      <c r="I152" s="1" t="str">
        <f>TEXT(tbl_details5[[#This Row],[Order Date]],"mmm-yy")</f>
        <v>May-18</v>
      </c>
      <c r="J152" t="str">
        <f>VLOOKUP(tbl_details5[[#This Row],[Order ID]],Table1[],4,FALSE)</f>
        <v>Sabah</v>
      </c>
      <c r="K152" t="str">
        <f>VLOOKUP(tbl_details5[[#This Row],[Order ID]],Table1[],5,FALSE)</f>
        <v>Maharashtra</v>
      </c>
      <c r="L152" t="str">
        <f>VLOOKUP(tbl_details5[[#This Row],[Order ID]],Table1[],6,FALSE)</f>
        <v>Mumbai</v>
      </c>
    </row>
    <row r="153" spans="1:12" x14ac:dyDescent="0.25">
      <c r="A153" t="s">
        <v>147</v>
      </c>
      <c r="B153" s="4">
        <v>122</v>
      </c>
      <c r="C153" s="4">
        <v>-21</v>
      </c>
      <c r="D153" s="5">
        <f>tbl_details5[[#This Row],[Profit]]/tbl_details5[[#This Row],[Revenue]]</f>
        <v>-0.1721311475409836</v>
      </c>
      <c r="E153">
        <v>3</v>
      </c>
      <c r="F153" t="s">
        <v>883</v>
      </c>
      <c r="G153" t="s">
        <v>901</v>
      </c>
      <c r="H153" s="1">
        <f>VLOOKUP(tbl_details5[[#This Row],[Order ID]],Orders!A:F,2,FALSE)</f>
        <v>43230</v>
      </c>
      <c r="I153" s="1" t="str">
        <f>TEXT(tbl_details5[[#This Row],[Order Date]],"mmm-yy")</f>
        <v>May-18</v>
      </c>
      <c r="J153" t="str">
        <f>VLOOKUP(tbl_details5[[#This Row],[Order ID]],Table1[],4,FALSE)</f>
        <v>Sabah</v>
      </c>
      <c r="K153" t="str">
        <f>VLOOKUP(tbl_details5[[#This Row],[Order ID]],Table1[],5,FALSE)</f>
        <v>Maharashtra</v>
      </c>
      <c r="L153" t="str">
        <f>VLOOKUP(tbl_details5[[#This Row],[Order ID]],Table1[],6,FALSE)</f>
        <v>Mumbai</v>
      </c>
    </row>
    <row r="154" spans="1:12" x14ac:dyDescent="0.25">
      <c r="A154" t="s">
        <v>147</v>
      </c>
      <c r="B154" s="4">
        <v>105</v>
      </c>
      <c r="C154" s="4">
        <v>46</v>
      </c>
      <c r="D154" s="5">
        <f>tbl_details5[[#This Row],[Profit]]/tbl_details5[[#This Row],[Revenue]]</f>
        <v>0.43809523809523809</v>
      </c>
      <c r="E154">
        <v>2</v>
      </c>
      <c r="F154" t="s">
        <v>885</v>
      </c>
      <c r="G154" t="s">
        <v>886</v>
      </c>
      <c r="H154" s="1">
        <f>VLOOKUP(tbl_details5[[#This Row],[Order ID]],Orders!A:F,2,FALSE)</f>
        <v>43230</v>
      </c>
      <c r="I154" s="1" t="str">
        <f>TEXT(tbl_details5[[#This Row],[Order Date]],"mmm-yy")</f>
        <v>May-18</v>
      </c>
      <c r="J154" t="str">
        <f>VLOOKUP(tbl_details5[[#This Row],[Order ID]],Table1[],4,FALSE)</f>
        <v>Sabah</v>
      </c>
      <c r="K154" t="str">
        <f>VLOOKUP(tbl_details5[[#This Row],[Order ID]],Table1[],5,FALSE)</f>
        <v>Maharashtra</v>
      </c>
      <c r="L154" t="str">
        <f>VLOOKUP(tbl_details5[[#This Row],[Order ID]],Table1[],6,FALSE)</f>
        <v>Mumbai</v>
      </c>
    </row>
    <row r="155" spans="1:12" x14ac:dyDescent="0.25">
      <c r="A155" t="s">
        <v>147</v>
      </c>
      <c r="B155" s="4">
        <v>450</v>
      </c>
      <c r="C155" s="4">
        <v>-90</v>
      </c>
      <c r="D155" s="5">
        <f>tbl_details5[[#This Row],[Profit]]/tbl_details5[[#This Row],[Revenue]]</f>
        <v>-0.2</v>
      </c>
      <c r="E155">
        <v>3</v>
      </c>
      <c r="F155" t="s">
        <v>888</v>
      </c>
      <c r="G155" t="s">
        <v>899</v>
      </c>
      <c r="H155" s="1">
        <f>VLOOKUP(tbl_details5[[#This Row],[Order ID]],Orders!A:F,2,FALSE)</f>
        <v>43230</v>
      </c>
      <c r="I155" s="1" t="str">
        <f>TEXT(tbl_details5[[#This Row],[Order Date]],"mmm-yy")</f>
        <v>May-18</v>
      </c>
      <c r="J155" t="str">
        <f>VLOOKUP(tbl_details5[[#This Row],[Order ID]],Table1[],4,FALSE)</f>
        <v>Sabah</v>
      </c>
      <c r="K155" t="str">
        <f>VLOOKUP(tbl_details5[[#This Row],[Order ID]],Table1[],5,FALSE)</f>
        <v>Maharashtra</v>
      </c>
      <c r="L155" t="str">
        <f>VLOOKUP(tbl_details5[[#This Row],[Order ID]],Table1[],6,FALSE)</f>
        <v>Mumbai</v>
      </c>
    </row>
    <row r="156" spans="1:12" x14ac:dyDescent="0.25">
      <c r="A156" t="s">
        <v>147</v>
      </c>
      <c r="B156" s="4">
        <v>121</v>
      </c>
      <c r="C156" s="4">
        <v>-17</v>
      </c>
      <c r="D156" s="5">
        <f>tbl_details5[[#This Row],[Profit]]/tbl_details5[[#This Row],[Revenue]]</f>
        <v>-0.14049586776859505</v>
      </c>
      <c r="E156">
        <v>3</v>
      </c>
      <c r="F156" t="s">
        <v>883</v>
      </c>
      <c r="G156" t="s">
        <v>901</v>
      </c>
      <c r="H156" s="1">
        <f>VLOOKUP(tbl_details5[[#This Row],[Order ID]],Orders!A:F,2,FALSE)</f>
        <v>43230</v>
      </c>
      <c r="I156" s="1" t="str">
        <f>TEXT(tbl_details5[[#This Row],[Order Date]],"mmm-yy")</f>
        <v>May-18</v>
      </c>
      <c r="J156" t="str">
        <f>VLOOKUP(tbl_details5[[#This Row],[Order ID]],Table1[],4,FALSE)</f>
        <v>Sabah</v>
      </c>
      <c r="K156" t="str">
        <f>VLOOKUP(tbl_details5[[#This Row],[Order ID]],Table1[],5,FALSE)</f>
        <v>Maharashtra</v>
      </c>
      <c r="L156" t="str">
        <f>VLOOKUP(tbl_details5[[#This Row],[Order ID]],Table1[],6,FALSE)</f>
        <v>Mumbai</v>
      </c>
    </row>
    <row r="157" spans="1:12" x14ac:dyDescent="0.25">
      <c r="A157" t="s">
        <v>149</v>
      </c>
      <c r="B157" s="4">
        <v>44</v>
      </c>
      <c r="C157" s="4">
        <v>-26</v>
      </c>
      <c r="D157" s="5">
        <f>tbl_details5[[#This Row],[Profit]]/tbl_details5[[#This Row],[Revenue]]</f>
        <v>-0.59090909090909094</v>
      </c>
      <c r="E157">
        <v>3</v>
      </c>
      <c r="F157" t="s">
        <v>885</v>
      </c>
      <c r="G157" t="s">
        <v>887</v>
      </c>
      <c r="H157" s="1">
        <f>VLOOKUP(tbl_details5[[#This Row],[Order ID]],Orders!A:F,2,FALSE)</f>
        <v>43231</v>
      </c>
      <c r="I157" s="1" t="str">
        <f>TEXT(tbl_details5[[#This Row],[Order Date]],"mmm-yy")</f>
        <v>May-18</v>
      </c>
      <c r="J157" t="str">
        <f>VLOOKUP(tbl_details5[[#This Row],[Order ID]],Table1[],4,FALSE)</f>
        <v>Nida</v>
      </c>
      <c r="K157" t="str">
        <f>VLOOKUP(tbl_details5[[#This Row],[Order ID]],Table1[],5,FALSE)</f>
        <v>Madhya Pradesh</v>
      </c>
      <c r="L157" t="str">
        <f>VLOOKUP(tbl_details5[[#This Row],[Order ID]],Table1[],6,FALSE)</f>
        <v>Indore</v>
      </c>
    </row>
    <row r="158" spans="1:12" x14ac:dyDescent="0.25">
      <c r="A158" t="s">
        <v>149</v>
      </c>
      <c r="B158" s="4">
        <v>7</v>
      </c>
      <c r="C158" s="4">
        <v>-4</v>
      </c>
      <c r="D158" s="5">
        <f>tbl_details5[[#This Row],[Profit]]/tbl_details5[[#This Row],[Revenue]]</f>
        <v>-0.5714285714285714</v>
      </c>
      <c r="E158">
        <v>3</v>
      </c>
      <c r="F158" t="s">
        <v>885</v>
      </c>
      <c r="G158" t="s">
        <v>887</v>
      </c>
      <c r="H158" s="1">
        <f>VLOOKUP(tbl_details5[[#This Row],[Order ID]],Orders!A:F,2,FALSE)</f>
        <v>43231</v>
      </c>
      <c r="I158" s="1" t="str">
        <f>TEXT(tbl_details5[[#This Row],[Order Date]],"mmm-yy")</f>
        <v>May-18</v>
      </c>
      <c r="J158" t="str">
        <f>VLOOKUP(tbl_details5[[#This Row],[Order ID]],Table1[],4,FALSE)</f>
        <v>Nida</v>
      </c>
      <c r="K158" t="str">
        <f>VLOOKUP(tbl_details5[[#This Row],[Order ID]],Table1[],5,FALSE)</f>
        <v>Madhya Pradesh</v>
      </c>
      <c r="L158" t="str">
        <f>VLOOKUP(tbl_details5[[#This Row],[Order ID]],Table1[],6,FALSE)</f>
        <v>Indore</v>
      </c>
    </row>
    <row r="159" spans="1:12" x14ac:dyDescent="0.25">
      <c r="A159" t="s">
        <v>149</v>
      </c>
      <c r="B159" s="4">
        <v>396</v>
      </c>
      <c r="C159" s="4">
        <v>-31</v>
      </c>
      <c r="D159" s="5">
        <f>tbl_details5[[#This Row],[Profit]]/tbl_details5[[#This Row],[Revenue]]</f>
        <v>-7.8282828282828287E-2</v>
      </c>
      <c r="E159">
        <v>9</v>
      </c>
      <c r="F159" t="s">
        <v>885</v>
      </c>
      <c r="G159" t="s">
        <v>891</v>
      </c>
      <c r="H159" s="1">
        <f>VLOOKUP(tbl_details5[[#This Row],[Order ID]],Orders!A:F,2,FALSE)</f>
        <v>43231</v>
      </c>
      <c r="I159" s="1" t="str">
        <f>TEXT(tbl_details5[[#This Row],[Order Date]],"mmm-yy")</f>
        <v>May-18</v>
      </c>
      <c r="J159" t="str">
        <f>VLOOKUP(tbl_details5[[#This Row],[Order ID]],Table1[],4,FALSE)</f>
        <v>Nida</v>
      </c>
      <c r="K159" t="str">
        <f>VLOOKUP(tbl_details5[[#This Row],[Order ID]],Table1[],5,FALSE)</f>
        <v>Madhya Pradesh</v>
      </c>
      <c r="L159" t="str">
        <f>VLOOKUP(tbl_details5[[#This Row],[Order ID]],Table1[],6,FALSE)</f>
        <v>Indore</v>
      </c>
    </row>
    <row r="160" spans="1:12" x14ac:dyDescent="0.25">
      <c r="A160" t="s">
        <v>149</v>
      </c>
      <c r="B160" s="4">
        <v>97</v>
      </c>
      <c r="C160" s="4">
        <v>-62</v>
      </c>
      <c r="D160" s="5">
        <f>tbl_details5[[#This Row],[Profit]]/tbl_details5[[#This Row],[Revenue]]</f>
        <v>-0.63917525773195871</v>
      </c>
      <c r="E160">
        <v>2</v>
      </c>
      <c r="F160" t="s">
        <v>885</v>
      </c>
      <c r="G160" t="s">
        <v>892</v>
      </c>
      <c r="H160" s="1">
        <f>VLOOKUP(tbl_details5[[#This Row],[Order ID]],Orders!A:F,2,FALSE)</f>
        <v>43231</v>
      </c>
      <c r="I160" s="1" t="str">
        <f>TEXT(tbl_details5[[#This Row],[Order Date]],"mmm-yy")</f>
        <v>May-18</v>
      </c>
      <c r="J160" t="str">
        <f>VLOOKUP(tbl_details5[[#This Row],[Order ID]],Table1[],4,FALSE)</f>
        <v>Nida</v>
      </c>
      <c r="K160" t="str">
        <f>VLOOKUP(tbl_details5[[#This Row],[Order ID]],Table1[],5,FALSE)</f>
        <v>Madhya Pradesh</v>
      </c>
      <c r="L160" t="str">
        <f>VLOOKUP(tbl_details5[[#This Row],[Order ID]],Table1[],6,FALSE)</f>
        <v>Indore</v>
      </c>
    </row>
    <row r="161" spans="1:12" x14ac:dyDescent="0.25">
      <c r="A161" t="s">
        <v>149</v>
      </c>
      <c r="B161" s="4">
        <v>110</v>
      </c>
      <c r="C161" s="4">
        <v>-68</v>
      </c>
      <c r="D161" s="5">
        <f>tbl_details5[[#This Row],[Profit]]/tbl_details5[[#This Row],[Revenue]]</f>
        <v>-0.61818181818181817</v>
      </c>
      <c r="E161">
        <v>4</v>
      </c>
      <c r="F161" t="s">
        <v>885</v>
      </c>
      <c r="G161" t="s">
        <v>891</v>
      </c>
      <c r="H161" s="1">
        <f>VLOOKUP(tbl_details5[[#This Row],[Order ID]],Orders!A:F,2,FALSE)</f>
        <v>43231</v>
      </c>
      <c r="I161" s="1" t="str">
        <f>TEXT(tbl_details5[[#This Row],[Order Date]],"mmm-yy")</f>
        <v>May-18</v>
      </c>
      <c r="J161" t="str">
        <f>VLOOKUP(tbl_details5[[#This Row],[Order ID]],Table1[],4,FALSE)</f>
        <v>Nida</v>
      </c>
      <c r="K161" t="str">
        <f>VLOOKUP(tbl_details5[[#This Row],[Order ID]],Table1[],5,FALSE)</f>
        <v>Madhya Pradesh</v>
      </c>
      <c r="L161" t="str">
        <f>VLOOKUP(tbl_details5[[#This Row],[Order ID]],Table1[],6,FALSE)</f>
        <v>Indore</v>
      </c>
    </row>
    <row r="162" spans="1:12" x14ac:dyDescent="0.25">
      <c r="A162" t="s">
        <v>149</v>
      </c>
      <c r="B162" s="4">
        <v>312</v>
      </c>
      <c r="C162" s="4">
        <v>-312</v>
      </c>
      <c r="D162" s="5">
        <f>tbl_details5[[#This Row],[Profit]]/tbl_details5[[#This Row],[Revenue]]</f>
        <v>-1</v>
      </c>
      <c r="E162">
        <v>7</v>
      </c>
      <c r="F162" t="s">
        <v>883</v>
      </c>
      <c r="G162" t="s">
        <v>893</v>
      </c>
      <c r="H162" s="1">
        <f>VLOOKUP(tbl_details5[[#This Row],[Order ID]],Orders!A:F,2,FALSE)</f>
        <v>43231</v>
      </c>
      <c r="I162" s="1" t="str">
        <f>TEXT(tbl_details5[[#This Row],[Order Date]],"mmm-yy")</f>
        <v>May-18</v>
      </c>
      <c r="J162" t="str">
        <f>VLOOKUP(tbl_details5[[#This Row],[Order ID]],Table1[],4,FALSE)</f>
        <v>Nida</v>
      </c>
      <c r="K162" t="str">
        <f>VLOOKUP(tbl_details5[[#This Row],[Order ID]],Table1[],5,FALSE)</f>
        <v>Madhya Pradesh</v>
      </c>
      <c r="L162" t="str">
        <f>VLOOKUP(tbl_details5[[#This Row],[Order ID]],Table1[],6,FALSE)</f>
        <v>Indore</v>
      </c>
    </row>
    <row r="163" spans="1:12" x14ac:dyDescent="0.25">
      <c r="A163" t="s">
        <v>149</v>
      </c>
      <c r="B163" s="4">
        <v>9</v>
      </c>
      <c r="C163" s="4">
        <v>-6</v>
      </c>
      <c r="D163" s="5">
        <f>tbl_details5[[#This Row],[Profit]]/tbl_details5[[#This Row],[Revenue]]</f>
        <v>-0.66666666666666663</v>
      </c>
      <c r="E163">
        <v>2</v>
      </c>
      <c r="F163" t="s">
        <v>885</v>
      </c>
      <c r="G163" t="s">
        <v>902</v>
      </c>
      <c r="H163" s="1">
        <f>VLOOKUP(tbl_details5[[#This Row],[Order ID]],Orders!A:F,2,FALSE)</f>
        <v>43231</v>
      </c>
      <c r="I163" s="1" t="str">
        <f>TEXT(tbl_details5[[#This Row],[Order Date]],"mmm-yy")</f>
        <v>May-18</v>
      </c>
      <c r="J163" t="str">
        <f>VLOOKUP(tbl_details5[[#This Row],[Order ID]],Table1[],4,FALSE)</f>
        <v>Nida</v>
      </c>
      <c r="K163" t="str">
        <f>VLOOKUP(tbl_details5[[#This Row],[Order ID]],Table1[],5,FALSE)</f>
        <v>Madhya Pradesh</v>
      </c>
      <c r="L163" t="str">
        <f>VLOOKUP(tbl_details5[[#This Row],[Order ID]],Table1[],6,FALSE)</f>
        <v>Indore</v>
      </c>
    </row>
    <row r="164" spans="1:12" x14ac:dyDescent="0.25">
      <c r="A164" t="s">
        <v>149</v>
      </c>
      <c r="B164" s="4">
        <v>6</v>
      </c>
      <c r="C164" s="4">
        <v>-3</v>
      </c>
      <c r="D164" s="5">
        <f>tbl_details5[[#This Row],[Profit]]/tbl_details5[[#This Row],[Revenue]]</f>
        <v>-0.5</v>
      </c>
      <c r="E164">
        <v>1</v>
      </c>
      <c r="F164" t="s">
        <v>885</v>
      </c>
      <c r="G164" t="s">
        <v>887</v>
      </c>
      <c r="H164" s="1">
        <f>VLOOKUP(tbl_details5[[#This Row],[Order ID]],Orders!A:F,2,FALSE)</f>
        <v>43231</v>
      </c>
      <c r="I164" s="1" t="str">
        <f>TEXT(tbl_details5[[#This Row],[Order Date]],"mmm-yy")</f>
        <v>May-18</v>
      </c>
      <c r="J164" t="str">
        <f>VLOOKUP(tbl_details5[[#This Row],[Order ID]],Table1[],4,FALSE)</f>
        <v>Nida</v>
      </c>
      <c r="K164" t="str">
        <f>VLOOKUP(tbl_details5[[#This Row],[Order ID]],Table1[],5,FALSE)</f>
        <v>Madhya Pradesh</v>
      </c>
      <c r="L164" t="str">
        <f>VLOOKUP(tbl_details5[[#This Row],[Order ID]],Table1[],6,FALSE)</f>
        <v>Indore</v>
      </c>
    </row>
    <row r="165" spans="1:12" x14ac:dyDescent="0.25">
      <c r="A165" t="s">
        <v>149</v>
      </c>
      <c r="B165" s="4">
        <v>74</v>
      </c>
      <c r="C165" s="4">
        <v>23</v>
      </c>
      <c r="D165" s="5">
        <f>tbl_details5[[#This Row],[Profit]]/tbl_details5[[#This Row],[Revenue]]</f>
        <v>0.3108108108108108</v>
      </c>
      <c r="E165">
        <v>8</v>
      </c>
      <c r="F165" t="s">
        <v>885</v>
      </c>
      <c r="G165" t="s">
        <v>902</v>
      </c>
      <c r="H165" s="1">
        <f>VLOOKUP(tbl_details5[[#This Row],[Order ID]],Orders!A:F,2,FALSE)</f>
        <v>43231</v>
      </c>
      <c r="I165" s="1" t="str">
        <f>TEXT(tbl_details5[[#This Row],[Order Date]],"mmm-yy")</f>
        <v>May-18</v>
      </c>
      <c r="J165" t="str">
        <f>VLOOKUP(tbl_details5[[#This Row],[Order ID]],Table1[],4,FALSE)</f>
        <v>Nida</v>
      </c>
      <c r="K165" t="str">
        <f>VLOOKUP(tbl_details5[[#This Row],[Order ID]],Table1[],5,FALSE)</f>
        <v>Madhya Pradesh</v>
      </c>
      <c r="L165" t="str">
        <f>VLOOKUP(tbl_details5[[#This Row],[Order ID]],Table1[],6,FALSE)</f>
        <v>Indore</v>
      </c>
    </row>
    <row r="166" spans="1:12" x14ac:dyDescent="0.25">
      <c r="A166" t="s">
        <v>151</v>
      </c>
      <c r="B166" s="4">
        <v>534</v>
      </c>
      <c r="C166" s="4">
        <v>0</v>
      </c>
      <c r="D166" s="5">
        <f>tbl_details5[[#This Row],[Profit]]/tbl_details5[[#This Row],[Revenue]]</f>
        <v>0</v>
      </c>
      <c r="E166">
        <v>3</v>
      </c>
      <c r="F166" t="s">
        <v>885</v>
      </c>
      <c r="G166" t="s">
        <v>891</v>
      </c>
      <c r="H166" s="1">
        <f>VLOOKUP(tbl_details5[[#This Row],[Order ID]],Orders!A:F,2,FALSE)</f>
        <v>43231</v>
      </c>
      <c r="I166" s="1" t="str">
        <f>TEXT(tbl_details5[[#This Row],[Order Date]],"mmm-yy")</f>
        <v>May-18</v>
      </c>
      <c r="J166" t="str">
        <f>VLOOKUP(tbl_details5[[#This Row],[Order ID]],Table1[],4,FALSE)</f>
        <v>Priyanka</v>
      </c>
      <c r="K166" t="str">
        <f>VLOOKUP(tbl_details5[[#This Row],[Order ID]],Table1[],5,FALSE)</f>
        <v>Maharashtra</v>
      </c>
      <c r="L166" t="str">
        <f>VLOOKUP(tbl_details5[[#This Row],[Order ID]],Table1[],6,FALSE)</f>
        <v>Pune</v>
      </c>
    </row>
    <row r="167" spans="1:12" x14ac:dyDescent="0.25">
      <c r="A167" t="s">
        <v>151</v>
      </c>
      <c r="B167" s="4">
        <v>30</v>
      </c>
      <c r="C167" s="4">
        <v>-5</v>
      </c>
      <c r="D167" s="5">
        <f>tbl_details5[[#This Row],[Profit]]/tbl_details5[[#This Row],[Revenue]]</f>
        <v>-0.16666666666666666</v>
      </c>
      <c r="E167">
        <v>5</v>
      </c>
      <c r="F167" t="s">
        <v>885</v>
      </c>
      <c r="G167" t="s">
        <v>886</v>
      </c>
      <c r="H167" s="1">
        <f>VLOOKUP(tbl_details5[[#This Row],[Order ID]],Orders!A:F,2,FALSE)</f>
        <v>43231</v>
      </c>
      <c r="I167" s="1" t="str">
        <f>TEXT(tbl_details5[[#This Row],[Order Date]],"mmm-yy")</f>
        <v>May-18</v>
      </c>
      <c r="J167" t="str">
        <f>VLOOKUP(tbl_details5[[#This Row],[Order ID]],Table1[],4,FALSE)</f>
        <v>Priyanka</v>
      </c>
      <c r="K167" t="str">
        <f>VLOOKUP(tbl_details5[[#This Row],[Order ID]],Table1[],5,FALSE)</f>
        <v>Maharashtra</v>
      </c>
      <c r="L167" t="str">
        <f>VLOOKUP(tbl_details5[[#This Row],[Order ID]],Table1[],6,FALSE)</f>
        <v>Pune</v>
      </c>
    </row>
    <row r="168" spans="1:12" x14ac:dyDescent="0.25">
      <c r="A168" t="s">
        <v>151</v>
      </c>
      <c r="B168" s="4">
        <v>61</v>
      </c>
      <c r="C168" s="4">
        <v>-23</v>
      </c>
      <c r="D168" s="5">
        <f>tbl_details5[[#This Row],[Profit]]/tbl_details5[[#This Row],[Revenue]]</f>
        <v>-0.37704918032786883</v>
      </c>
      <c r="E168">
        <v>2</v>
      </c>
      <c r="F168" t="s">
        <v>885</v>
      </c>
      <c r="G168" t="s">
        <v>891</v>
      </c>
      <c r="H168" s="1">
        <f>VLOOKUP(tbl_details5[[#This Row],[Order ID]],Orders!A:F,2,FALSE)</f>
        <v>43231</v>
      </c>
      <c r="I168" s="1" t="str">
        <f>TEXT(tbl_details5[[#This Row],[Order Date]],"mmm-yy")</f>
        <v>May-18</v>
      </c>
      <c r="J168" t="str">
        <f>VLOOKUP(tbl_details5[[#This Row],[Order ID]],Table1[],4,FALSE)</f>
        <v>Priyanka</v>
      </c>
      <c r="K168" t="str">
        <f>VLOOKUP(tbl_details5[[#This Row],[Order ID]],Table1[],5,FALSE)</f>
        <v>Maharashtra</v>
      </c>
      <c r="L168" t="str">
        <f>VLOOKUP(tbl_details5[[#This Row],[Order ID]],Table1[],6,FALSE)</f>
        <v>Pune</v>
      </c>
    </row>
    <row r="169" spans="1:12" x14ac:dyDescent="0.25">
      <c r="A169" t="s">
        <v>151</v>
      </c>
      <c r="B169" s="4">
        <v>6</v>
      </c>
      <c r="C169" s="4">
        <v>3</v>
      </c>
      <c r="D169" s="5">
        <f>tbl_details5[[#This Row],[Profit]]/tbl_details5[[#This Row],[Revenue]]</f>
        <v>0.5</v>
      </c>
      <c r="E169">
        <v>1</v>
      </c>
      <c r="F169" t="s">
        <v>885</v>
      </c>
      <c r="G169" t="s">
        <v>887</v>
      </c>
      <c r="H169" s="1">
        <f>VLOOKUP(tbl_details5[[#This Row],[Order ID]],Orders!A:F,2,FALSE)</f>
        <v>43231</v>
      </c>
      <c r="I169" s="1" t="str">
        <f>TEXT(tbl_details5[[#This Row],[Order Date]],"mmm-yy")</f>
        <v>May-18</v>
      </c>
      <c r="J169" t="str">
        <f>VLOOKUP(tbl_details5[[#This Row],[Order ID]],Table1[],4,FALSE)</f>
        <v>Priyanka</v>
      </c>
      <c r="K169" t="str">
        <f>VLOOKUP(tbl_details5[[#This Row],[Order ID]],Table1[],5,FALSE)</f>
        <v>Maharashtra</v>
      </c>
      <c r="L169" t="str">
        <f>VLOOKUP(tbl_details5[[#This Row],[Order ID]],Table1[],6,FALSE)</f>
        <v>Pune</v>
      </c>
    </row>
    <row r="170" spans="1:12" x14ac:dyDescent="0.25">
      <c r="A170" t="s">
        <v>151</v>
      </c>
      <c r="B170" s="4">
        <v>24</v>
      </c>
      <c r="C170" s="4">
        <v>-1</v>
      </c>
      <c r="D170" s="5">
        <f>tbl_details5[[#This Row],[Profit]]/tbl_details5[[#This Row],[Revenue]]</f>
        <v>-4.1666666666666664E-2</v>
      </c>
      <c r="E170">
        <v>2</v>
      </c>
      <c r="F170" t="s">
        <v>885</v>
      </c>
      <c r="G170" t="s">
        <v>887</v>
      </c>
      <c r="H170" s="1">
        <f>VLOOKUP(tbl_details5[[#This Row],[Order ID]],Orders!A:F,2,FALSE)</f>
        <v>43231</v>
      </c>
      <c r="I170" s="1" t="str">
        <f>TEXT(tbl_details5[[#This Row],[Order Date]],"mmm-yy")</f>
        <v>May-18</v>
      </c>
      <c r="J170" t="str">
        <f>VLOOKUP(tbl_details5[[#This Row],[Order ID]],Table1[],4,FALSE)</f>
        <v>Priyanka</v>
      </c>
      <c r="K170" t="str">
        <f>VLOOKUP(tbl_details5[[#This Row],[Order ID]],Table1[],5,FALSE)</f>
        <v>Maharashtra</v>
      </c>
      <c r="L170" t="str">
        <f>VLOOKUP(tbl_details5[[#This Row],[Order ID]],Table1[],6,FALSE)</f>
        <v>Pune</v>
      </c>
    </row>
    <row r="171" spans="1:12" x14ac:dyDescent="0.25">
      <c r="A171" t="s">
        <v>151</v>
      </c>
      <c r="B171" s="4">
        <v>56</v>
      </c>
      <c r="C171" s="4">
        <v>18</v>
      </c>
      <c r="D171" s="5">
        <f>tbl_details5[[#This Row],[Profit]]/tbl_details5[[#This Row],[Revenue]]</f>
        <v>0.32142857142857145</v>
      </c>
      <c r="E171">
        <v>2</v>
      </c>
      <c r="F171" t="s">
        <v>885</v>
      </c>
      <c r="G171" t="s">
        <v>887</v>
      </c>
      <c r="H171" s="1">
        <f>VLOOKUP(tbl_details5[[#This Row],[Order ID]],Orders!A:F,2,FALSE)</f>
        <v>43231</v>
      </c>
      <c r="I171" s="1" t="str">
        <f>TEXT(tbl_details5[[#This Row],[Order Date]],"mmm-yy")</f>
        <v>May-18</v>
      </c>
      <c r="J171" t="str">
        <f>VLOOKUP(tbl_details5[[#This Row],[Order ID]],Table1[],4,FALSE)</f>
        <v>Priyanka</v>
      </c>
      <c r="K171" t="str">
        <f>VLOOKUP(tbl_details5[[#This Row],[Order ID]],Table1[],5,FALSE)</f>
        <v>Maharashtra</v>
      </c>
      <c r="L171" t="str">
        <f>VLOOKUP(tbl_details5[[#This Row],[Order ID]],Table1[],6,FALSE)</f>
        <v>Pune</v>
      </c>
    </row>
    <row r="172" spans="1:12" x14ac:dyDescent="0.25">
      <c r="A172" t="s">
        <v>151</v>
      </c>
      <c r="B172" s="4">
        <v>406</v>
      </c>
      <c r="C172" s="4">
        <v>126</v>
      </c>
      <c r="D172" s="5">
        <f>tbl_details5[[#This Row],[Profit]]/tbl_details5[[#This Row],[Revenue]]</f>
        <v>0.31034482758620691</v>
      </c>
      <c r="E172">
        <v>2</v>
      </c>
      <c r="F172" t="s">
        <v>885</v>
      </c>
      <c r="G172" t="s">
        <v>891</v>
      </c>
      <c r="H172" s="1">
        <f>VLOOKUP(tbl_details5[[#This Row],[Order ID]],Orders!A:F,2,FALSE)</f>
        <v>43231</v>
      </c>
      <c r="I172" s="1" t="str">
        <f>TEXT(tbl_details5[[#This Row],[Order Date]],"mmm-yy")</f>
        <v>May-18</v>
      </c>
      <c r="J172" t="str">
        <f>VLOOKUP(tbl_details5[[#This Row],[Order ID]],Table1[],4,FALSE)</f>
        <v>Priyanka</v>
      </c>
      <c r="K172" t="str">
        <f>VLOOKUP(tbl_details5[[#This Row],[Order ID]],Table1[],5,FALSE)</f>
        <v>Maharashtra</v>
      </c>
      <c r="L172" t="str">
        <f>VLOOKUP(tbl_details5[[#This Row],[Order ID]],Table1[],6,FALSE)</f>
        <v>Pune</v>
      </c>
    </row>
    <row r="173" spans="1:12" x14ac:dyDescent="0.25">
      <c r="A173" t="s">
        <v>151</v>
      </c>
      <c r="B173" s="4">
        <v>624</v>
      </c>
      <c r="C173" s="4">
        <v>37</v>
      </c>
      <c r="D173" s="5">
        <f>tbl_details5[[#This Row],[Profit]]/tbl_details5[[#This Row],[Revenue]]</f>
        <v>5.9294871794871792E-2</v>
      </c>
      <c r="E173">
        <v>2</v>
      </c>
      <c r="F173" t="s">
        <v>888</v>
      </c>
      <c r="G173" t="s">
        <v>889</v>
      </c>
      <c r="H173" s="1">
        <f>VLOOKUP(tbl_details5[[#This Row],[Order ID]],Orders!A:F,2,FALSE)</f>
        <v>43231</v>
      </c>
      <c r="I173" s="1" t="str">
        <f>TEXT(tbl_details5[[#This Row],[Order Date]],"mmm-yy")</f>
        <v>May-18</v>
      </c>
      <c r="J173" t="str">
        <f>VLOOKUP(tbl_details5[[#This Row],[Order ID]],Table1[],4,FALSE)</f>
        <v>Priyanka</v>
      </c>
      <c r="K173" t="str">
        <f>VLOOKUP(tbl_details5[[#This Row],[Order ID]],Table1[],5,FALSE)</f>
        <v>Maharashtra</v>
      </c>
      <c r="L173" t="str">
        <f>VLOOKUP(tbl_details5[[#This Row],[Order ID]],Table1[],6,FALSE)</f>
        <v>Pune</v>
      </c>
    </row>
    <row r="174" spans="1:12" x14ac:dyDescent="0.25">
      <c r="A174" t="s">
        <v>151</v>
      </c>
      <c r="B174" s="4">
        <v>101</v>
      </c>
      <c r="C174" s="4">
        <v>18</v>
      </c>
      <c r="D174" s="5">
        <f>tbl_details5[[#This Row],[Profit]]/tbl_details5[[#This Row],[Revenue]]</f>
        <v>0.17821782178217821</v>
      </c>
      <c r="E174">
        <v>9</v>
      </c>
      <c r="F174" t="s">
        <v>885</v>
      </c>
      <c r="G174" t="s">
        <v>902</v>
      </c>
      <c r="H174" s="1">
        <f>VLOOKUP(tbl_details5[[#This Row],[Order ID]],Orders!A:F,2,FALSE)</f>
        <v>43231</v>
      </c>
      <c r="I174" s="1" t="str">
        <f>TEXT(tbl_details5[[#This Row],[Order Date]],"mmm-yy")</f>
        <v>May-18</v>
      </c>
      <c r="J174" t="str">
        <f>VLOOKUP(tbl_details5[[#This Row],[Order ID]],Table1[],4,FALSE)</f>
        <v>Priyanka</v>
      </c>
      <c r="K174" t="str">
        <f>VLOOKUP(tbl_details5[[#This Row],[Order ID]],Table1[],5,FALSE)</f>
        <v>Maharashtra</v>
      </c>
      <c r="L174" t="str">
        <f>VLOOKUP(tbl_details5[[#This Row],[Order ID]],Table1[],6,FALSE)</f>
        <v>Pune</v>
      </c>
    </row>
    <row r="175" spans="1:12" x14ac:dyDescent="0.25">
      <c r="A175" t="s">
        <v>151</v>
      </c>
      <c r="B175" s="4">
        <v>1389</v>
      </c>
      <c r="C175" s="4">
        <v>680</v>
      </c>
      <c r="D175" s="5">
        <f>tbl_details5[[#This Row],[Profit]]/tbl_details5[[#This Row],[Revenue]]</f>
        <v>0.48956083513318932</v>
      </c>
      <c r="E175">
        <v>7</v>
      </c>
      <c r="F175" t="s">
        <v>885</v>
      </c>
      <c r="G175" t="s">
        <v>891</v>
      </c>
      <c r="H175" s="1">
        <f>VLOOKUP(tbl_details5[[#This Row],[Order ID]],Orders!A:F,2,FALSE)</f>
        <v>43231</v>
      </c>
      <c r="I175" s="1" t="str">
        <f>TEXT(tbl_details5[[#This Row],[Order Date]],"mmm-yy")</f>
        <v>May-18</v>
      </c>
      <c r="J175" t="str">
        <f>VLOOKUP(tbl_details5[[#This Row],[Order ID]],Table1[],4,FALSE)</f>
        <v>Priyanka</v>
      </c>
      <c r="K175" t="str">
        <f>VLOOKUP(tbl_details5[[#This Row],[Order ID]],Table1[],5,FALSE)</f>
        <v>Maharashtra</v>
      </c>
      <c r="L175" t="str">
        <f>VLOOKUP(tbl_details5[[#This Row],[Order ID]],Table1[],6,FALSE)</f>
        <v>Pune</v>
      </c>
    </row>
    <row r="176" spans="1:12" x14ac:dyDescent="0.25">
      <c r="A176" t="s">
        <v>151</v>
      </c>
      <c r="B176" s="4">
        <v>651</v>
      </c>
      <c r="C176" s="4">
        <v>169</v>
      </c>
      <c r="D176" s="5">
        <f>tbl_details5[[#This Row],[Profit]]/tbl_details5[[#This Row],[Revenue]]</f>
        <v>0.25960061443932414</v>
      </c>
      <c r="E176">
        <v>5</v>
      </c>
      <c r="F176" t="s">
        <v>888</v>
      </c>
      <c r="G176" t="s">
        <v>899</v>
      </c>
      <c r="H176" s="1">
        <f>VLOOKUP(tbl_details5[[#This Row],[Order ID]],Orders!A:F,2,FALSE)</f>
        <v>43231</v>
      </c>
      <c r="I176" s="1" t="str">
        <f>TEXT(tbl_details5[[#This Row],[Order Date]],"mmm-yy")</f>
        <v>May-18</v>
      </c>
      <c r="J176" t="str">
        <f>VLOOKUP(tbl_details5[[#This Row],[Order ID]],Table1[],4,FALSE)</f>
        <v>Priyanka</v>
      </c>
      <c r="K176" t="str">
        <f>VLOOKUP(tbl_details5[[#This Row],[Order ID]],Table1[],5,FALSE)</f>
        <v>Maharashtra</v>
      </c>
      <c r="L176" t="str">
        <f>VLOOKUP(tbl_details5[[#This Row],[Order ID]],Table1[],6,FALSE)</f>
        <v>Pune</v>
      </c>
    </row>
    <row r="177" spans="1:12" x14ac:dyDescent="0.25">
      <c r="A177" t="s">
        <v>151</v>
      </c>
      <c r="B177" s="4">
        <v>13</v>
      </c>
      <c r="C177" s="4">
        <v>-1</v>
      </c>
      <c r="D177" s="5">
        <f>tbl_details5[[#This Row],[Profit]]/tbl_details5[[#This Row],[Revenue]]</f>
        <v>-7.6923076923076927E-2</v>
      </c>
      <c r="E177">
        <v>3</v>
      </c>
      <c r="F177" t="s">
        <v>885</v>
      </c>
      <c r="G177" t="s">
        <v>887</v>
      </c>
      <c r="H177" s="1">
        <f>VLOOKUP(tbl_details5[[#This Row],[Order ID]],Orders!A:F,2,FALSE)</f>
        <v>43231</v>
      </c>
      <c r="I177" s="1" t="str">
        <f>TEXT(tbl_details5[[#This Row],[Order Date]],"mmm-yy")</f>
        <v>May-18</v>
      </c>
      <c r="J177" t="str">
        <f>VLOOKUP(tbl_details5[[#This Row],[Order ID]],Table1[],4,FALSE)</f>
        <v>Priyanka</v>
      </c>
      <c r="K177" t="str">
        <f>VLOOKUP(tbl_details5[[#This Row],[Order ID]],Table1[],5,FALSE)</f>
        <v>Maharashtra</v>
      </c>
      <c r="L177" t="str">
        <f>VLOOKUP(tbl_details5[[#This Row],[Order ID]],Table1[],6,FALSE)</f>
        <v>Pune</v>
      </c>
    </row>
    <row r="178" spans="1:12" x14ac:dyDescent="0.25">
      <c r="A178" t="s">
        <v>153</v>
      </c>
      <c r="B178" s="4">
        <v>1021</v>
      </c>
      <c r="C178" s="4">
        <v>-48</v>
      </c>
      <c r="D178" s="5">
        <f>tbl_details5[[#This Row],[Profit]]/tbl_details5[[#This Row],[Revenue]]</f>
        <v>-4.701273261508325E-2</v>
      </c>
      <c r="E178">
        <v>4</v>
      </c>
      <c r="F178" t="s">
        <v>888</v>
      </c>
      <c r="G178" t="s">
        <v>889</v>
      </c>
      <c r="H178" s="1">
        <f>VLOOKUP(tbl_details5[[#This Row],[Order ID]],Orders!A:F,2,FALSE)</f>
        <v>43233</v>
      </c>
      <c r="I178" s="1" t="str">
        <f>TEXT(tbl_details5[[#This Row],[Order Date]],"mmm-yy")</f>
        <v>May-18</v>
      </c>
      <c r="J178" t="str">
        <f>VLOOKUP(tbl_details5[[#This Row],[Order ID]],Table1[],4,FALSE)</f>
        <v>Tulika</v>
      </c>
      <c r="K178" t="str">
        <f>VLOOKUP(tbl_details5[[#This Row],[Order ID]],Table1[],5,FALSE)</f>
        <v>Madhya Pradesh</v>
      </c>
      <c r="L178" t="str">
        <f>VLOOKUP(tbl_details5[[#This Row],[Order ID]],Table1[],6,FALSE)</f>
        <v>Bhopal</v>
      </c>
    </row>
    <row r="179" spans="1:12" x14ac:dyDescent="0.25">
      <c r="A179" t="s">
        <v>153</v>
      </c>
      <c r="B179" s="4">
        <v>32</v>
      </c>
      <c r="C179" s="4">
        <v>-22</v>
      </c>
      <c r="D179" s="5">
        <f>tbl_details5[[#This Row],[Profit]]/tbl_details5[[#This Row],[Revenue]]</f>
        <v>-0.6875</v>
      </c>
      <c r="E179">
        <v>5</v>
      </c>
      <c r="F179" t="s">
        <v>885</v>
      </c>
      <c r="G179" t="s">
        <v>891</v>
      </c>
      <c r="H179" s="1">
        <f>VLOOKUP(tbl_details5[[#This Row],[Order ID]],Orders!A:F,2,FALSE)</f>
        <v>43233</v>
      </c>
      <c r="I179" s="1" t="str">
        <f>TEXT(tbl_details5[[#This Row],[Order Date]],"mmm-yy")</f>
        <v>May-18</v>
      </c>
      <c r="J179" t="str">
        <f>VLOOKUP(tbl_details5[[#This Row],[Order ID]],Table1[],4,FALSE)</f>
        <v>Tulika</v>
      </c>
      <c r="K179" t="str">
        <f>VLOOKUP(tbl_details5[[#This Row],[Order ID]],Table1[],5,FALSE)</f>
        <v>Madhya Pradesh</v>
      </c>
      <c r="L179" t="str">
        <f>VLOOKUP(tbl_details5[[#This Row],[Order ID]],Table1[],6,FALSE)</f>
        <v>Bhopal</v>
      </c>
    </row>
    <row r="180" spans="1:12" x14ac:dyDescent="0.25">
      <c r="A180" t="s">
        <v>153</v>
      </c>
      <c r="B180" s="4">
        <v>332</v>
      </c>
      <c r="C180" s="4">
        <v>-43</v>
      </c>
      <c r="D180" s="5">
        <f>tbl_details5[[#This Row],[Profit]]/tbl_details5[[#This Row],[Revenue]]</f>
        <v>-0.12951807228915663</v>
      </c>
      <c r="E180">
        <v>6</v>
      </c>
      <c r="F180" t="s">
        <v>888</v>
      </c>
      <c r="G180" t="s">
        <v>890</v>
      </c>
      <c r="H180" s="1">
        <f>VLOOKUP(tbl_details5[[#This Row],[Order ID]],Orders!A:F,2,FALSE)</f>
        <v>43233</v>
      </c>
      <c r="I180" s="1" t="str">
        <f>TEXT(tbl_details5[[#This Row],[Order Date]],"mmm-yy")</f>
        <v>May-18</v>
      </c>
      <c r="J180" t="str">
        <f>VLOOKUP(tbl_details5[[#This Row],[Order ID]],Table1[],4,FALSE)</f>
        <v>Tulika</v>
      </c>
      <c r="K180" t="str">
        <f>VLOOKUP(tbl_details5[[#This Row],[Order ID]],Table1[],5,FALSE)</f>
        <v>Madhya Pradesh</v>
      </c>
      <c r="L180" t="str">
        <f>VLOOKUP(tbl_details5[[#This Row],[Order ID]],Table1[],6,FALSE)</f>
        <v>Bhopal</v>
      </c>
    </row>
    <row r="181" spans="1:12" x14ac:dyDescent="0.25">
      <c r="A181" t="s">
        <v>153</v>
      </c>
      <c r="B181" s="4">
        <v>288</v>
      </c>
      <c r="C181" s="4">
        <v>-180</v>
      </c>
      <c r="D181" s="5">
        <f>tbl_details5[[#This Row],[Profit]]/tbl_details5[[#This Row],[Revenue]]</f>
        <v>-0.625</v>
      </c>
      <c r="E181">
        <v>4</v>
      </c>
      <c r="F181" t="s">
        <v>883</v>
      </c>
      <c r="G181" t="s">
        <v>893</v>
      </c>
      <c r="H181" s="1">
        <f>VLOOKUP(tbl_details5[[#This Row],[Order ID]],Orders!A:F,2,FALSE)</f>
        <v>43233</v>
      </c>
      <c r="I181" s="1" t="str">
        <f>TEXT(tbl_details5[[#This Row],[Order Date]],"mmm-yy")</f>
        <v>May-18</v>
      </c>
      <c r="J181" t="str">
        <f>VLOOKUP(tbl_details5[[#This Row],[Order ID]],Table1[],4,FALSE)</f>
        <v>Tulika</v>
      </c>
      <c r="K181" t="str">
        <f>VLOOKUP(tbl_details5[[#This Row],[Order ID]],Table1[],5,FALSE)</f>
        <v>Madhya Pradesh</v>
      </c>
      <c r="L181" t="str">
        <f>VLOOKUP(tbl_details5[[#This Row],[Order ID]],Table1[],6,FALSE)</f>
        <v>Bhopal</v>
      </c>
    </row>
    <row r="182" spans="1:12" x14ac:dyDescent="0.25">
      <c r="A182" t="s">
        <v>155</v>
      </c>
      <c r="B182" s="4">
        <v>27</v>
      </c>
      <c r="C182" s="4">
        <v>9</v>
      </c>
      <c r="D182" s="5">
        <f>tbl_details5[[#This Row],[Profit]]/tbl_details5[[#This Row],[Revenue]]</f>
        <v>0.33333333333333331</v>
      </c>
      <c r="E182">
        <v>2</v>
      </c>
      <c r="F182" t="s">
        <v>885</v>
      </c>
      <c r="G182" t="s">
        <v>895</v>
      </c>
      <c r="H182" s="1">
        <f>VLOOKUP(tbl_details5[[#This Row],[Order ID]],Orders!A:F,2,FALSE)</f>
        <v>43234</v>
      </c>
      <c r="I182" s="1" t="str">
        <f>TEXT(tbl_details5[[#This Row],[Order Date]],"mmm-yy")</f>
        <v>May-18</v>
      </c>
      <c r="J182" t="str">
        <f>VLOOKUP(tbl_details5[[#This Row],[Order ID]],Table1[],4,FALSE)</f>
        <v>Shefali</v>
      </c>
      <c r="K182" t="str">
        <f>VLOOKUP(tbl_details5[[#This Row],[Order ID]],Table1[],5,FALSE)</f>
        <v>Rajasthan</v>
      </c>
      <c r="L182" t="str">
        <f>VLOOKUP(tbl_details5[[#This Row],[Order ID]],Table1[],6,FALSE)</f>
        <v>Jaipur</v>
      </c>
    </row>
    <row r="183" spans="1:12" x14ac:dyDescent="0.25">
      <c r="A183" t="s">
        <v>157</v>
      </c>
      <c r="B183" s="4">
        <v>148</v>
      </c>
      <c r="C183" s="4">
        <v>72</v>
      </c>
      <c r="D183" s="5">
        <f>tbl_details5[[#This Row],[Profit]]/tbl_details5[[#This Row],[Revenue]]</f>
        <v>0.48648648648648651</v>
      </c>
      <c r="E183">
        <v>7</v>
      </c>
      <c r="F183" t="s">
        <v>885</v>
      </c>
      <c r="G183" t="s">
        <v>895</v>
      </c>
      <c r="H183" s="1">
        <f>VLOOKUP(tbl_details5[[#This Row],[Order ID]],Orders!A:F,2,FALSE)</f>
        <v>43235</v>
      </c>
      <c r="I183" s="1" t="str">
        <f>TEXT(tbl_details5[[#This Row],[Order Date]],"mmm-yy")</f>
        <v>May-18</v>
      </c>
      <c r="J183" t="str">
        <f>VLOOKUP(tbl_details5[[#This Row],[Order ID]],Table1[],4,FALSE)</f>
        <v>Sanskriti</v>
      </c>
      <c r="K183" t="str">
        <f>VLOOKUP(tbl_details5[[#This Row],[Order ID]],Table1[],5,FALSE)</f>
        <v>West Bengal</v>
      </c>
      <c r="L183" t="str">
        <f>VLOOKUP(tbl_details5[[#This Row],[Order ID]],Table1[],6,FALSE)</f>
        <v>Kolkata</v>
      </c>
    </row>
    <row r="184" spans="1:12" x14ac:dyDescent="0.25">
      <c r="A184" t="s">
        <v>159</v>
      </c>
      <c r="B184" s="4">
        <v>245</v>
      </c>
      <c r="C184" s="4">
        <v>-78</v>
      </c>
      <c r="D184" s="5">
        <f>tbl_details5[[#This Row],[Profit]]/tbl_details5[[#This Row],[Revenue]]</f>
        <v>-0.3183673469387755</v>
      </c>
      <c r="E184">
        <v>3</v>
      </c>
      <c r="F184" t="s">
        <v>885</v>
      </c>
      <c r="G184" t="s">
        <v>891</v>
      </c>
      <c r="H184" s="1">
        <f>VLOOKUP(tbl_details5[[#This Row],[Order ID]],Orders!A:F,2,FALSE)</f>
        <v>43236</v>
      </c>
      <c r="I184" s="1" t="str">
        <f>TEXT(tbl_details5[[#This Row],[Order Date]],"mmm-yy")</f>
        <v>May-18</v>
      </c>
      <c r="J184" t="str">
        <f>VLOOKUP(tbl_details5[[#This Row],[Order ID]],Table1[],4,FALSE)</f>
        <v>Shruti</v>
      </c>
      <c r="K184" t="str">
        <f>VLOOKUP(tbl_details5[[#This Row],[Order ID]],Table1[],5,FALSE)</f>
        <v>Karnataka</v>
      </c>
      <c r="L184" t="str">
        <f>VLOOKUP(tbl_details5[[#This Row],[Order ID]],Table1[],6,FALSE)</f>
        <v>Bangalore</v>
      </c>
    </row>
    <row r="185" spans="1:12" x14ac:dyDescent="0.25">
      <c r="A185" t="s">
        <v>161</v>
      </c>
      <c r="B185" s="4">
        <v>19</v>
      </c>
      <c r="C185" s="4">
        <v>-15</v>
      </c>
      <c r="D185" s="5">
        <f>tbl_details5[[#This Row],[Profit]]/tbl_details5[[#This Row],[Revenue]]</f>
        <v>-0.78947368421052633</v>
      </c>
      <c r="E185">
        <v>3</v>
      </c>
      <c r="F185" t="s">
        <v>885</v>
      </c>
      <c r="G185" t="s">
        <v>887</v>
      </c>
      <c r="H185" s="1">
        <f>VLOOKUP(tbl_details5[[#This Row],[Order ID]],Orders!A:F,2,FALSE)</f>
        <v>43237</v>
      </c>
      <c r="I185" s="1" t="str">
        <f>TEXT(tbl_details5[[#This Row],[Order Date]],"mmm-yy")</f>
        <v>May-18</v>
      </c>
      <c r="J185" t="str">
        <f>VLOOKUP(tbl_details5[[#This Row],[Order ID]],Table1[],4,FALSE)</f>
        <v>Subhashree</v>
      </c>
      <c r="K185" t="str">
        <f>VLOOKUP(tbl_details5[[#This Row],[Order ID]],Table1[],5,FALSE)</f>
        <v>Jammu and Kashmir</v>
      </c>
      <c r="L185" t="str">
        <f>VLOOKUP(tbl_details5[[#This Row],[Order ID]],Table1[],6,FALSE)</f>
        <v>Kashmir</v>
      </c>
    </row>
    <row r="186" spans="1:12" x14ac:dyDescent="0.25">
      <c r="A186" t="s">
        <v>161</v>
      </c>
      <c r="B186" s="4">
        <v>224</v>
      </c>
      <c r="C186" s="4">
        <v>-81</v>
      </c>
      <c r="D186" s="5">
        <f>tbl_details5[[#This Row],[Profit]]/tbl_details5[[#This Row],[Revenue]]</f>
        <v>-0.36160714285714285</v>
      </c>
      <c r="E186">
        <v>3</v>
      </c>
      <c r="F186" t="s">
        <v>883</v>
      </c>
      <c r="G186" t="s">
        <v>893</v>
      </c>
      <c r="H186" s="1">
        <f>VLOOKUP(tbl_details5[[#This Row],[Order ID]],Orders!A:F,2,FALSE)</f>
        <v>43237</v>
      </c>
      <c r="I186" s="1" t="str">
        <f>TEXT(tbl_details5[[#This Row],[Order Date]],"mmm-yy")</f>
        <v>May-18</v>
      </c>
      <c r="J186" t="str">
        <f>VLOOKUP(tbl_details5[[#This Row],[Order ID]],Table1[],4,FALSE)</f>
        <v>Subhashree</v>
      </c>
      <c r="K186" t="str">
        <f>VLOOKUP(tbl_details5[[#This Row],[Order ID]],Table1[],5,FALSE)</f>
        <v>Jammu and Kashmir</v>
      </c>
      <c r="L186" t="str">
        <f>VLOOKUP(tbl_details5[[#This Row],[Order ID]],Table1[],6,FALSE)</f>
        <v>Kashmir</v>
      </c>
    </row>
    <row r="187" spans="1:12" x14ac:dyDescent="0.25">
      <c r="A187" t="s">
        <v>161</v>
      </c>
      <c r="B187" s="4">
        <v>58</v>
      </c>
      <c r="C187" s="4">
        <v>-42</v>
      </c>
      <c r="D187" s="5">
        <f>tbl_details5[[#This Row],[Profit]]/tbl_details5[[#This Row],[Revenue]]</f>
        <v>-0.72413793103448276</v>
      </c>
      <c r="E187">
        <v>2</v>
      </c>
      <c r="F187" t="s">
        <v>883</v>
      </c>
      <c r="G187" t="s">
        <v>893</v>
      </c>
      <c r="H187" s="1">
        <f>VLOOKUP(tbl_details5[[#This Row],[Order ID]],Orders!A:F,2,FALSE)</f>
        <v>43237</v>
      </c>
      <c r="I187" s="1" t="str">
        <f>TEXT(tbl_details5[[#This Row],[Order Date]],"mmm-yy")</f>
        <v>May-18</v>
      </c>
      <c r="J187" t="str">
        <f>VLOOKUP(tbl_details5[[#This Row],[Order ID]],Table1[],4,FALSE)</f>
        <v>Subhashree</v>
      </c>
      <c r="K187" t="str">
        <f>VLOOKUP(tbl_details5[[#This Row],[Order ID]],Table1[],5,FALSE)</f>
        <v>Jammu and Kashmir</v>
      </c>
      <c r="L187" t="str">
        <f>VLOOKUP(tbl_details5[[#This Row],[Order ID]],Table1[],6,FALSE)</f>
        <v>Kashmir</v>
      </c>
    </row>
    <row r="188" spans="1:12" x14ac:dyDescent="0.25">
      <c r="A188" t="s">
        <v>161</v>
      </c>
      <c r="B188" s="4">
        <v>145</v>
      </c>
      <c r="C188" s="4">
        <v>-104</v>
      </c>
      <c r="D188" s="5">
        <f>tbl_details5[[#This Row],[Profit]]/tbl_details5[[#This Row],[Revenue]]</f>
        <v>-0.71724137931034482</v>
      </c>
      <c r="E188">
        <v>5</v>
      </c>
      <c r="F188" t="s">
        <v>883</v>
      </c>
      <c r="G188" t="s">
        <v>893</v>
      </c>
      <c r="H188" s="1">
        <f>VLOOKUP(tbl_details5[[#This Row],[Order ID]],Orders!A:F,2,FALSE)</f>
        <v>43237</v>
      </c>
      <c r="I188" s="1" t="str">
        <f>TEXT(tbl_details5[[#This Row],[Order Date]],"mmm-yy")</f>
        <v>May-18</v>
      </c>
      <c r="J188" t="str">
        <f>VLOOKUP(tbl_details5[[#This Row],[Order ID]],Table1[],4,FALSE)</f>
        <v>Subhashree</v>
      </c>
      <c r="K188" t="str">
        <f>VLOOKUP(tbl_details5[[#This Row],[Order ID]],Table1[],5,FALSE)</f>
        <v>Jammu and Kashmir</v>
      </c>
      <c r="L188" t="str">
        <f>VLOOKUP(tbl_details5[[#This Row],[Order ID]],Table1[],6,FALSE)</f>
        <v>Kashmir</v>
      </c>
    </row>
    <row r="189" spans="1:12" x14ac:dyDescent="0.25">
      <c r="A189" t="s">
        <v>161</v>
      </c>
      <c r="B189" s="4">
        <v>55</v>
      </c>
      <c r="C189" s="4">
        <v>-33</v>
      </c>
      <c r="D189" s="5">
        <f>tbl_details5[[#This Row],[Profit]]/tbl_details5[[#This Row],[Revenue]]</f>
        <v>-0.6</v>
      </c>
      <c r="E189">
        <v>2</v>
      </c>
      <c r="F189" t="s">
        <v>883</v>
      </c>
      <c r="G189" t="s">
        <v>893</v>
      </c>
      <c r="H189" s="1">
        <f>VLOOKUP(tbl_details5[[#This Row],[Order ID]],Orders!A:F,2,FALSE)</f>
        <v>43237</v>
      </c>
      <c r="I189" s="1" t="str">
        <f>TEXT(tbl_details5[[#This Row],[Order Date]],"mmm-yy")</f>
        <v>May-18</v>
      </c>
      <c r="J189" t="str">
        <f>VLOOKUP(tbl_details5[[#This Row],[Order ID]],Table1[],4,FALSE)</f>
        <v>Subhashree</v>
      </c>
      <c r="K189" t="str">
        <f>VLOOKUP(tbl_details5[[#This Row],[Order ID]],Table1[],5,FALSE)</f>
        <v>Jammu and Kashmir</v>
      </c>
      <c r="L189" t="str">
        <f>VLOOKUP(tbl_details5[[#This Row],[Order ID]],Table1[],6,FALSE)</f>
        <v>Kashmir</v>
      </c>
    </row>
    <row r="190" spans="1:12" x14ac:dyDescent="0.25">
      <c r="A190" t="s">
        <v>161</v>
      </c>
      <c r="B190" s="4">
        <v>7</v>
      </c>
      <c r="C190" s="4">
        <v>-1</v>
      </c>
      <c r="D190" s="5">
        <f>tbl_details5[[#This Row],[Profit]]/tbl_details5[[#This Row],[Revenue]]</f>
        <v>-0.14285714285714285</v>
      </c>
      <c r="E190">
        <v>2</v>
      </c>
      <c r="F190" t="s">
        <v>885</v>
      </c>
      <c r="G190" t="s">
        <v>887</v>
      </c>
      <c r="H190" s="1">
        <f>VLOOKUP(tbl_details5[[#This Row],[Order ID]],Orders!A:F,2,FALSE)</f>
        <v>43237</v>
      </c>
      <c r="I190" s="1" t="str">
        <f>TEXT(tbl_details5[[#This Row],[Order Date]],"mmm-yy")</f>
        <v>May-18</v>
      </c>
      <c r="J190" t="str">
        <f>VLOOKUP(tbl_details5[[#This Row],[Order ID]],Table1[],4,FALSE)</f>
        <v>Subhashree</v>
      </c>
      <c r="K190" t="str">
        <f>VLOOKUP(tbl_details5[[#This Row],[Order ID]],Table1[],5,FALSE)</f>
        <v>Jammu and Kashmir</v>
      </c>
      <c r="L190" t="str">
        <f>VLOOKUP(tbl_details5[[#This Row],[Order ID]],Table1[],6,FALSE)</f>
        <v>Kashmir</v>
      </c>
    </row>
    <row r="191" spans="1:12" x14ac:dyDescent="0.25">
      <c r="A191" t="s">
        <v>163</v>
      </c>
      <c r="B191" s="4">
        <v>24</v>
      </c>
      <c r="C191" s="4">
        <v>-2</v>
      </c>
      <c r="D191" s="5">
        <f>tbl_details5[[#This Row],[Profit]]/tbl_details5[[#This Row],[Revenue]]</f>
        <v>-8.3333333333333329E-2</v>
      </c>
      <c r="E191">
        <v>2</v>
      </c>
      <c r="F191" t="s">
        <v>885</v>
      </c>
      <c r="G191" t="s">
        <v>895</v>
      </c>
      <c r="H191" s="1">
        <f>VLOOKUP(tbl_details5[[#This Row],[Order ID]],Orders!A:F,2,FALSE)</f>
        <v>43237</v>
      </c>
      <c r="I191" s="1" t="str">
        <f>TEXT(tbl_details5[[#This Row],[Order Date]],"mmm-yy")</f>
        <v>May-18</v>
      </c>
      <c r="J191" t="str">
        <f>VLOOKUP(tbl_details5[[#This Row],[Order ID]],Table1[],4,FALSE)</f>
        <v>Sweta</v>
      </c>
      <c r="K191" t="str">
        <f>VLOOKUP(tbl_details5[[#This Row],[Order ID]],Table1[],5,FALSE)</f>
        <v>Maharashtra</v>
      </c>
      <c r="L191" t="str">
        <f>VLOOKUP(tbl_details5[[#This Row],[Order ID]],Table1[],6,FALSE)</f>
        <v>Mumbai</v>
      </c>
    </row>
    <row r="192" spans="1:12" x14ac:dyDescent="0.25">
      <c r="A192" t="s">
        <v>163</v>
      </c>
      <c r="B192" s="4">
        <v>86</v>
      </c>
      <c r="C192" s="4">
        <v>-21</v>
      </c>
      <c r="D192" s="5">
        <f>tbl_details5[[#This Row],[Profit]]/tbl_details5[[#This Row],[Revenue]]</f>
        <v>-0.2441860465116279</v>
      </c>
      <c r="E192">
        <v>1</v>
      </c>
      <c r="F192" t="s">
        <v>888</v>
      </c>
      <c r="G192" t="s">
        <v>889</v>
      </c>
      <c r="H192" s="1">
        <f>VLOOKUP(tbl_details5[[#This Row],[Order ID]],Orders!A:F,2,FALSE)</f>
        <v>43237</v>
      </c>
      <c r="I192" s="1" t="str">
        <f>TEXT(tbl_details5[[#This Row],[Order Date]],"mmm-yy")</f>
        <v>May-18</v>
      </c>
      <c r="J192" t="str">
        <f>VLOOKUP(tbl_details5[[#This Row],[Order ID]],Table1[],4,FALSE)</f>
        <v>Sweta</v>
      </c>
      <c r="K192" t="str">
        <f>VLOOKUP(tbl_details5[[#This Row],[Order ID]],Table1[],5,FALSE)</f>
        <v>Maharashtra</v>
      </c>
      <c r="L192" t="str">
        <f>VLOOKUP(tbl_details5[[#This Row],[Order ID]],Table1[],6,FALSE)</f>
        <v>Mumbai</v>
      </c>
    </row>
    <row r="193" spans="1:12" x14ac:dyDescent="0.25">
      <c r="A193" t="s">
        <v>163</v>
      </c>
      <c r="B193" s="4">
        <v>385</v>
      </c>
      <c r="C193" s="4">
        <v>-77</v>
      </c>
      <c r="D193" s="5">
        <f>tbl_details5[[#This Row],[Profit]]/tbl_details5[[#This Row],[Revenue]]</f>
        <v>-0.2</v>
      </c>
      <c r="E193">
        <v>11</v>
      </c>
      <c r="F193" t="s">
        <v>883</v>
      </c>
      <c r="G193" t="s">
        <v>901</v>
      </c>
      <c r="H193" s="1">
        <f>VLOOKUP(tbl_details5[[#This Row],[Order ID]],Orders!A:F,2,FALSE)</f>
        <v>43237</v>
      </c>
      <c r="I193" s="1" t="str">
        <f>TEXT(tbl_details5[[#This Row],[Order Date]],"mmm-yy")</f>
        <v>May-18</v>
      </c>
      <c r="J193" t="str">
        <f>VLOOKUP(tbl_details5[[#This Row],[Order ID]],Table1[],4,FALSE)</f>
        <v>Sweta</v>
      </c>
      <c r="K193" t="str">
        <f>VLOOKUP(tbl_details5[[#This Row],[Order ID]],Table1[],5,FALSE)</f>
        <v>Maharashtra</v>
      </c>
      <c r="L193" t="str">
        <f>VLOOKUP(tbl_details5[[#This Row],[Order ID]],Table1[],6,FALSE)</f>
        <v>Mumbai</v>
      </c>
    </row>
    <row r="194" spans="1:12" x14ac:dyDescent="0.25">
      <c r="A194" t="s">
        <v>165</v>
      </c>
      <c r="B194" s="4">
        <v>294</v>
      </c>
      <c r="C194" s="4">
        <v>138</v>
      </c>
      <c r="D194" s="5">
        <f>tbl_details5[[#This Row],[Profit]]/tbl_details5[[#This Row],[Revenue]]</f>
        <v>0.46938775510204084</v>
      </c>
      <c r="E194">
        <v>2</v>
      </c>
      <c r="F194" t="s">
        <v>888</v>
      </c>
      <c r="G194" t="s">
        <v>899</v>
      </c>
      <c r="H194" s="1">
        <f>VLOOKUP(tbl_details5[[#This Row],[Order ID]],Orders!A:F,2,FALSE)</f>
        <v>43239</v>
      </c>
      <c r="I194" s="1" t="str">
        <f>TEXT(tbl_details5[[#This Row],[Order Date]],"mmm-yy")</f>
        <v>May-18</v>
      </c>
      <c r="J194" t="str">
        <f>VLOOKUP(tbl_details5[[#This Row],[Order ID]],Table1[],4,FALSE)</f>
        <v>Pournamasi</v>
      </c>
      <c r="K194" t="str">
        <f>VLOOKUP(tbl_details5[[#This Row],[Order ID]],Table1[],5,FALSE)</f>
        <v>Madhya Pradesh</v>
      </c>
      <c r="L194" t="str">
        <f>VLOOKUP(tbl_details5[[#This Row],[Order ID]],Table1[],6,FALSE)</f>
        <v>Indore</v>
      </c>
    </row>
    <row r="195" spans="1:12" x14ac:dyDescent="0.25">
      <c r="A195" t="s">
        <v>167</v>
      </c>
      <c r="B195" s="4">
        <v>444</v>
      </c>
      <c r="C195" s="4">
        <v>-200</v>
      </c>
      <c r="D195" s="5">
        <f>tbl_details5[[#This Row],[Profit]]/tbl_details5[[#This Row],[Revenue]]</f>
        <v>-0.45045045045045046</v>
      </c>
      <c r="E195">
        <v>4</v>
      </c>
      <c r="F195" t="s">
        <v>888</v>
      </c>
      <c r="G195" t="s">
        <v>890</v>
      </c>
      <c r="H195" s="1">
        <f>VLOOKUP(tbl_details5[[#This Row],[Order ID]],Orders!A:F,2,FALSE)</f>
        <v>43240</v>
      </c>
      <c r="I195" s="1" t="str">
        <f>TEXT(tbl_details5[[#This Row],[Order Date]],"mmm-yy")</f>
        <v>May-18</v>
      </c>
      <c r="J195" t="str">
        <f>VLOOKUP(tbl_details5[[#This Row],[Order ID]],Table1[],4,FALSE)</f>
        <v>Pratyusmita</v>
      </c>
      <c r="K195" t="str">
        <f>VLOOKUP(tbl_details5[[#This Row],[Order ID]],Table1[],5,FALSE)</f>
        <v>Bihar</v>
      </c>
      <c r="L195" t="str">
        <f>VLOOKUP(tbl_details5[[#This Row],[Order ID]],Table1[],6,FALSE)</f>
        <v>Patna</v>
      </c>
    </row>
    <row r="196" spans="1:12" x14ac:dyDescent="0.25">
      <c r="A196" t="s">
        <v>167</v>
      </c>
      <c r="B196" s="4">
        <v>785</v>
      </c>
      <c r="C196" s="4">
        <v>52</v>
      </c>
      <c r="D196" s="5">
        <f>tbl_details5[[#This Row],[Profit]]/tbl_details5[[#This Row],[Revenue]]</f>
        <v>6.6242038216560509E-2</v>
      </c>
      <c r="E196">
        <v>2</v>
      </c>
      <c r="F196" t="s">
        <v>888</v>
      </c>
      <c r="G196" t="s">
        <v>890</v>
      </c>
      <c r="H196" s="1">
        <f>VLOOKUP(tbl_details5[[#This Row],[Order ID]],Orders!A:F,2,FALSE)</f>
        <v>43240</v>
      </c>
      <c r="I196" s="1" t="str">
        <f>TEXT(tbl_details5[[#This Row],[Order Date]],"mmm-yy")</f>
        <v>May-18</v>
      </c>
      <c r="J196" t="str">
        <f>VLOOKUP(tbl_details5[[#This Row],[Order ID]],Table1[],4,FALSE)</f>
        <v>Pratyusmita</v>
      </c>
      <c r="K196" t="str">
        <f>VLOOKUP(tbl_details5[[#This Row],[Order ID]],Table1[],5,FALSE)</f>
        <v>Bihar</v>
      </c>
      <c r="L196" t="str">
        <f>VLOOKUP(tbl_details5[[#This Row],[Order ID]],Table1[],6,FALSE)</f>
        <v>Patna</v>
      </c>
    </row>
    <row r="197" spans="1:12" x14ac:dyDescent="0.25">
      <c r="A197" t="s">
        <v>167</v>
      </c>
      <c r="B197" s="4">
        <v>258</v>
      </c>
      <c r="C197" s="4">
        <v>-27</v>
      </c>
      <c r="D197" s="5">
        <f>tbl_details5[[#This Row],[Profit]]/tbl_details5[[#This Row],[Revenue]]</f>
        <v>-0.10465116279069768</v>
      </c>
      <c r="E197">
        <v>2</v>
      </c>
      <c r="F197" t="s">
        <v>888</v>
      </c>
      <c r="G197" t="s">
        <v>890</v>
      </c>
      <c r="H197" s="1">
        <f>VLOOKUP(tbl_details5[[#This Row],[Order ID]],Orders!A:F,2,FALSE)</f>
        <v>43240</v>
      </c>
      <c r="I197" s="1" t="str">
        <f>TEXT(tbl_details5[[#This Row],[Order Date]],"mmm-yy")</f>
        <v>May-18</v>
      </c>
      <c r="J197" t="str">
        <f>VLOOKUP(tbl_details5[[#This Row],[Order ID]],Table1[],4,FALSE)</f>
        <v>Pratyusmita</v>
      </c>
      <c r="K197" t="str">
        <f>VLOOKUP(tbl_details5[[#This Row],[Order ID]],Table1[],5,FALSE)</f>
        <v>Bihar</v>
      </c>
      <c r="L197" t="str">
        <f>VLOOKUP(tbl_details5[[#This Row],[Order ID]],Table1[],6,FALSE)</f>
        <v>Patna</v>
      </c>
    </row>
    <row r="198" spans="1:12" x14ac:dyDescent="0.25">
      <c r="A198" t="s">
        <v>167</v>
      </c>
      <c r="B198" s="4">
        <v>83</v>
      </c>
      <c r="C198" s="4">
        <v>-48</v>
      </c>
      <c r="D198" s="5">
        <f>tbl_details5[[#This Row],[Profit]]/tbl_details5[[#This Row],[Revenue]]</f>
        <v>-0.57831325301204817</v>
      </c>
      <c r="E198">
        <v>1</v>
      </c>
      <c r="F198" t="s">
        <v>883</v>
      </c>
      <c r="G198" t="s">
        <v>884</v>
      </c>
      <c r="H198" s="1">
        <f>VLOOKUP(tbl_details5[[#This Row],[Order ID]],Orders!A:F,2,FALSE)</f>
        <v>43240</v>
      </c>
      <c r="I198" s="1" t="str">
        <f>TEXT(tbl_details5[[#This Row],[Order Date]],"mmm-yy")</f>
        <v>May-18</v>
      </c>
      <c r="J198" t="str">
        <f>VLOOKUP(tbl_details5[[#This Row],[Order ID]],Table1[],4,FALSE)</f>
        <v>Pratyusmita</v>
      </c>
      <c r="K198" t="str">
        <f>VLOOKUP(tbl_details5[[#This Row],[Order ID]],Table1[],5,FALSE)</f>
        <v>Bihar</v>
      </c>
      <c r="L198" t="str">
        <f>VLOOKUP(tbl_details5[[#This Row],[Order ID]],Table1[],6,FALSE)</f>
        <v>Patna</v>
      </c>
    </row>
    <row r="199" spans="1:12" x14ac:dyDescent="0.25">
      <c r="A199" t="s">
        <v>169</v>
      </c>
      <c r="B199" s="4">
        <v>166</v>
      </c>
      <c r="C199" s="4">
        <v>-113</v>
      </c>
      <c r="D199" s="5">
        <f>tbl_details5[[#This Row],[Profit]]/tbl_details5[[#This Row],[Revenue]]</f>
        <v>-0.68072289156626509</v>
      </c>
      <c r="E199">
        <v>4</v>
      </c>
      <c r="F199" t="s">
        <v>888</v>
      </c>
      <c r="G199" t="s">
        <v>900</v>
      </c>
      <c r="H199" s="1">
        <f>VLOOKUP(tbl_details5[[#This Row],[Order ID]],Orders!A:F,2,FALSE)</f>
        <v>43241</v>
      </c>
      <c r="I199" s="1" t="str">
        <f>TEXT(tbl_details5[[#This Row],[Order Date]],"mmm-yy")</f>
        <v>May-18</v>
      </c>
      <c r="J199" t="str">
        <f>VLOOKUP(tbl_details5[[#This Row],[Order ID]],Table1[],4,FALSE)</f>
        <v>Chayanika</v>
      </c>
      <c r="K199" t="str">
        <f>VLOOKUP(tbl_details5[[#This Row],[Order ID]],Table1[],5,FALSE)</f>
        <v xml:space="preserve">Kerala </v>
      </c>
      <c r="L199" t="str">
        <f>VLOOKUP(tbl_details5[[#This Row],[Order ID]],Table1[],6,FALSE)</f>
        <v>Thiruvananthapuram</v>
      </c>
    </row>
    <row r="200" spans="1:12" x14ac:dyDescent="0.25">
      <c r="A200" t="s">
        <v>171</v>
      </c>
      <c r="B200" s="4">
        <v>934</v>
      </c>
      <c r="C200" s="4">
        <v>-916</v>
      </c>
      <c r="D200" s="5">
        <f>tbl_details5[[#This Row],[Profit]]/tbl_details5[[#This Row],[Revenue]]</f>
        <v>-0.98072805139186292</v>
      </c>
      <c r="E200">
        <v>7</v>
      </c>
      <c r="F200" t="s">
        <v>888</v>
      </c>
      <c r="G200" t="s">
        <v>889</v>
      </c>
      <c r="H200" s="1">
        <f>VLOOKUP(tbl_details5[[#This Row],[Order ID]],Orders!A:F,2,FALSE)</f>
        <v>43242</v>
      </c>
      <c r="I200" s="1" t="str">
        <f>TEXT(tbl_details5[[#This Row],[Order Date]],"mmm-yy")</f>
        <v>May-18</v>
      </c>
      <c r="J200" t="str">
        <f>VLOOKUP(tbl_details5[[#This Row],[Order ID]],Table1[],4,FALSE)</f>
        <v>Tanvi</v>
      </c>
      <c r="K200" t="str">
        <f>VLOOKUP(tbl_details5[[#This Row],[Order ID]],Table1[],5,FALSE)</f>
        <v>Punjab</v>
      </c>
      <c r="L200" t="str">
        <f>VLOOKUP(tbl_details5[[#This Row],[Order ID]],Table1[],6,FALSE)</f>
        <v>Chandigarh</v>
      </c>
    </row>
    <row r="201" spans="1:12" x14ac:dyDescent="0.25">
      <c r="A201" t="s">
        <v>173</v>
      </c>
      <c r="B201" s="4">
        <v>11</v>
      </c>
      <c r="C201" s="4">
        <v>-2</v>
      </c>
      <c r="D201" s="5">
        <f>tbl_details5[[#This Row],[Profit]]/tbl_details5[[#This Row],[Revenue]]</f>
        <v>-0.18181818181818182</v>
      </c>
      <c r="E201">
        <v>4</v>
      </c>
      <c r="F201" t="s">
        <v>885</v>
      </c>
      <c r="G201" t="s">
        <v>887</v>
      </c>
      <c r="H201" s="1">
        <f>VLOOKUP(tbl_details5[[#This Row],[Order ID]],Orders!A:F,2,FALSE)</f>
        <v>43243</v>
      </c>
      <c r="I201" s="1" t="str">
        <f>TEXT(tbl_details5[[#This Row],[Order Date]],"mmm-yy")</f>
        <v>May-18</v>
      </c>
      <c r="J201" t="str">
        <f>VLOOKUP(tbl_details5[[#This Row],[Order ID]],Table1[],4,FALSE)</f>
        <v>Anjali</v>
      </c>
      <c r="K201" t="str">
        <f>VLOOKUP(tbl_details5[[#This Row],[Order ID]],Table1[],5,FALSE)</f>
        <v>Haryana</v>
      </c>
      <c r="L201" t="str">
        <f>VLOOKUP(tbl_details5[[#This Row],[Order ID]],Table1[],6,FALSE)</f>
        <v>Chandigarh</v>
      </c>
    </row>
    <row r="202" spans="1:12" x14ac:dyDescent="0.25">
      <c r="A202" t="s">
        <v>173</v>
      </c>
      <c r="B202" s="4">
        <v>41</v>
      </c>
      <c r="C202" s="4">
        <v>6</v>
      </c>
      <c r="D202" s="5">
        <f>tbl_details5[[#This Row],[Profit]]/tbl_details5[[#This Row],[Revenue]]</f>
        <v>0.14634146341463414</v>
      </c>
      <c r="E202">
        <v>5</v>
      </c>
      <c r="F202" t="s">
        <v>885</v>
      </c>
      <c r="G202" t="s">
        <v>902</v>
      </c>
      <c r="H202" s="1">
        <f>VLOOKUP(tbl_details5[[#This Row],[Order ID]],Orders!A:F,2,FALSE)</f>
        <v>43243</v>
      </c>
      <c r="I202" s="1" t="str">
        <f>TEXT(tbl_details5[[#This Row],[Order Date]],"mmm-yy")</f>
        <v>May-18</v>
      </c>
      <c r="J202" t="str">
        <f>VLOOKUP(tbl_details5[[#This Row],[Order ID]],Table1[],4,FALSE)</f>
        <v>Anjali</v>
      </c>
      <c r="K202" t="str">
        <f>VLOOKUP(tbl_details5[[#This Row],[Order ID]],Table1[],5,FALSE)</f>
        <v>Haryana</v>
      </c>
      <c r="L202" t="str">
        <f>VLOOKUP(tbl_details5[[#This Row],[Order ID]],Table1[],6,FALSE)</f>
        <v>Chandigarh</v>
      </c>
    </row>
    <row r="203" spans="1:12" x14ac:dyDescent="0.25">
      <c r="A203" t="s">
        <v>173</v>
      </c>
      <c r="B203" s="4">
        <v>344</v>
      </c>
      <c r="C203" s="4">
        <v>-34</v>
      </c>
      <c r="D203" s="5">
        <f>tbl_details5[[#This Row],[Profit]]/tbl_details5[[#This Row],[Revenue]]</f>
        <v>-9.8837209302325577E-2</v>
      </c>
      <c r="E203">
        <v>3</v>
      </c>
      <c r="F203" t="s">
        <v>885</v>
      </c>
      <c r="G203" t="s">
        <v>891</v>
      </c>
      <c r="H203" s="1">
        <f>VLOOKUP(tbl_details5[[#This Row],[Order ID]],Orders!A:F,2,FALSE)</f>
        <v>43243</v>
      </c>
      <c r="I203" s="1" t="str">
        <f>TEXT(tbl_details5[[#This Row],[Order Date]],"mmm-yy")</f>
        <v>May-18</v>
      </c>
      <c r="J203" t="str">
        <f>VLOOKUP(tbl_details5[[#This Row],[Order ID]],Table1[],4,FALSE)</f>
        <v>Anjali</v>
      </c>
      <c r="K203" t="str">
        <f>VLOOKUP(tbl_details5[[#This Row],[Order ID]],Table1[],5,FALSE)</f>
        <v>Haryana</v>
      </c>
      <c r="L203" t="str">
        <f>VLOOKUP(tbl_details5[[#This Row],[Order ID]],Table1[],6,FALSE)</f>
        <v>Chandigarh</v>
      </c>
    </row>
    <row r="204" spans="1:12" x14ac:dyDescent="0.25">
      <c r="A204" t="s">
        <v>173</v>
      </c>
      <c r="B204" s="4">
        <v>1030</v>
      </c>
      <c r="C204" s="4">
        <v>206</v>
      </c>
      <c r="D204" s="5">
        <f>tbl_details5[[#This Row],[Profit]]/tbl_details5[[#This Row],[Revenue]]</f>
        <v>0.2</v>
      </c>
      <c r="E204">
        <v>8</v>
      </c>
      <c r="F204" t="s">
        <v>888</v>
      </c>
      <c r="G204" t="s">
        <v>899</v>
      </c>
      <c r="H204" s="1">
        <f>VLOOKUP(tbl_details5[[#This Row],[Order ID]],Orders!A:F,2,FALSE)</f>
        <v>43243</v>
      </c>
      <c r="I204" s="1" t="str">
        <f>TEXT(tbl_details5[[#This Row],[Order Date]],"mmm-yy")</f>
        <v>May-18</v>
      </c>
      <c r="J204" t="str">
        <f>VLOOKUP(tbl_details5[[#This Row],[Order ID]],Table1[],4,FALSE)</f>
        <v>Anjali</v>
      </c>
      <c r="K204" t="str">
        <f>VLOOKUP(tbl_details5[[#This Row],[Order ID]],Table1[],5,FALSE)</f>
        <v>Haryana</v>
      </c>
      <c r="L204" t="str">
        <f>VLOOKUP(tbl_details5[[#This Row],[Order ID]],Table1[],6,FALSE)</f>
        <v>Chandigarh</v>
      </c>
    </row>
    <row r="205" spans="1:12" x14ac:dyDescent="0.25">
      <c r="A205" t="s">
        <v>173</v>
      </c>
      <c r="B205" s="4">
        <v>516</v>
      </c>
      <c r="C205" s="4">
        <v>69</v>
      </c>
      <c r="D205" s="5">
        <f>tbl_details5[[#This Row],[Profit]]/tbl_details5[[#This Row],[Revenue]]</f>
        <v>0.13372093023255813</v>
      </c>
      <c r="E205">
        <v>4</v>
      </c>
      <c r="F205" t="s">
        <v>883</v>
      </c>
      <c r="G205" t="s">
        <v>884</v>
      </c>
      <c r="H205" s="1">
        <f>VLOOKUP(tbl_details5[[#This Row],[Order ID]],Orders!A:F,2,FALSE)</f>
        <v>43243</v>
      </c>
      <c r="I205" s="1" t="str">
        <f>TEXT(tbl_details5[[#This Row],[Order Date]],"mmm-yy")</f>
        <v>May-18</v>
      </c>
      <c r="J205" t="str">
        <f>VLOOKUP(tbl_details5[[#This Row],[Order ID]],Table1[],4,FALSE)</f>
        <v>Anjali</v>
      </c>
      <c r="K205" t="str">
        <f>VLOOKUP(tbl_details5[[#This Row],[Order ID]],Table1[],5,FALSE)</f>
        <v>Haryana</v>
      </c>
      <c r="L205" t="str">
        <f>VLOOKUP(tbl_details5[[#This Row],[Order ID]],Table1[],6,FALSE)</f>
        <v>Chandigarh</v>
      </c>
    </row>
    <row r="206" spans="1:12" x14ac:dyDescent="0.25">
      <c r="A206" t="s">
        <v>175</v>
      </c>
      <c r="B206" s="4">
        <v>123</v>
      </c>
      <c r="C206" s="4">
        <v>17</v>
      </c>
      <c r="D206" s="5">
        <f>tbl_details5[[#This Row],[Profit]]/tbl_details5[[#This Row],[Revenue]]</f>
        <v>0.13821138211382114</v>
      </c>
      <c r="E206">
        <v>3</v>
      </c>
      <c r="F206" t="s">
        <v>883</v>
      </c>
      <c r="G206" t="s">
        <v>901</v>
      </c>
      <c r="H206" s="1">
        <f>VLOOKUP(tbl_details5[[#This Row],[Order ID]],Orders!A:F,2,FALSE)</f>
        <v>43244</v>
      </c>
      <c r="I206" s="1" t="str">
        <f>TEXT(tbl_details5[[#This Row],[Order Date]],"mmm-yy")</f>
        <v>May-18</v>
      </c>
      <c r="J206" t="str">
        <f>VLOOKUP(tbl_details5[[#This Row],[Order ID]],Table1[],4,FALSE)</f>
        <v>Rhea</v>
      </c>
      <c r="K206" t="str">
        <f>VLOOKUP(tbl_details5[[#This Row],[Order ID]],Table1[],5,FALSE)</f>
        <v>Himachal Pradesh</v>
      </c>
      <c r="L206" t="str">
        <f>VLOOKUP(tbl_details5[[#This Row],[Order ID]],Table1[],6,FALSE)</f>
        <v>Simla</v>
      </c>
    </row>
    <row r="207" spans="1:12" x14ac:dyDescent="0.25">
      <c r="A207" t="s">
        <v>177</v>
      </c>
      <c r="B207" s="4">
        <v>610</v>
      </c>
      <c r="C207" s="4">
        <v>-66</v>
      </c>
      <c r="D207" s="5">
        <f>tbl_details5[[#This Row],[Profit]]/tbl_details5[[#This Row],[Revenue]]</f>
        <v>-0.10819672131147541</v>
      </c>
      <c r="E207">
        <v>2</v>
      </c>
      <c r="F207" t="s">
        <v>883</v>
      </c>
      <c r="G207" t="s">
        <v>898</v>
      </c>
      <c r="H207" s="1">
        <f>VLOOKUP(tbl_details5[[#This Row],[Order ID]],Orders!A:F,2,FALSE)</f>
        <v>43245</v>
      </c>
      <c r="I207" s="1" t="str">
        <f>TEXT(tbl_details5[[#This Row],[Order Date]],"mmm-yy")</f>
        <v>May-18</v>
      </c>
      <c r="J207" t="str">
        <f>VLOOKUP(tbl_details5[[#This Row],[Order ID]],Table1[],4,FALSE)</f>
        <v>Piyali</v>
      </c>
      <c r="K207" t="str">
        <f>VLOOKUP(tbl_details5[[#This Row],[Order ID]],Table1[],5,FALSE)</f>
        <v>Sikkim</v>
      </c>
      <c r="L207" t="str">
        <f>VLOOKUP(tbl_details5[[#This Row],[Order ID]],Table1[],6,FALSE)</f>
        <v>Gangtok</v>
      </c>
    </row>
    <row r="208" spans="1:12" x14ac:dyDescent="0.25">
      <c r="A208" t="s">
        <v>179</v>
      </c>
      <c r="B208" s="4">
        <v>74</v>
      </c>
      <c r="C208" s="4">
        <v>29</v>
      </c>
      <c r="D208" s="5">
        <f>tbl_details5[[#This Row],[Profit]]/tbl_details5[[#This Row],[Revenue]]</f>
        <v>0.39189189189189189</v>
      </c>
      <c r="E208">
        <v>3</v>
      </c>
      <c r="F208" t="s">
        <v>885</v>
      </c>
      <c r="G208" t="s">
        <v>886</v>
      </c>
      <c r="H208" s="1">
        <f>VLOOKUP(tbl_details5[[#This Row],[Order ID]],Orders!A:F,2,FALSE)</f>
        <v>43245</v>
      </c>
      <c r="I208" s="1" t="str">
        <f>TEXT(tbl_details5[[#This Row],[Order Date]],"mmm-yy")</f>
        <v>May-18</v>
      </c>
      <c r="J208" t="str">
        <f>VLOOKUP(tbl_details5[[#This Row],[Order ID]],Table1[],4,FALSE)</f>
        <v>Charika</v>
      </c>
      <c r="K208" t="str">
        <f>VLOOKUP(tbl_details5[[#This Row],[Order ID]],Table1[],5,FALSE)</f>
        <v>Goa</v>
      </c>
      <c r="L208" t="str">
        <f>VLOOKUP(tbl_details5[[#This Row],[Order ID]],Table1[],6,FALSE)</f>
        <v>Goa</v>
      </c>
    </row>
    <row r="209" spans="1:12" x14ac:dyDescent="0.25">
      <c r="A209" t="s">
        <v>179</v>
      </c>
      <c r="B209" s="4">
        <v>24</v>
      </c>
      <c r="C209" s="4">
        <v>1</v>
      </c>
      <c r="D209" s="5">
        <f>tbl_details5[[#This Row],[Profit]]/tbl_details5[[#This Row],[Revenue]]</f>
        <v>4.1666666666666664E-2</v>
      </c>
      <c r="E209">
        <v>2</v>
      </c>
      <c r="F209" t="s">
        <v>885</v>
      </c>
      <c r="G209" t="s">
        <v>887</v>
      </c>
      <c r="H209" s="1">
        <f>VLOOKUP(tbl_details5[[#This Row],[Order ID]],Orders!A:F,2,FALSE)</f>
        <v>43245</v>
      </c>
      <c r="I209" s="1" t="str">
        <f>TEXT(tbl_details5[[#This Row],[Order Date]],"mmm-yy")</f>
        <v>May-18</v>
      </c>
      <c r="J209" t="str">
        <f>VLOOKUP(tbl_details5[[#This Row],[Order ID]],Table1[],4,FALSE)</f>
        <v>Charika</v>
      </c>
      <c r="K209" t="str">
        <f>VLOOKUP(tbl_details5[[#This Row],[Order ID]],Table1[],5,FALSE)</f>
        <v>Goa</v>
      </c>
      <c r="L209" t="str">
        <f>VLOOKUP(tbl_details5[[#This Row],[Order ID]],Table1[],6,FALSE)</f>
        <v>Goa</v>
      </c>
    </row>
    <row r="210" spans="1:12" x14ac:dyDescent="0.25">
      <c r="A210" t="s">
        <v>179</v>
      </c>
      <c r="B210" s="4">
        <v>14</v>
      </c>
      <c r="C210" s="4">
        <v>2</v>
      </c>
      <c r="D210" s="5">
        <f>tbl_details5[[#This Row],[Profit]]/tbl_details5[[#This Row],[Revenue]]</f>
        <v>0.14285714285714285</v>
      </c>
      <c r="E210">
        <v>1</v>
      </c>
      <c r="F210" t="s">
        <v>885</v>
      </c>
      <c r="G210" t="s">
        <v>887</v>
      </c>
      <c r="H210" s="1">
        <f>VLOOKUP(tbl_details5[[#This Row],[Order ID]],Orders!A:F,2,FALSE)</f>
        <v>43245</v>
      </c>
      <c r="I210" s="1" t="str">
        <f>TEXT(tbl_details5[[#This Row],[Order Date]],"mmm-yy")</f>
        <v>May-18</v>
      </c>
      <c r="J210" t="str">
        <f>VLOOKUP(tbl_details5[[#This Row],[Order ID]],Table1[],4,FALSE)</f>
        <v>Charika</v>
      </c>
      <c r="K210" t="str">
        <f>VLOOKUP(tbl_details5[[#This Row],[Order ID]],Table1[],5,FALSE)</f>
        <v>Goa</v>
      </c>
      <c r="L210" t="str">
        <f>VLOOKUP(tbl_details5[[#This Row],[Order ID]],Table1[],6,FALSE)</f>
        <v>Goa</v>
      </c>
    </row>
    <row r="211" spans="1:12" x14ac:dyDescent="0.25">
      <c r="A211" t="s">
        <v>179</v>
      </c>
      <c r="B211" s="4">
        <v>656</v>
      </c>
      <c r="C211" s="4">
        <v>-36</v>
      </c>
      <c r="D211" s="5">
        <f>tbl_details5[[#This Row],[Profit]]/tbl_details5[[#This Row],[Revenue]]</f>
        <v>-5.4878048780487805E-2</v>
      </c>
      <c r="E211">
        <v>2</v>
      </c>
      <c r="F211" t="s">
        <v>883</v>
      </c>
      <c r="G211" t="s">
        <v>884</v>
      </c>
      <c r="H211" s="1">
        <f>VLOOKUP(tbl_details5[[#This Row],[Order ID]],Orders!A:F,2,FALSE)</f>
        <v>43245</v>
      </c>
      <c r="I211" s="1" t="str">
        <f>TEXT(tbl_details5[[#This Row],[Order Date]],"mmm-yy")</f>
        <v>May-18</v>
      </c>
      <c r="J211" t="str">
        <f>VLOOKUP(tbl_details5[[#This Row],[Order ID]],Table1[],4,FALSE)</f>
        <v>Charika</v>
      </c>
      <c r="K211" t="str">
        <f>VLOOKUP(tbl_details5[[#This Row],[Order ID]],Table1[],5,FALSE)</f>
        <v>Goa</v>
      </c>
      <c r="L211" t="str">
        <f>VLOOKUP(tbl_details5[[#This Row],[Order ID]],Table1[],6,FALSE)</f>
        <v>Goa</v>
      </c>
    </row>
    <row r="212" spans="1:12" x14ac:dyDescent="0.25">
      <c r="A212" t="s">
        <v>181</v>
      </c>
      <c r="B212" s="4">
        <v>832</v>
      </c>
      <c r="C212" s="4">
        <v>0</v>
      </c>
      <c r="D212" s="5">
        <f>tbl_details5[[#This Row],[Profit]]/tbl_details5[[#This Row],[Revenue]]</f>
        <v>0</v>
      </c>
      <c r="E212">
        <v>3</v>
      </c>
      <c r="F212" t="s">
        <v>885</v>
      </c>
      <c r="G212" t="s">
        <v>892</v>
      </c>
      <c r="H212" s="1">
        <f>VLOOKUP(tbl_details5[[#This Row],[Order ID]],Orders!A:F,2,FALSE)</f>
        <v>43247</v>
      </c>
      <c r="I212" s="1" t="str">
        <f>TEXT(tbl_details5[[#This Row],[Order Date]],"mmm-yy")</f>
        <v>May-18</v>
      </c>
      <c r="J212" t="str">
        <f>VLOOKUP(tbl_details5[[#This Row],[Order ID]],Table1[],4,FALSE)</f>
        <v>Mitali</v>
      </c>
      <c r="K212" t="str">
        <f>VLOOKUP(tbl_details5[[#This Row],[Order ID]],Table1[],5,FALSE)</f>
        <v>Nagaland</v>
      </c>
      <c r="L212" t="str">
        <f>VLOOKUP(tbl_details5[[#This Row],[Order ID]],Table1[],6,FALSE)</f>
        <v>Kohima</v>
      </c>
    </row>
    <row r="213" spans="1:12" x14ac:dyDescent="0.25">
      <c r="A213" t="s">
        <v>183</v>
      </c>
      <c r="B213" s="4">
        <v>27</v>
      </c>
      <c r="C213" s="4">
        <v>-15</v>
      </c>
      <c r="D213" s="5">
        <f>tbl_details5[[#This Row],[Profit]]/tbl_details5[[#This Row],[Revenue]]</f>
        <v>-0.55555555555555558</v>
      </c>
      <c r="E213">
        <v>1</v>
      </c>
      <c r="F213" t="s">
        <v>885</v>
      </c>
      <c r="G213" t="s">
        <v>886</v>
      </c>
      <c r="H213" s="1">
        <f>VLOOKUP(tbl_details5[[#This Row],[Order ID]],Orders!A:F,2,FALSE)</f>
        <v>43248</v>
      </c>
      <c r="I213" s="1" t="str">
        <f>TEXT(tbl_details5[[#This Row],[Order Date]],"mmm-yy")</f>
        <v>May-18</v>
      </c>
      <c r="J213" t="str">
        <f>VLOOKUP(tbl_details5[[#This Row],[Order ID]],Table1[],4,FALSE)</f>
        <v>Akanksha</v>
      </c>
      <c r="K213" t="str">
        <f>VLOOKUP(tbl_details5[[#This Row],[Order ID]],Table1[],5,FALSE)</f>
        <v>Andhra Pradesh</v>
      </c>
      <c r="L213" t="str">
        <f>VLOOKUP(tbl_details5[[#This Row],[Order ID]],Table1[],6,FALSE)</f>
        <v>Hyderabad</v>
      </c>
    </row>
    <row r="214" spans="1:12" x14ac:dyDescent="0.25">
      <c r="A214" t="s">
        <v>185</v>
      </c>
      <c r="B214" s="4">
        <v>143</v>
      </c>
      <c r="C214" s="4">
        <v>-124</v>
      </c>
      <c r="D214" s="5">
        <f>tbl_details5[[#This Row],[Profit]]/tbl_details5[[#This Row],[Revenue]]</f>
        <v>-0.86713286713286708</v>
      </c>
      <c r="E214">
        <v>5</v>
      </c>
      <c r="F214" t="s">
        <v>885</v>
      </c>
      <c r="G214" t="s">
        <v>891</v>
      </c>
      <c r="H214" s="1">
        <f>VLOOKUP(tbl_details5[[#This Row],[Order ID]],Orders!A:F,2,FALSE)</f>
        <v>43248</v>
      </c>
      <c r="I214" s="1" t="str">
        <f>TEXT(tbl_details5[[#This Row],[Order Date]],"mmm-yy")</f>
        <v>May-18</v>
      </c>
      <c r="J214" t="str">
        <f>VLOOKUP(tbl_details5[[#This Row],[Order ID]],Table1[],4,FALSE)</f>
        <v>Arsheen</v>
      </c>
      <c r="K214" t="str">
        <f>VLOOKUP(tbl_details5[[#This Row],[Order ID]],Table1[],5,FALSE)</f>
        <v>Gujarat</v>
      </c>
      <c r="L214" t="str">
        <f>VLOOKUP(tbl_details5[[#This Row],[Order ID]],Table1[],6,FALSE)</f>
        <v>Ahmedabad</v>
      </c>
    </row>
    <row r="215" spans="1:12" x14ac:dyDescent="0.25">
      <c r="A215" t="s">
        <v>185</v>
      </c>
      <c r="B215" s="4">
        <v>44</v>
      </c>
      <c r="C215" s="4">
        <v>-17</v>
      </c>
      <c r="D215" s="5">
        <f>tbl_details5[[#This Row],[Profit]]/tbl_details5[[#This Row],[Revenue]]</f>
        <v>-0.38636363636363635</v>
      </c>
      <c r="E215">
        <v>5</v>
      </c>
      <c r="F215" t="s">
        <v>885</v>
      </c>
      <c r="G215" t="s">
        <v>891</v>
      </c>
      <c r="H215" s="1">
        <f>VLOOKUP(tbl_details5[[#This Row],[Order ID]],Orders!A:F,2,FALSE)</f>
        <v>43248</v>
      </c>
      <c r="I215" s="1" t="str">
        <f>TEXT(tbl_details5[[#This Row],[Order Date]],"mmm-yy")</f>
        <v>May-18</v>
      </c>
      <c r="J215" t="str">
        <f>VLOOKUP(tbl_details5[[#This Row],[Order ID]],Table1[],4,FALSE)</f>
        <v>Arsheen</v>
      </c>
      <c r="K215" t="str">
        <f>VLOOKUP(tbl_details5[[#This Row],[Order ID]],Table1[],5,FALSE)</f>
        <v>Gujarat</v>
      </c>
      <c r="L215" t="str">
        <f>VLOOKUP(tbl_details5[[#This Row],[Order ID]],Table1[],6,FALSE)</f>
        <v>Ahmedabad</v>
      </c>
    </row>
    <row r="216" spans="1:12" x14ac:dyDescent="0.25">
      <c r="A216" t="s">
        <v>185</v>
      </c>
      <c r="B216" s="4">
        <v>45</v>
      </c>
      <c r="C216" s="4">
        <v>-2</v>
      </c>
      <c r="D216" s="5">
        <f>tbl_details5[[#This Row],[Profit]]/tbl_details5[[#This Row],[Revenue]]</f>
        <v>-4.4444444444444446E-2</v>
      </c>
      <c r="E216">
        <v>4</v>
      </c>
      <c r="F216" t="s">
        <v>885</v>
      </c>
      <c r="G216" t="s">
        <v>896</v>
      </c>
      <c r="H216" s="1">
        <f>VLOOKUP(tbl_details5[[#This Row],[Order ID]],Orders!A:F,2,FALSE)</f>
        <v>43248</v>
      </c>
      <c r="I216" s="1" t="str">
        <f>TEXT(tbl_details5[[#This Row],[Order Date]],"mmm-yy")</f>
        <v>May-18</v>
      </c>
      <c r="J216" t="str">
        <f>VLOOKUP(tbl_details5[[#This Row],[Order ID]],Table1[],4,FALSE)</f>
        <v>Arsheen</v>
      </c>
      <c r="K216" t="str">
        <f>VLOOKUP(tbl_details5[[#This Row],[Order ID]],Table1[],5,FALSE)</f>
        <v>Gujarat</v>
      </c>
      <c r="L216" t="str">
        <f>VLOOKUP(tbl_details5[[#This Row],[Order ID]],Table1[],6,FALSE)</f>
        <v>Ahmedabad</v>
      </c>
    </row>
    <row r="217" spans="1:12" x14ac:dyDescent="0.25">
      <c r="A217" t="s">
        <v>185</v>
      </c>
      <c r="B217" s="4">
        <v>16</v>
      </c>
      <c r="C217" s="4">
        <v>-1</v>
      </c>
      <c r="D217" s="5">
        <f>tbl_details5[[#This Row],[Profit]]/tbl_details5[[#This Row],[Revenue]]</f>
        <v>-6.25E-2</v>
      </c>
      <c r="E217">
        <v>1</v>
      </c>
      <c r="F217" t="s">
        <v>885</v>
      </c>
      <c r="G217" t="s">
        <v>891</v>
      </c>
      <c r="H217" s="1">
        <f>VLOOKUP(tbl_details5[[#This Row],[Order ID]],Orders!A:F,2,FALSE)</f>
        <v>43248</v>
      </c>
      <c r="I217" s="1" t="str">
        <f>TEXT(tbl_details5[[#This Row],[Order Date]],"mmm-yy")</f>
        <v>May-18</v>
      </c>
      <c r="J217" t="str">
        <f>VLOOKUP(tbl_details5[[#This Row],[Order ID]],Table1[],4,FALSE)</f>
        <v>Arsheen</v>
      </c>
      <c r="K217" t="str">
        <f>VLOOKUP(tbl_details5[[#This Row],[Order ID]],Table1[],5,FALSE)</f>
        <v>Gujarat</v>
      </c>
      <c r="L217" t="str">
        <f>VLOOKUP(tbl_details5[[#This Row],[Order ID]],Table1[],6,FALSE)</f>
        <v>Ahmedabad</v>
      </c>
    </row>
    <row r="218" spans="1:12" x14ac:dyDescent="0.25">
      <c r="A218" t="s">
        <v>185</v>
      </c>
      <c r="B218" s="4">
        <v>37</v>
      </c>
      <c r="C218" s="4">
        <v>-5</v>
      </c>
      <c r="D218" s="5">
        <f>tbl_details5[[#This Row],[Profit]]/tbl_details5[[#This Row],[Revenue]]</f>
        <v>-0.13513513513513514</v>
      </c>
      <c r="E218">
        <v>3</v>
      </c>
      <c r="F218" t="s">
        <v>885</v>
      </c>
      <c r="G218" t="s">
        <v>895</v>
      </c>
      <c r="H218" s="1">
        <f>VLOOKUP(tbl_details5[[#This Row],[Order ID]],Orders!A:F,2,FALSE)</f>
        <v>43248</v>
      </c>
      <c r="I218" s="1" t="str">
        <f>TEXT(tbl_details5[[#This Row],[Order Date]],"mmm-yy")</f>
        <v>May-18</v>
      </c>
      <c r="J218" t="str">
        <f>VLOOKUP(tbl_details5[[#This Row],[Order ID]],Table1[],4,FALSE)</f>
        <v>Arsheen</v>
      </c>
      <c r="K218" t="str">
        <f>VLOOKUP(tbl_details5[[#This Row],[Order ID]],Table1[],5,FALSE)</f>
        <v>Gujarat</v>
      </c>
      <c r="L218" t="str">
        <f>VLOOKUP(tbl_details5[[#This Row],[Order ID]],Table1[],6,FALSE)</f>
        <v>Ahmedabad</v>
      </c>
    </row>
    <row r="219" spans="1:12" x14ac:dyDescent="0.25">
      <c r="A219" t="s">
        <v>187</v>
      </c>
      <c r="B219" s="4">
        <v>17</v>
      </c>
      <c r="C219" s="4">
        <v>-12</v>
      </c>
      <c r="D219" s="5">
        <f>tbl_details5[[#This Row],[Profit]]/tbl_details5[[#This Row],[Revenue]]</f>
        <v>-0.70588235294117652</v>
      </c>
      <c r="E219">
        <v>5</v>
      </c>
      <c r="F219" t="s">
        <v>885</v>
      </c>
      <c r="G219" t="s">
        <v>902</v>
      </c>
      <c r="H219" s="1">
        <f>VLOOKUP(tbl_details5[[#This Row],[Order ID]],Orders!A:F,2,FALSE)</f>
        <v>43248</v>
      </c>
      <c r="I219" s="1" t="str">
        <f>TEXT(tbl_details5[[#This Row],[Order Date]],"mmm-yy")</f>
        <v>May-18</v>
      </c>
      <c r="J219" t="str">
        <f>VLOOKUP(tbl_details5[[#This Row],[Order ID]],Table1[],4,FALSE)</f>
        <v>Mahima</v>
      </c>
      <c r="K219" t="str">
        <f>VLOOKUP(tbl_details5[[#This Row],[Order ID]],Table1[],5,FALSE)</f>
        <v>Maharashtra</v>
      </c>
      <c r="L219" t="str">
        <f>VLOOKUP(tbl_details5[[#This Row],[Order ID]],Table1[],6,FALSE)</f>
        <v>Pune</v>
      </c>
    </row>
    <row r="220" spans="1:12" x14ac:dyDescent="0.25">
      <c r="A220" t="s">
        <v>189</v>
      </c>
      <c r="B220" s="4">
        <v>929</v>
      </c>
      <c r="C220" s="4">
        <v>-93</v>
      </c>
      <c r="D220" s="5">
        <f>tbl_details5[[#This Row],[Profit]]/tbl_details5[[#This Row],[Revenue]]</f>
        <v>-0.10010764262648009</v>
      </c>
      <c r="E220">
        <v>9</v>
      </c>
      <c r="F220" t="s">
        <v>885</v>
      </c>
      <c r="G220" t="s">
        <v>891</v>
      </c>
      <c r="H220" s="1">
        <f>VLOOKUP(tbl_details5[[#This Row],[Order ID]],Orders!A:F,2,FALSE)</f>
        <v>43251</v>
      </c>
      <c r="I220" s="1" t="str">
        <f>TEXT(tbl_details5[[#This Row],[Order Date]],"mmm-yy")</f>
        <v>May-18</v>
      </c>
      <c r="J220" t="str">
        <f>VLOOKUP(tbl_details5[[#This Row],[Order ID]],Table1[],4,FALSE)</f>
        <v>Shreya</v>
      </c>
      <c r="K220" t="str">
        <f>VLOOKUP(tbl_details5[[#This Row],[Order ID]],Table1[],5,FALSE)</f>
        <v>Madhya Pradesh</v>
      </c>
      <c r="L220" t="str">
        <f>VLOOKUP(tbl_details5[[#This Row],[Order ID]],Table1[],6,FALSE)</f>
        <v>Bhopal</v>
      </c>
    </row>
    <row r="221" spans="1:12" x14ac:dyDescent="0.25">
      <c r="A221" t="s">
        <v>191</v>
      </c>
      <c r="B221" s="4">
        <v>342</v>
      </c>
      <c r="C221" s="4">
        <v>-103</v>
      </c>
      <c r="D221" s="5">
        <f>tbl_details5[[#This Row],[Profit]]/tbl_details5[[#This Row],[Revenue]]</f>
        <v>-0.30116959064327486</v>
      </c>
      <c r="E221">
        <v>4</v>
      </c>
      <c r="F221" t="s">
        <v>888</v>
      </c>
      <c r="G221" t="s">
        <v>889</v>
      </c>
      <c r="H221" s="1">
        <f>VLOOKUP(tbl_details5[[#This Row],[Order ID]],Orders!A:F,2,FALSE)</f>
        <v>43252</v>
      </c>
      <c r="I221" s="1" t="str">
        <f>TEXT(tbl_details5[[#This Row],[Order Date]],"mmm-yy")</f>
        <v>Jun-18</v>
      </c>
      <c r="J221" t="str">
        <f>VLOOKUP(tbl_details5[[#This Row],[Order ID]],Table1[],4,FALSE)</f>
        <v>Chandni</v>
      </c>
      <c r="K221" t="str">
        <f>VLOOKUP(tbl_details5[[#This Row],[Order ID]],Table1[],5,FALSE)</f>
        <v>Rajasthan</v>
      </c>
      <c r="L221" t="str">
        <f>VLOOKUP(tbl_details5[[#This Row],[Order ID]],Table1[],6,FALSE)</f>
        <v>Jaipur</v>
      </c>
    </row>
    <row r="222" spans="1:12" x14ac:dyDescent="0.25">
      <c r="A222" t="s">
        <v>191</v>
      </c>
      <c r="B222" s="4">
        <v>1263</v>
      </c>
      <c r="C222" s="4">
        <v>-56</v>
      </c>
      <c r="D222" s="5">
        <f>tbl_details5[[#This Row],[Profit]]/tbl_details5[[#This Row],[Revenue]]</f>
        <v>-4.4338875692794932E-2</v>
      </c>
      <c r="E222">
        <v>5</v>
      </c>
      <c r="F222" t="s">
        <v>885</v>
      </c>
      <c r="G222" t="s">
        <v>892</v>
      </c>
      <c r="H222" s="1">
        <f>VLOOKUP(tbl_details5[[#This Row],[Order ID]],Orders!A:F,2,FALSE)</f>
        <v>43252</v>
      </c>
      <c r="I222" s="1" t="str">
        <f>TEXT(tbl_details5[[#This Row],[Order Date]],"mmm-yy")</f>
        <v>Jun-18</v>
      </c>
      <c r="J222" t="str">
        <f>VLOOKUP(tbl_details5[[#This Row],[Order ID]],Table1[],4,FALSE)</f>
        <v>Chandni</v>
      </c>
      <c r="K222" t="str">
        <f>VLOOKUP(tbl_details5[[#This Row],[Order ID]],Table1[],5,FALSE)</f>
        <v>Rajasthan</v>
      </c>
      <c r="L222" t="str">
        <f>VLOOKUP(tbl_details5[[#This Row],[Order ID]],Table1[],6,FALSE)</f>
        <v>Jaipur</v>
      </c>
    </row>
    <row r="223" spans="1:12" x14ac:dyDescent="0.25">
      <c r="A223" t="s">
        <v>191</v>
      </c>
      <c r="B223" s="4">
        <v>674</v>
      </c>
      <c r="C223" s="4">
        <v>-187</v>
      </c>
      <c r="D223" s="5">
        <f>tbl_details5[[#This Row],[Profit]]/tbl_details5[[#This Row],[Revenue]]</f>
        <v>-0.27744807121661719</v>
      </c>
      <c r="E223">
        <v>2</v>
      </c>
      <c r="F223" t="s">
        <v>883</v>
      </c>
      <c r="G223" t="s">
        <v>898</v>
      </c>
      <c r="H223" s="1">
        <f>VLOOKUP(tbl_details5[[#This Row],[Order ID]],Orders!A:F,2,FALSE)</f>
        <v>43252</v>
      </c>
      <c r="I223" s="1" t="str">
        <f>TEXT(tbl_details5[[#This Row],[Order Date]],"mmm-yy")</f>
        <v>Jun-18</v>
      </c>
      <c r="J223" t="str">
        <f>VLOOKUP(tbl_details5[[#This Row],[Order ID]],Table1[],4,FALSE)</f>
        <v>Chandni</v>
      </c>
      <c r="K223" t="str">
        <f>VLOOKUP(tbl_details5[[#This Row],[Order ID]],Table1[],5,FALSE)</f>
        <v>Rajasthan</v>
      </c>
      <c r="L223" t="str">
        <f>VLOOKUP(tbl_details5[[#This Row],[Order ID]],Table1[],6,FALSE)</f>
        <v>Jaipur</v>
      </c>
    </row>
    <row r="224" spans="1:12" x14ac:dyDescent="0.25">
      <c r="A224" t="s">
        <v>191</v>
      </c>
      <c r="B224" s="4">
        <v>32</v>
      </c>
      <c r="C224" s="4">
        <v>6</v>
      </c>
      <c r="D224" s="5">
        <f>tbl_details5[[#This Row],[Profit]]/tbl_details5[[#This Row],[Revenue]]</f>
        <v>0.1875</v>
      </c>
      <c r="E224">
        <v>3</v>
      </c>
      <c r="F224" t="s">
        <v>885</v>
      </c>
      <c r="G224" t="s">
        <v>896</v>
      </c>
      <c r="H224" s="1">
        <f>VLOOKUP(tbl_details5[[#This Row],[Order ID]],Orders!A:F,2,FALSE)</f>
        <v>43252</v>
      </c>
      <c r="I224" s="1" t="str">
        <f>TEXT(tbl_details5[[#This Row],[Order Date]],"mmm-yy")</f>
        <v>Jun-18</v>
      </c>
      <c r="J224" t="str">
        <f>VLOOKUP(tbl_details5[[#This Row],[Order ID]],Table1[],4,FALSE)</f>
        <v>Chandni</v>
      </c>
      <c r="K224" t="str">
        <f>VLOOKUP(tbl_details5[[#This Row],[Order ID]],Table1[],5,FALSE)</f>
        <v>Rajasthan</v>
      </c>
      <c r="L224" t="str">
        <f>VLOOKUP(tbl_details5[[#This Row],[Order ID]],Table1[],6,FALSE)</f>
        <v>Jaipur</v>
      </c>
    </row>
    <row r="225" spans="1:12" x14ac:dyDescent="0.25">
      <c r="A225" t="s">
        <v>191</v>
      </c>
      <c r="B225" s="4">
        <v>79</v>
      </c>
      <c r="C225" s="4">
        <v>36</v>
      </c>
      <c r="D225" s="5">
        <f>tbl_details5[[#This Row],[Profit]]/tbl_details5[[#This Row],[Revenue]]</f>
        <v>0.45569620253164556</v>
      </c>
      <c r="E225">
        <v>4</v>
      </c>
      <c r="F225" t="s">
        <v>885</v>
      </c>
      <c r="G225" t="s">
        <v>896</v>
      </c>
      <c r="H225" s="1">
        <f>VLOOKUP(tbl_details5[[#This Row],[Order ID]],Orders!A:F,2,FALSE)</f>
        <v>43252</v>
      </c>
      <c r="I225" s="1" t="str">
        <f>TEXT(tbl_details5[[#This Row],[Order Date]],"mmm-yy")</f>
        <v>Jun-18</v>
      </c>
      <c r="J225" t="str">
        <f>VLOOKUP(tbl_details5[[#This Row],[Order ID]],Table1[],4,FALSE)</f>
        <v>Chandni</v>
      </c>
      <c r="K225" t="str">
        <f>VLOOKUP(tbl_details5[[#This Row],[Order ID]],Table1[],5,FALSE)</f>
        <v>Rajasthan</v>
      </c>
      <c r="L225" t="str">
        <f>VLOOKUP(tbl_details5[[#This Row],[Order ID]],Table1[],6,FALSE)</f>
        <v>Jaipur</v>
      </c>
    </row>
    <row r="226" spans="1:12" x14ac:dyDescent="0.25">
      <c r="A226" t="s">
        <v>193</v>
      </c>
      <c r="B226" s="4">
        <v>20</v>
      </c>
      <c r="C226" s="4">
        <v>-2</v>
      </c>
      <c r="D226" s="5">
        <f>tbl_details5[[#This Row],[Profit]]/tbl_details5[[#This Row],[Revenue]]</f>
        <v>-0.1</v>
      </c>
      <c r="E226">
        <v>1</v>
      </c>
      <c r="F226" t="s">
        <v>888</v>
      </c>
      <c r="G226" t="s">
        <v>900</v>
      </c>
      <c r="H226" s="1">
        <f>VLOOKUP(tbl_details5[[#This Row],[Order ID]],Orders!A:F,2,FALSE)</f>
        <v>43253</v>
      </c>
      <c r="I226" s="1" t="str">
        <f>TEXT(tbl_details5[[#This Row],[Order Date]],"mmm-yy")</f>
        <v>Jun-18</v>
      </c>
      <c r="J226" t="str">
        <f>VLOOKUP(tbl_details5[[#This Row],[Order ID]],Table1[],4,FALSE)</f>
        <v>Ekta</v>
      </c>
      <c r="K226" t="str">
        <f>VLOOKUP(tbl_details5[[#This Row],[Order ID]],Table1[],5,FALSE)</f>
        <v>West Bengal</v>
      </c>
      <c r="L226" t="str">
        <f>VLOOKUP(tbl_details5[[#This Row],[Order ID]],Table1[],6,FALSE)</f>
        <v>Kolkata</v>
      </c>
    </row>
    <row r="227" spans="1:12" x14ac:dyDescent="0.25">
      <c r="A227" t="s">
        <v>195</v>
      </c>
      <c r="B227" s="4">
        <v>64</v>
      </c>
      <c r="C227" s="4">
        <v>-7</v>
      </c>
      <c r="D227" s="5">
        <f>tbl_details5[[#This Row],[Profit]]/tbl_details5[[#This Row],[Revenue]]</f>
        <v>-0.109375</v>
      </c>
      <c r="E227">
        <v>3</v>
      </c>
      <c r="F227" t="s">
        <v>885</v>
      </c>
      <c r="G227" t="s">
        <v>891</v>
      </c>
      <c r="H227" s="1">
        <f>VLOOKUP(tbl_details5[[#This Row],[Order ID]],Orders!A:F,2,FALSE)</f>
        <v>43254</v>
      </c>
      <c r="I227" s="1" t="str">
        <f>TEXT(tbl_details5[[#This Row],[Order Date]],"mmm-yy")</f>
        <v>Jun-18</v>
      </c>
      <c r="J227" t="str">
        <f>VLOOKUP(tbl_details5[[#This Row],[Order ID]],Table1[],4,FALSE)</f>
        <v>Bathina</v>
      </c>
      <c r="K227" t="str">
        <f>VLOOKUP(tbl_details5[[#This Row],[Order ID]],Table1[],5,FALSE)</f>
        <v>Karnataka</v>
      </c>
      <c r="L227" t="str">
        <f>VLOOKUP(tbl_details5[[#This Row],[Order ID]],Table1[],6,FALSE)</f>
        <v>Bangalore</v>
      </c>
    </row>
    <row r="228" spans="1:12" x14ac:dyDescent="0.25">
      <c r="A228" t="s">
        <v>195</v>
      </c>
      <c r="B228" s="4">
        <v>7</v>
      </c>
      <c r="C228" s="4">
        <v>-3</v>
      </c>
      <c r="D228" s="5">
        <f>tbl_details5[[#This Row],[Profit]]/tbl_details5[[#This Row],[Revenue]]</f>
        <v>-0.42857142857142855</v>
      </c>
      <c r="E228">
        <v>2</v>
      </c>
      <c r="F228" t="s">
        <v>885</v>
      </c>
      <c r="G228" t="s">
        <v>902</v>
      </c>
      <c r="H228" s="1">
        <f>VLOOKUP(tbl_details5[[#This Row],[Order ID]],Orders!A:F,2,FALSE)</f>
        <v>43254</v>
      </c>
      <c r="I228" s="1" t="str">
        <f>TEXT(tbl_details5[[#This Row],[Order Date]],"mmm-yy")</f>
        <v>Jun-18</v>
      </c>
      <c r="J228" t="str">
        <f>VLOOKUP(tbl_details5[[#This Row],[Order ID]],Table1[],4,FALSE)</f>
        <v>Bathina</v>
      </c>
      <c r="K228" t="str">
        <f>VLOOKUP(tbl_details5[[#This Row],[Order ID]],Table1[],5,FALSE)</f>
        <v>Karnataka</v>
      </c>
      <c r="L228" t="str">
        <f>VLOOKUP(tbl_details5[[#This Row],[Order ID]],Table1[],6,FALSE)</f>
        <v>Bangalore</v>
      </c>
    </row>
    <row r="229" spans="1:12" x14ac:dyDescent="0.25">
      <c r="A229" t="s">
        <v>195</v>
      </c>
      <c r="B229" s="4">
        <v>327</v>
      </c>
      <c r="C229" s="4">
        <v>-39</v>
      </c>
      <c r="D229" s="5">
        <f>tbl_details5[[#This Row],[Profit]]/tbl_details5[[#This Row],[Revenue]]</f>
        <v>-0.11926605504587157</v>
      </c>
      <c r="E229">
        <v>1</v>
      </c>
      <c r="F229" t="s">
        <v>888</v>
      </c>
      <c r="G229" t="s">
        <v>890</v>
      </c>
      <c r="H229" s="1">
        <f>VLOOKUP(tbl_details5[[#This Row],[Order ID]],Orders!A:F,2,FALSE)</f>
        <v>43254</v>
      </c>
      <c r="I229" s="1" t="str">
        <f>TEXT(tbl_details5[[#This Row],[Order Date]],"mmm-yy")</f>
        <v>Jun-18</v>
      </c>
      <c r="J229" t="str">
        <f>VLOOKUP(tbl_details5[[#This Row],[Order ID]],Table1[],4,FALSE)</f>
        <v>Bathina</v>
      </c>
      <c r="K229" t="str">
        <f>VLOOKUP(tbl_details5[[#This Row],[Order ID]],Table1[],5,FALSE)</f>
        <v>Karnataka</v>
      </c>
      <c r="L229" t="str">
        <f>VLOOKUP(tbl_details5[[#This Row],[Order ID]],Table1[],6,FALSE)</f>
        <v>Bangalore</v>
      </c>
    </row>
    <row r="230" spans="1:12" x14ac:dyDescent="0.25">
      <c r="A230" t="s">
        <v>195</v>
      </c>
      <c r="B230" s="4">
        <v>27</v>
      </c>
      <c r="C230" s="4">
        <v>-25</v>
      </c>
      <c r="D230" s="5">
        <f>tbl_details5[[#This Row],[Profit]]/tbl_details5[[#This Row],[Revenue]]</f>
        <v>-0.92592592592592593</v>
      </c>
      <c r="E230">
        <v>2</v>
      </c>
      <c r="F230" t="s">
        <v>885</v>
      </c>
      <c r="G230" t="s">
        <v>896</v>
      </c>
      <c r="H230" s="1">
        <f>VLOOKUP(tbl_details5[[#This Row],[Order ID]],Orders!A:F,2,FALSE)</f>
        <v>43254</v>
      </c>
      <c r="I230" s="1" t="str">
        <f>TEXT(tbl_details5[[#This Row],[Order Date]],"mmm-yy")</f>
        <v>Jun-18</v>
      </c>
      <c r="J230" t="str">
        <f>VLOOKUP(tbl_details5[[#This Row],[Order ID]],Table1[],4,FALSE)</f>
        <v>Bathina</v>
      </c>
      <c r="K230" t="str">
        <f>VLOOKUP(tbl_details5[[#This Row],[Order ID]],Table1[],5,FALSE)</f>
        <v>Karnataka</v>
      </c>
      <c r="L230" t="str">
        <f>VLOOKUP(tbl_details5[[#This Row],[Order ID]],Table1[],6,FALSE)</f>
        <v>Bangalore</v>
      </c>
    </row>
    <row r="231" spans="1:12" x14ac:dyDescent="0.25">
      <c r="A231" t="s">
        <v>197</v>
      </c>
      <c r="B231" s="4">
        <v>76</v>
      </c>
      <c r="C231" s="4">
        <v>-50</v>
      </c>
      <c r="D231" s="5">
        <f>tbl_details5[[#This Row],[Profit]]/tbl_details5[[#This Row],[Revenue]]</f>
        <v>-0.65789473684210531</v>
      </c>
      <c r="E231">
        <v>1</v>
      </c>
      <c r="F231" t="s">
        <v>885</v>
      </c>
      <c r="G231" t="s">
        <v>891</v>
      </c>
      <c r="H231" s="1">
        <f>VLOOKUP(tbl_details5[[#This Row],[Order ID]],Orders!A:F,2,FALSE)</f>
        <v>43255</v>
      </c>
      <c r="I231" s="1" t="str">
        <f>TEXT(tbl_details5[[#This Row],[Order Date]],"mmm-yy")</f>
        <v>Jun-18</v>
      </c>
      <c r="J231" t="str">
        <f>VLOOKUP(tbl_details5[[#This Row],[Order ID]],Table1[],4,FALSE)</f>
        <v>Avni</v>
      </c>
      <c r="K231" t="str">
        <f>VLOOKUP(tbl_details5[[#This Row],[Order ID]],Table1[],5,FALSE)</f>
        <v>Maharashtra</v>
      </c>
      <c r="L231" t="str">
        <f>VLOOKUP(tbl_details5[[#This Row],[Order ID]],Table1[],6,FALSE)</f>
        <v>Mumbai</v>
      </c>
    </row>
    <row r="232" spans="1:12" x14ac:dyDescent="0.25">
      <c r="A232" t="s">
        <v>199</v>
      </c>
      <c r="B232" s="4">
        <v>73</v>
      </c>
      <c r="C232" s="4">
        <v>-25</v>
      </c>
      <c r="D232" s="5">
        <f>tbl_details5[[#This Row],[Profit]]/tbl_details5[[#This Row],[Revenue]]</f>
        <v>-0.34246575342465752</v>
      </c>
      <c r="E232">
        <v>3</v>
      </c>
      <c r="F232" t="s">
        <v>885</v>
      </c>
      <c r="G232" t="s">
        <v>891</v>
      </c>
      <c r="H232" s="1">
        <f>VLOOKUP(tbl_details5[[#This Row],[Order ID]],Orders!A:F,2,FALSE)</f>
        <v>43255</v>
      </c>
      <c r="I232" s="1" t="str">
        <f>TEXT(tbl_details5[[#This Row],[Order Date]],"mmm-yy")</f>
        <v>Jun-18</v>
      </c>
      <c r="J232" t="str">
        <f>VLOOKUP(tbl_details5[[#This Row],[Order ID]],Table1[],4,FALSE)</f>
        <v>Aayushi</v>
      </c>
      <c r="K232" t="str">
        <f>VLOOKUP(tbl_details5[[#This Row],[Order ID]],Table1[],5,FALSE)</f>
        <v>Madhya Pradesh</v>
      </c>
      <c r="L232" t="str">
        <f>VLOOKUP(tbl_details5[[#This Row],[Order ID]],Table1[],6,FALSE)</f>
        <v>Indore</v>
      </c>
    </row>
    <row r="233" spans="1:12" x14ac:dyDescent="0.25">
      <c r="A233" t="s">
        <v>201</v>
      </c>
      <c r="B233" s="4">
        <v>68</v>
      </c>
      <c r="C233" s="4">
        <v>-27</v>
      </c>
      <c r="D233" s="5">
        <f>tbl_details5[[#This Row],[Profit]]/tbl_details5[[#This Row],[Revenue]]</f>
        <v>-0.39705882352941174</v>
      </c>
      <c r="E233">
        <v>3</v>
      </c>
      <c r="F233" t="s">
        <v>888</v>
      </c>
      <c r="G233" t="s">
        <v>900</v>
      </c>
      <c r="H233" s="1">
        <f>VLOOKUP(tbl_details5[[#This Row],[Order ID]],Orders!A:F,2,FALSE)</f>
        <v>43255</v>
      </c>
      <c r="I233" s="1" t="str">
        <f>TEXT(tbl_details5[[#This Row],[Order Date]],"mmm-yy")</f>
        <v>Jun-18</v>
      </c>
      <c r="J233" t="str">
        <f>VLOOKUP(tbl_details5[[#This Row],[Order ID]],Table1[],4,FALSE)</f>
        <v>Bhawna</v>
      </c>
      <c r="K233" t="str">
        <f>VLOOKUP(tbl_details5[[#This Row],[Order ID]],Table1[],5,FALSE)</f>
        <v>Madhya Pradesh</v>
      </c>
      <c r="L233" t="str">
        <f>VLOOKUP(tbl_details5[[#This Row],[Order ID]],Table1[],6,FALSE)</f>
        <v>Indore</v>
      </c>
    </row>
    <row r="234" spans="1:12" x14ac:dyDescent="0.25">
      <c r="A234" t="s">
        <v>201</v>
      </c>
      <c r="B234" s="4">
        <v>523</v>
      </c>
      <c r="C234" s="4">
        <v>204</v>
      </c>
      <c r="D234" s="5">
        <f>tbl_details5[[#This Row],[Profit]]/tbl_details5[[#This Row],[Revenue]]</f>
        <v>0.39005736137667302</v>
      </c>
      <c r="E234">
        <v>7</v>
      </c>
      <c r="F234" t="s">
        <v>885</v>
      </c>
      <c r="G234" t="s">
        <v>892</v>
      </c>
      <c r="H234" s="1">
        <f>VLOOKUP(tbl_details5[[#This Row],[Order ID]],Orders!A:F,2,FALSE)</f>
        <v>43255</v>
      </c>
      <c r="I234" s="1" t="str">
        <f>TEXT(tbl_details5[[#This Row],[Order Date]],"mmm-yy")</f>
        <v>Jun-18</v>
      </c>
      <c r="J234" t="str">
        <f>VLOOKUP(tbl_details5[[#This Row],[Order ID]],Table1[],4,FALSE)</f>
        <v>Bhawna</v>
      </c>
      <c r="K234" t="str">
        <f>VLOOKUP(tbl_details5[[#This Row],[Order ID]],Table1[],5,FALSE)</f>
        <v>Madhya Pradesh</v>
      </c>
      <c r="L234" t="str">
        <f>VLOOKUP(tbl_details5[[#This Row],[Order ID]],Table1[],6,FALSE)</f>
        <v>Indore</v>
      </c>
    </row>
    <row r="235" spans="1:12" x14ac:dyDescent="0.25">
      <c r="A235" t="s">
        <v>201</v>
      </c>
      <c r="B235" s="4">
        <v>44</v>
      </c>
      <c r="C235" s="4">
        <v>-3</v>
      </c>
      <c r="D235" s="5">
        <f>tbl_details5[[#This Row],[Profit]]/tbl_details5[[#This Row],[Revenue]]</f>
        <v>-6.8181818181818177E-2</v>
      </c>
      <c r="E235">
        <v>1</v>
      </c>
      <c r="F235" t="s">
        <v>885</v>
      </c>
      <c r="G235" t="s">
        <v>891</v>
      </c>
      <c r="H235" s="1">
        <f>VLOOKUP(tbl_details5[[#This Row],[Order ID]],Orders!A:F,2,FALSE)</f>
        <v>43255</v>
      </c>
      <c r="I235" s="1" t="str">
        <f>TEXT(tbl_details5[[#This Row],[Order Date]],"mmm-yy")</f>
        <v>Jun-18</v>
      </c>
      <c r="J235" t="str">
        <f>VLOOKUP(tbl_details5[[#This Row],[Order ID]],Table1[],4,FALSE)</f>
        <v>Bhawna</v>
      </c>
      <c r="K235" t="str">
        <f>VLOOKUP(tbl_details5[[#This Row],[Order ID]],Table1[],5,FALSE)</f>
        <v>Madhya Pradesh</v>
      </c>
      <c r="L235" t="str">
        <f>VLOOKUP(tbl_details5[[#This Row],[Order ID]],Table1[],6,FALSE)</f>
        <v>Indore</v>
      </c>
    </row>
    <row r="236" spans="1:12" x14ac:dyDescent="0.25">
      <c r="A236" t="s">
        <v>201</v>
      </c>
      <c r="B236" s="4">
        <v>243</v>
      </c>
      <c r="C236" s="4">
        <v>-14</v>
      </c>
      <c r="D236" s="5">
        <f>tbl_details5[[#This Row],[Profit]]/tbl_details5[[#This Row],[Revenue]]</f>
        <v>-5.7613168724279837E-2</v>
      </c>
      <c r="E236">
        <v>2</v>
      </c>
      <c r="F236" t="s">
        <v>883</v>
      </c>
      <c r="G236" t="s">
        <v>893</v>
      </c>
      <c r="H236" s="1">
        <f>VLOOKUP(tbl_details5[[#This Row],[Order ID]],Orders!A:F,2,FALSE)</f>
        <v>43255</v>
      </c>
      <c r="I236" s="1" t="str">
        <f>TEXT(tbl_details5[[#This Row],[Order Date]],"mmm-yy")</f>
        <v>Jun-18</v>
      </c>
      <c r="J236" t="str">
        <f>VLOOKUP(tbl_details5[[#This Row],[Order ID]],Table1[],4,FALSE)</f>
        <v>Bhawna</v>
      </c>
      <c r="K236" t="str">
        <f>VLOOKUP(tbl_details5[[#This Row],[Order ID]],Table1[],5,FALSE)</f>
        <v>Madhya Pradesh</v>
      </c>
      <c r="L236" t="str">
        <f>VLOOKUP(tbl_details5[[#This Row],[Order ID]],Table1[],6,FALSE)</f>
        <v>Indore</v>
      </c>
    </row>
    <row r="237" spans="1:12" x14ac:dyDescent="0.25">
      <c r="A237" t="s">
        <v>201</v>
      </c>
      <c r="B237" s="4">
        <v>1625</v>
      </c>
      <c r="C237" s="4">
        <v>-77</v>
      </c>
      <c r="D237" s="5">
        <f>tbl_details5[[#This Row],[Profit]]/tbl_details5[[#This Row],[Revenue]]</f>
        <v>-4.7384615384615386E-2</v>
      </c>
      <c r="E237">
        <v>3</v>
      </c>
      <c r="F237" t="s">
        <v>888</v>
      </c>
      <c r="G237" t="s">
        <v>890</v>
      </c>
      <c r="H237" s="1">
        <f>VLOOKUP(tbl_details5[[#This Row],[Order ID]],Orders!A:F,2,FALSE)</f>
        <v>43255</v>
      </c>
      <c r="I237" s="1" t="str">
        <f>TEXT(tbl_details5[[#This Row],[Order Date]],"mmm-yy")</f>
        <v>Jun-18</v>
      </c>
      <c r="J237" t="str">
        <f>VLOOKUP(tbl_details5[[#This Row],[Order ID]],Table1[],4,FALSE)</f>
        <v>Bhawna</v>
      </c>
      <c r="K237" t="str">
        <f>VLOOKUP(tbl_details5[[#This Row],[Order ID]],Table1[],5,FALSE)</f>
        <v>Madhya Pradesh</v>
      </c>
      <c r="L237" t="str">
        <f>VLOOKUP(tbl_details5[[#This Row],[Order ID]],Table1[],6,FALSE)</f>
        <v>Indore</v>
      </c>
    </row>
    <row r="238" spans="1:12" x14ac:dyDescent="0.25">
      <c r="A238" t="s">
        <v>201</v>
      </c>
      <c r="B238" s="4">
        <v>1096</v>
      </c>
      <c r="C238" s="4">
        <v>-658</v>
      </c>
      <c r="D238" s="5">
        <f>tbl_details5[[#This Row],[Profit]]/tbl_details5[[#This Row],[Revenue]]</f>
        <v>-0.60036496350364965</v>
      </c>
      <c r="E238">
        <v>7</v>
      </c>
      <c r="F238" t="s">
        <v>888</v>
      </c>
      <c r="G238" t="s">
        <v>889</v>
      </c>
      <c r="H238" s="1">
        <f>VLOOKUP(tbl_details5[[#This Row],[Order ID]],Orders!A:F,2,FALSE)</f>
        <v>43255</v>
      </c>
      <c r="I238" s="1" t="str">
        <f>TEXT(tbl_details5[[#This Row],[Order Date]],"mmm-yy")</f>
        <v>Jun-18</v>
      </c>
      <c r="J238" t="str">
        <f>VLOOKUP(tbl_details5[[#This Row],[Order ID]],Table1[],4,FALSE)</f>
        <v>Bhawna</v>
      </c>
      <c r="K238" t="str">
        <f>VLOOKUP(tbl_details5[[#This Row],[Order ID]],Table1[],5,FALSE)</f>
        <v>Madhya Pradesh</v>
      </c>
      <c r="L238" t="str">
        <f>VLOOKUP(tbl_details5[[#This Row],[Order ID]],Table1[],6,FALSE)</f>
        <v>Indore</v>
      </c>
    </row>
    <row r="239" spans="1:12" x14ac:dyDescent="0.25">
      <c r="A239" t="s">
        <v>203</v>
      </c>
      <c r="B239" s="4">
        <v>545</v>
      </c>
      <c r="C239" s="4">
        <v>-73</v>
      </c>
      <c r="D239" s="5">
        <f>tbl_details5[[#This Row],[Profit]]/tbl_details5[[#This Row],[Revenue]]</f>
        <v>-0.13394495412844037</v>
      </c>
      <c r="E239">
        <v>11</v>
      </c>
      <c r="F239" t="s">
        <v>888</v>
      </c>
      <c r="G239" t="s">
        <v>890</v>
      </c>
      <c r="H239" s="1">
        <f>VLOOKUP(tbl_details5[[#This Row],[Order ID]],Orders!A:F,2,FALSE)</f>
        <v>43258</v>
      </c>
      <c r="I239" s="1" t="str">
        <f>TEXT(tbl_details5[[#This Row],[Order Date]],"mmm-yy")</f>
        <v>Jun-18</v>
      </c>
      <c r="J239" t="str">
        <f>VLOOKUP(tbl_details5[[#This Row],[Order ID]],Table1[],4,FALSE)</f>
        <v>Krutika</v>
      </c>
      <c r="K239" t="str">
        <f>VLOOKUP(tbl_details5[[#This Row],[Order ID]],Table1[],5,FALSE)</f>
        <v>Bihar</v>
      </c>
      <c r="L239" t="str">
        <f>VLOOKUP(tbl_details5[[#This Row],[Order ID]],Table1[],6,FALSE)</f>
        <v>Patna</v>
      </c>
    </row>
    <row r="240" spans="1:12" x14ac:dyDescent="0.25">
      <c r="A240" t="s">
        <v>205</v>
      </c>
      <c r="B240" s="4">
        <v>433</v>
      </c>
      <c r="C240" s="4">
        <v>26</v>
      </c>
      <c r="D240" s="5">
        <f>tbl_details5[[#This Row],[Profit]]/tbl_details5[[#This Row],[Revenue]]</f>
        <v>6.0046189376443418E-2</v>
      </c>
      <c r="E240">
        <v>3</v>
      </c>
      <c r="F240" t="s">
        <v>888</v>
      </c>
      <c r="G240" t="s">
        <v>899</v>
      </c>
      <c r="H240" s="1">
        <f>VLOOKUP(tbl_details5[[#This Row],[Order ID]],Orders!A:F,2,FALSE)</f>
        <v>43259</v>
      </c>
      <c r="I240" s="1" t="str">
        <f>TEXT(tbl_details5[[#This Row],[Order Date]],"mmm-yy")</f>
        <v>Jun-18</v>
      </c>
      <c r="J240" t="str">
        <f>VLOOKUP(tbl_details5[[#This Row],[Order ID]],Table1[],4,FALSE)</f>
        <v>Shreya</v>
      </c>
      <c r="K240" t="str">
        <f>VLOOKUP(tbl_details5[[#This Row],[Order ID]],Table1[],5,FALSE)</f>
        <v xml:space="preserve">Kerala </v>
      </c>
      <c r="L240" t="str">
        <f>VLOOKUP(tbl_details5[[#This Row],[Order ID]],Table1[],6,FALSE)</f>
        <v>Thiruvananthapuram</v>
      </c>
    </row>
    <row r="241" spans="1:12" x14ac:dyDescent="0.25">
      <c r="A241" t="s">
        <v>205</v>
      </c>
      <c r="B241" s="4">
        <v>245</v>
      </c>
      <c r="C241" s="4">
        <v>-3</v>
      </c>
      <c r="D241" s="5">
        <f>tbl_details5[[#This Row],[Profit]]/tbl_details5[[#This Row],[Revenue]]</f>
        <v>-1.2244897959183673E-2</v>
      </c>
      <c r="E241">
        <v>4</v>
      </c>
      <c r="F241" t="s">
        <v>888</v>
      </c>
      <c r="G241" t="s">
        <v>890</v>
      </c>
      <c r="H241" s="1">
        <f>VLOOKUP(tbl_details5[[#This Row],[Order ID]],Orders!A:F,2,FALSE)</f>
        <v>43259</v>
      </c>
      <c r="I241" s="1" t="str">
        <f>TEXT(tbl_details5[[#This Row],[Order Date]],"mmm-yy")</f>
        <v>Jun-18</v>
      </c>
      <c r="J241" t="str">
        <f>VLOOKUP(tbl_details5[[#This Row],[Order ID]],Table1[],4,FALSE)</f>
        <v>Shreya</v>
      </c>
      <c r="K241" t="str">
        <f>VLOOKUP(tbl_details5[[#This Row],[Order ID]],Table1[],5,FALSE)</f>
        <v xml:space="preserve">Kerala </v>
      </c>
      <c r="L241" t="str">
        <f>VLOOKUP(tbl_details5[[#This Row],[Order ID]],Table1[],6,FALSE)</f>
        <v>Thiruvananthapuram</v>
      </c>
    </row>
    <row r="242" spans="1:12" x14ac:dyDescent="0.25">
      <c r="A242" t="s">
        <v>205</v>
      </c>
      <c r="B242" s="4">
        <v>155</v>
      </c>
      <c r="C242" s="4">
        <v>56</v>
      </c>
      <c r="D242" s="5">
        <f>tbl_details5[[#This Row],[Profit]]/tbl_details5[[#This Row],[Revenue]]</f>
        <v>0.36129032258064514</v>
      </c>
      <c r="E242">
        <v>3</v>
      </c>
      <c r="F242" t="s">
        <v>883</v>
      </c>
      <c r="G242" t="s">
        <v>901</v>
      </c>
      <c r="H242" s="1">
        <f>VLOOKUP(tbl_details5[[#This Row],[Order ID]],Orders!A:F,2,FALSE)</f>
        <v>43259</v>
      </c>
      <c r="I242" s="1" t="str">
        <f>TEXT(tbl_details5[[#This Row],[Order Date]],"mmm-yy")</f>
        <v>Jun-18</v>
      </c>
      <c r="J242" t="str">
        <f>VLOOKUP(tbl_details5[[#This Row],[Order ID]],Table1[],4,FALSE)</f>
        <v>Shreya</v>
      </c>
      <c r="K242" t="str">
        <f>VLOOKUP(tbl_details5[[#This Row],[Order ID]],Table1[],5,FALSE)</f>
        <v xml:space="preserve">Kerala </v>
      </c>
      <c r="L242" t="str">
        <f>VLOOKUP(tbl_details5[[#This Row],[Order ID]],Table1[],6,FALSE)</f>
        <v>Thiruvananthapuram</v>
      </c>
    </row>
    <row r="243" spans="1:12" x14ac:dyDescent="0.25">
      <c r="A243" t="s">
        <v>205</v>
      </c>
      <c r="B243" s="4">
        <v>148</v>
      </c>
      <c r="C243" s="4">
        <v>52</v>
      </c>
      <c r="D243" s="5">
        <f>tbl_details5[[#This Row],[Profit]]/tbl_details5[[#This Row],[Revenue]]</f>
        <v>0.35135135135135137</v>
      </c>
      <c r="E243">
        <v>5</v>
      </c>
      <c r="F243" t="s">
        <v>885</v>
      </c>
      <c r="G243" t="s">
        <v>886</v>
      </c>
      <c r="H243" s="1">
        <f>VLOOKUP(tbl_details5[[#This Row],[Order ID]],Orders!A:F,2,FALSE)</f>
        <v>43259</v>
      </c>
      <c r="I243" s="1" t="str">
        <f>TEXT(tbl_details5[[#This Row],[Order Date]],"mmm-yy")</f>
        <v>Jun-18</v>
      </c>
      <c r="J243" t="str">
        <f>VLOOKUP(tbl_details5[[#This Row],[Order ID]],Table1[],4,FALSE)</f>
        <v>Shreya</v>
      </c>
      <c r="K243" t="str">
        <f>VLOOKUP(tbl_details5[[#This Row],[Order ID]],Table1[],5,FALSE)</f>
        <v xml:space="preserve">Kerala </v>
      </c>
      <c r="L243" t="str">
        <f>VLOOKUP(tbl_details5[[#This Row],[Order ID]],Table1[],6,FALSE)</f>
        <v>Thiruvananthapuram</v>
      </c>
    </row>
    <row r="244" spans="1:12" x14ac:dyDescent="0.25">
      <c r="A244" t="s">
        <v>205</v>
      </c>
      <c r="B244" s="4">
        <v>86</v>
      </c>
      <c r="C244" s="4">
        <v>-55</v>
      </c>
      <c r="D244" s="5">
        <f>tbl_details5[[#This Row],[Profit]]/tbl_details5[[#This Row],[Revenue]]</f>
        <v>-0.63953488372093026</v>
      </c>
      <c r="E244">
        <v>6</v>
      </c>
      <c r="F244" t="s">
        <v>885</v>
      </c>
      <c r="G244" t="s">
        <v>891</v>
      </c>
      <c r="H244" s="1">
        <f>VLOOKUP(tbl_details5[[#This Row],[Order ID]],Orders!A:F,2,FALSE)</f>
        <v>43259</v>
      </c>
      <c r="I244" s="1" t="str">
        <f>TEXT(tbl_details5[[#This Row],[Order Date]],"mmm-yy")</f>
        <v>Jun-18</v>
      </c>
      <c r="J244" t="str">
        <f>VLOOKUP(tbl_details5[[#This Row],[Order ID]],Table1[],4,FALSE)</f>
        <v>Shreya</v>
      </c>
      <c r="K244" t="str">
        <f>VLOOKUP(tbl_details5[[#This Row],[Order ID]],Table1[],5,FALSE)</f>
        <v xml:space="preserve">Kerala </v>
      </c>
      <c r="L244" t="str">
        <f>VLOOKUP(tbl_details5[[#This Row],[Order ID]],Table1[],6,FALSE)</f>
        <v>Thiruvananthapuram</v>
      </c>
    </row>
    <row r="245" spans="1:12" x14ac:dyDescent="0.25">
      <c r="A245" t="s">
        <v>206</v>
      </c>
      <c r="B245" s="4">
        <v>134</v>
      </c>
      <c r="C245" s="4">
        <v>42</v>
      </c>
      <c r="D245" s="5">
        <f>tbl_details5[[#This Row],[Profit]]/tbl_details5[[#This Row],[Revenue]]</f>
        <v>0.31343283582089554</v>
      </c>
      <c r="E245">
        <v>2</v>
      </c>
      <c r="F245" t="s">
        <v>883</v>
      </c>
      <c r="G245" t="s">
        <v>893</v>
      </c>
      <c r="H245" s="1">
        <f>VLOOKUP(tbl_details5[[#This Row],[Order ID]],Orders!A:F,2,FALSE)</f>
        <v>43260</v>
      </c>
      <c r="I245" s="1" t="str">
        <f>TEXT(tbl_details5[[#This Row],[Order Date]],"mmm-yy")</f>
        <v>Jun-18</v>
      </c>
      <c r="J245" t="str">
        <f>VLOOKUP(tbl_details5[[#This Row],[Order ID]],Table1[],4,FALSE)</f>
        <v>Samiksha</v>
      </c>
      <c r="K245" t="str">
        <f>VLOOKUP(tbl_details5[[#This Row],[Order ID]],Table1[],5,FALSE)</f>
        <v>Maharashtra</v>
      </c>
      <c r="L245" t="str">
        <f>VLOOKUP(tbl_details5[[#This Row],[Order ID]],Table1[],6,FALSE)</f>
        <v>Mumbai</v>
      </c>
    </row>
    <row r="246" spans="1:12" x14ac:dyDescent="0.25">
      <c r="A246" t="s">
        <v>208</v>
      </c>
      <c r="B246" s="4">
        <v>51</v>
      </c>
      <c r="C246" s="4">
        <v>7</v>
      </c>
      <c r="D246" s="5">
        <f>tbl_details5[[#This Row],[Profit]]/tbl_details5[[#This Row],[Revenue]]</f>
        <v>0.13725490196078433</v>
      </c>
      <c r="E246">
        <v>2</v>
      </c>
      <c r="F246" t="s">
        <v>883</v>
      </c>
      <c r="G246" t="s">
        <v>901</v>
      </c>
      <c r="H246" s="1">
        <f>VLOOKUP(tbl_details5[[#This Row],[Order ID]],Orders!A:F,2,FALSE)</f>
        <v>43261</v>
      </c>
      <c r="I246" s="1" t="str">
        <f>TEXT(tbl_details5[[#This Row],[Order Date]],"mmm-yy")</f>
        <v>Jun-18</v>
      </c>
      <c r="J246" t="str">
        <f>VLOOKUP(tbl_details5[[#This Row],[Order ID]],Table1[],4,FALSE)</f>
        <v>Sheetal</v>
      </c>
      <c r="K246" t="str">
        <f>VLOOKUP(tbl_details5[[#This Row],[Order ID]],Table1[],5,FALSE)</f>
        <v>Madhya Pradesh</v>
      </c>
      <c r="L246" t="str">
        <f>VLOOKUP(tbl_details5[[#This Row],[Order ID]],Table1[],6,FALSE)</f>
        <v>Indore</v>
      </c>
    </row>
    <row r="247" spans="1:12" x14ac:dyDescent="0.25">
      <c r="A247" t="s">
        <v>208</v>
      </c>
      <c r="B247" s="4">
        <v>529</v>
      </c>
      <c r="C247" s="4">
        <v>137</v>
      </c>
      <c r="D247" s="5">
        <f>tbl_details5[[#This Row],[Profit]]/tbl_details5[[#This Row],[Revenue]]</f>
        <v>0.25897920604914931</v>
      </c>
      <c r="E247">
        <v>3</v>
      </c>
      <c r="F247" t="s">
        <v>888</v>
      </c>
      <c r="G247" t="s">
        <v>890</v>
      </c>
      <c r="H247" s="1">
        <f>VLOOKUP(tbl_details5[[#This Row],[Order ID]],Orders!A:F,2,FALSE)</f>
        <v>43261</v>
      </c>
      <c r="I247" s="1" t="str">
        <f>TEXT(tbl_details5[[#This Row],[Order Date]],"mmm-yy")</f>
        <v>Jun-18</v>
      </c>
      <c r="J247" t="str">
        <f>VLOOKUP(tbl_details5[[#This Row],[Order ID]],Table1[],4,FALSE)</f>
        <v>Sheetal</v>
      </c>
      <c r="K247" t="str">
        <f>VLOOKUP(tbl_details5[[#This Row],[Order ID]],Table1[],5,FALSE)</f>
        <v>Madhya Pradesh</v>
      </c>
      <c r="L247" t="str">
        <f>VLOOKUP(tbl_details5[[#This Row],[Order ID]],Table1[],6,FALSE)</f>
        <v>Indore</v>
      </c>
    </row>
    <row r="248" spans="1:12" x14ac:dyDescent="0.25">
      <c r="A248" t="s">
        <v>208</v>
      </c>
      <c r="B248" s="4">
        <v>264</v>
      </c>
      <c r="C248" s="4">
        <v>-30</v>
      </c>
      <c r="D248" s="5">
        <f>tbl_details5[[#This Row],[Profit]]/tbl_details5[[#This Row],[Revenue]]</f>
        <v>-0.11363636363636363</v>
      </c>
      <c r="E248">
        <v>3</v>
      </c>
      <c r="F248" t="s">
        <v>883</v>
      </c>
      <c r="G248" t="s">
        <v>901</v>
      </c>
      <c r="H248" s="1">
        <f>VLOOKUP(tbl_details5[[#This Row],[Order ID]],Orders!A:F,2,FALSE)</f>
        <v>43261</v>
      </c>
      <c r="I248" s="1" t="str">
        <f>TEXT(tbl_details5[[#This Row],[Order Date]],"mmm-yy")</f>
        <v>Jun-18</v>
      </c>
      <c r="J248" t="str">
        <f>VLOOKUP(tbl_details5[[#This Row],[Order ID]],Table1[],4,FALSE)</f>
        <v>Sheetal</v>
      </c>
      <c r="K248" t="str">
        <f>VLOOKUP(tbl_details5[[#This Row],[Order ID]],Table1[],5,FALSE)</f>
        <v>Madhya Pradesh</v>
      </c>
      <c r="L248" t="str">
        <f>VLOOKUP(tbl_details5[[#This Row],[Order ID]],Table1[],6,FALSE)</f>
        <v>Indore</v>
      </c>
    </row>
    <row r="249" spans="1:12" x14ac:dyDescent="0.25">
      <c r="A249" t="s">
        <v>208</v>
      </c>
      <c r="B249" s="4">
        <v>45</v>
      </c>
      <c r="C249" s="4">
        <v>-2</v>
      </c>
      <c r="D249" s="5">
        <f>tbl_details5[[#This Row],[Profit]]/tbl_details5[[#This Row],[Revenue]]</f>
        <v>-4.4444444444444446E-2</v>
      </c>
      <c r="E249">
        <v>4</v>
      </c>
      <c r="F249" t="s">
        <v>885</v>
      </c>
      <c r="G249" t="s">
        <v>896</v>
      </c>
      <c r="H249" s="1">
        <f>VLOOKUP(tbl_details5[[#This Row],[Order ID]],Orders!A:F,2,FALSE)</f>
        <v>43261</v>
      </c>
      <c r="I249" s="1" t="str">
        <f>TEXT(tbl_details5[[#This Row],[Order Date]],"mmm-yy")</f>
        <v>Jun-18</v>
      </c>
      <c r="J249" t="str">
        <f>VLOOKUP(tbl_details5[[#This Row],[Order ID]],Table1[],4,FALSE)</f>
        <v>Sheetal</v>
      </c>
      <c r="K249" t="str">
        <f>VLOOKUP(tbl_details5[[#This Row],[Order ID]],Table1[],5,FALSE)</f>
        <v>Madhya Pradesh</v>
      </c>
      <c r="L249" t="str">
        <f>VLOOKUP(tbl_details5[[#This Row],[Order ID]],Table1[],6,FALSE)</f>
        <v>Indore</v>
      </c>
    </row>
    <row r="250" spans="1:12" x14ac:dyDescent="0.25">
      <c r="A250" t="s">
        <v>210</v>
      </c>
      <c r="B250" s="4">
        <v>381</v>
      </c>
      <c r="C250" s="4">
        <v>-13</v>
      </c>
      <c r="D250" s="5">
        <f>tbl_details5[[#This Row],[Profit]]/tbl_details5[[#This Row],[Revenue]]</f>
        <v>-3.4120734908136482E-2</v>
      </c>
      <c r="E250">
        <v>2</v>
      </c>
      <c r="F250" t="s">
        <v>885</v>
      </c>
      <c r="G250" t="s">
        <v>891</v>
      </c>
      <c r="H250" s="1">
        <f>VLOOKUP(tbl_details5[[#This Row],[Order ID]],Orders!A:F,2,FALSE)</f>
        <v>43262</v>
      </c>
      <c r="I250" s="1" t="str">
        <f>TEXT(tbl_details5[[#This Row],[Order Date]],"mmm-yy")</f>
        <v>Jun-18</v>
      </c>
      <c r="J250" t="str">
        <f>VLOOKUP(tbl_details5[[#This Row],[Order ID]],Table1[],4,FALSE)</f>
        <v>Pooja</v>
      </c>
      <c r="K250" t="str">
        <f>VLOOKUP(tbl_details5[[#This Row],[Order ID]],Table1[],5,FALSE)</f>
        <v>Himachal Pradesh</v>
      </c>
      <c r="L250" t="str">
        <f>VLOOKUP(tbl_details5[[#This Row],[Order ID]],Table1[],6,FALSE)</f>
        <v>Simla</v>
      </c>
    </row>
    <row r="251" spans="1:12" x14ac:dyDescent="0.25">
      <c r="A251" t="s">
        <v>210</v>
      </c>
      <c r="B251" s="4">
        <v>332</v>
      </c>
      <c r="C251" s="4">
        <v>-503</v>
      </c>
      <c r="D251" s="5">
        <f>tbl_details5[[#This Row],[Profit]]/tbl_details5[[#This Row],[Revenue]]</f>
        <v>-1.5150602409638554</v>
      </c>
      <c r="E251">
        <v>3</v>
      </c>
      <c r="F251" t="s">
        <v>888</v>
      </c>
      <c r="G251" t="s">
        <v>899</v>
      </c>
      <c r="H251" s="1">
        <f>VLOOKUP(tbl_details5[[#This Row],[Order ID]],Orders!A:F,2,FALSE)</f>
        <v>43262</v>
      </c>
      <c r="I251" s="1" t="str">
        <f>TEXT(tbl_details5[[#This Row],[Order Date]],"mmm-yy")</f>
        <v>Jun-18</v>
      </c>
      <c r="J251" t="str">
        <f>VLOOKUP(tbl_details5[[#This Row],[Order ID]],Table1[],4,FALSE)</f>
        <v>Pooja</v>
      </c>
      <c r="K251" t="str">
        <f>VLOOKUP(tbl_details5[[#This Row],[Order ID]],Table1[],5,FALSE)</f>
        <v>Himachal Pradesh</v>
      </c>
      <c r="L251" t="str">
        <f>VLOOKUP(tbl_details5[[#This Row],[Order ID]],Table1[],6,FALSE)</f>
        <v>Simla</v>
      </c>
    </row>
    <row r="252" spans="1:12" x14ac:dyDescent="0.25">
      <c r="A252" t="s">
        <v>210</v>
      </c>
      <c r="B252" s="4">
        <v>1829</v>
      </c>
      <c r="C252" s="4">
        <v>-56</v>
      </c>
      <c r="D252" s="5">
        <f>tbl_details5[[#This Row],[Profit]]/tbl_details5[[#This Row],[Revenue]]</f>
        <v>-3.06178239475123E-2</v>
      </c>
      <c r="E252">
        <v>6</v>
      </c>
      <c r="F252" t="s">
        <v>883</v>
      </c>
      <c r="G252" t="s">
        <v>898</v>
      </c>
      <c r="H252" s="1">
        <f>VLOOKUP(tbl_details5[[#This Row],[Order ID]],Orders!A:F,2,FALSE)</f>
        <v>43262</v>
      </c>
      <c r="I252" s="1" t="str">
        <f>TEXT(tbl_details5[[#This Row],[Order Date]],"mmm-yy")</f>
        <v>Jun-18</v>
      </c>
      <c r="J252" t="str">
        <f>VLOOKUP(tbl_details5[[#This Row],[Order ID]],Table1[],4,FALSE)</f>
        <v>Pooja</v>
      </c>
      <c r="K252" t="str">
        <f>VLOOKUP(tbl_details5[[#This Row],[Order ID]],Table1[],5,FALSE)</f>
        <v>Himachal Pradesh</v>
      </c>
      <c r="L252" t="str">
        <f>VLOOKUP(tbl_details5[[#This Row],[Order ID]],Table1[],6,FALSE)</f>
        <v>Simla</v>
      </c>
    </row>
    <row r="253" spans="1:12" x14ac:dyDescent="0.25">
      <c r="A253" t="s">
        <v>211</v>
      </c>
      <c r="B253" s="4">
        <v>17</v>
      </c>
      <c r="C253" s="4">
        <v>6</v>
      </c>
      <c r="D253" s="5">
        <f>tbl_details5[[#This Row],[Profit]]/tbl_details5[[#This Row],[Revenue]]</f>
        <v>0.35294117647058826</v>
      </c>
      <c r="E253">
        <v>1</v>
      </c>
      <c r="F253" t="s">
        <v>885</v>
      </c>
      <c r="G253" t="s">
        <v>886</v>
      </c>
      <c r="H253" s="1">
        <f>VLOOKUP(tbl_details5[[#This Row],[Order ID]],Orders!A:F,2,FALSE)</f>
        <v>43262</v>
      </c>
      <c r="I253" s="1" t="str">
        <f>TEXT(tbl_details5[[#This Row],[Order Date]],"mmm-yy")</f>
        <v>Jun-18</v>
      </c>
      <c r="J253" t="str">
        <f>VLOOKUP(tbl_details5[[#This Row],[Order ID]],Table1[],4,FALSE)</f>
        <v>Sanjna</v>
      </c>
      <c r="K253" t="str">
        <f>VLOOKUP(tbl_details5[[#This Row],[Order ID]],Table1[],5,FALSE)</f>
        <v>Maharashtra</v>
      </c>
      <c r="L253" t="str">
        <f>VLOOKUP(tbl_details5[[#This Row],[Order ID]],Table1[],6,FALSE)</f>
        <v>Mumbai</v>
      </c>
    </row>
    <row r="254" spans="1:12" x14ac:dyDescent="0.25">
      <c r="A254" t="s">
        <v>211</v>
      </c>
      <c r="B254" s="4">
        <v>357</v>
      </c>
      <c r="C254" s="4">
        <v>139</v>
      </c>
      <c r="D254" s="5">
        <f>tbl_details5[[#This Row],[Profit]]/tbl_details5[[#This Row],[Revenue]]</f>
        <v>0.38935574229691877</v>
      </c>
      <c r="E254">
        <v>2</v>
      </c>
      <c r="F254" t="s">
        <v>885</v>
      </c>
      <c r="G254" t="s">
        <v>891</v>
      </c>
      <c r="H254" s="1">
        <f>VLOOKUP(tbl_details5[[#This Row],[Order ID]],Orders!A:F,2,FALSE)</f>
        <v>43262</v>
      </c>
      <c r="I254" s="1" t="str">
        <f>TEXT(tbl_details5[[#This Row],[Order Date]],"mmm-yy")</f>
        <v>Jun-18</v>
      </c>
      <c r="J254" t="str">
        <f>VLOOKUP(tbl_details5[[#This Row],[Order ID]],Table1[],4,FALSE)</f>
        <v>Sanjna</v>
      </c>
      <c r="K254" t="str">
        <f>VLOOKUP(tbl_details5[[#This Row],[Order ID]],Table1[],5,FALSE)</f>
        <v>Maharashtra</v>
      </c>
      <c r="L254" t="str">
        <f>VLOOKUP(tbl_details5[[#This Row],[Order ID]],Table1[],6,FALSE)</f>
        <v>Mumbai</v>
      </c>
    </row>
    <row r="255" spans="1:12" x14ac:dyDescent="0.25">
      <c r="A255" t="s">
        <v>211</v>
      </c>
      <c r="B255" s="4">
        <v>51</v>
      </c>
      <c r="C255" s="4">
        <v>21</v>
      </c>
      <c r="D255" s="5">
        <f>tbl_details5[[#This Row],[Profit]]/tbl_details5[[#This Row],[Revenue]]</f>
        <v>0.41176470588235292</v>
      </c>
      <c r="E255">
        <v>3</v>
      </c>
      <c r="F255" t="s">
        <v>885</v>
      </c>
      <c r="G255" t="s">
        <v>895</v>
      </c>
      <c r="H255" s="1">
        <f>VLOOKUP(tbl_details5[[#This Row],[Order ID]],Orders!A:F,2,FALSE)</f>
        <v>43262</v>
      </c>
      <c r="I255" s="1" t="str">
        <f>TEXT(tbl_details5[[#This Row],[Order Date]],"mmm-yy")</f>
        <v>Jun-18</v>
      </c>
      <c r="J255" t="str">
        <f>VLOOKUP(tbl_details5[[#This Row],[Order ID]],Table1[],4,FALSE)</f>
        <v>Sanjna</v>
      </c>
      <c r="K255" t="str">
        <f>VLOOKUP(tbl_details5[[#This Row],[Order ID]],Table1[],5,FALSE)</f>
        <v>Maharashtra</v>
      </c>
      <c r="L255" t="str">
        <f>VLOOKUP(tbl_details5[[#This Row],[Order ID]],Table1[],6,FALSE)</f>
        <v>Mumbai</v>
      </c>
    </row>
    <row r="256" spans="1:12" x14ac:dyDescent="0.25">
      <c r="A256" t="s">
        <v>211</v>
      </c>
      <c r="B256" s="4">
        <v>387</v>
      </c>
      <c r="C256" s="4">
        <v>-213</v>
      </c>
      <c r="D256" s="5">
        <f>tbl_details5[[#This Row],[Profit]]/tbl_details5[[#This Row],[Revenue]]</f>
        <v>-0.55038759689922478</v>
      </c>
      <c r="E256">
        <v>5</v>
      </c>
      <c r="F256" t="s">
        <v>885</v>
      </c>
      <c r="G256" t="s">
        <v>891</v>
      </c>
      <c r="H256" s="1">
        <f>VLOOKUP(tbl_details5[[#This Row],[Order ID]],Orders!A:F,2,FALSE)</f>
        <v>43262</v>
      </c>
      <c r="I256" s="1" t="str">
        <f>TEXT(tbl_details5[[#This Row],[Order Date]],"mmm-yy")</f>
        <v>Jun-18</v>
      </c>
      <c r="J256" t="str">
        <f>VLOOKUP(tbl_details5[[#This Row],[Order ID]],Table1[],4,FALSE)</f>
        <v>Sanjna</v>
      </c>
      <c r="K256" t="str">
        <f>VLOOKUP(tbl_details5[[#This Row],[Order ID]],Table1[],5,FALSE)</f>
        <v>Maharashtra</v>
      </c>
      <c r="L256" t="str">
        <f>VLOOKUP(tbl_details5[[#This Row],[Order ID]],Table1[],6,FALSE)</f>
        <v>Mumbai</v>
      </c>
    </row>
    <row r="257" spans="1:12" x14ac:dyDescent="0.25">
      <c r="A257" t="s">
        <v>211</v>
      </c>
      <c r="B257" s="4">
        <v>14</v>
      </c>
      <c r="C257" s="4">
        <v>-1</v>
      </c>
      <c r="D257" s="5">
        <f>tbl_details5[[#This Row],[Profit]]/tbl_details5[[#This Row],[Revenue]]</f>
        <v>-7.1428571428571425E-2</v>
      </c>
      <c r="E257">
        <v>4</v>
      </c>
      <c r="F257" t="s">
        <v>885</v>
      </c>
      <c r="G257" t="s">
        <v>894</v>
      </c>
      <c r="H257" s="1">
        <f>VLOOKUP(tbl_details5[[#This Row],[Order ID]],Orders!A:F,2,FALSE)</f>
        <v>43262</v>
      </c>
      <c r="I257" s="1" t="str">
        <f>TEXT(tbl_details5[[#This Row],[Order Date]],"mmm-yy")</f>
        <v>Jun-18</v>
      </c>
      <c r="J257" t="str">
        <f>VLOOKUP(tbl_details5[[#This Row],[Order ID]],Table1[],4,FALSE)</f>
        <v>Sanjna</v>
      </c>
      <c r="K257" t="str">
        <f>VLOOKUP(tbl_details5[[#This Row],[Order ID]],Table1[],5,FALSE)</f>
        <v>Maharashtra</v>
      </c>
      <c r="L257" t="str">
        <f>VLOOKUP(tbl_details5[[#This Row],[Order ID]],Table1[],6,FALSE)</f>
        <v>Mumbai</v>
      </c>
    </row>
    <row r="258" spans="1:12" x14ac:dyDescent="0.25">
      <c r="A258" t="s">
        <v>213</v>
      </c>
      <c r="B258" s="4">
        <v>352</v>
      </c>
      <c r="C258" s="4">
        <v>-345</v>
      </c>
      <c r="D258" s="5">
        <f>tbl_details5[[#This Row],[Profit]]/tbl_details5[[#This Row],[Revenue]]</f>
        <v>-0.98011363636363635</v>
      </c>
      <c r="E258">
        <v>5</v>
      </c>
      <c r="F258" t="s">
        <v>885</v>
      </c>
      <c r="G258" t="s">
        <v>891</v>
      </c>
      <c r="H258" s="1">
        <f>VLOOKUP(tbl_details5[[#This Row],[Order ID]],Orders!A:F,2,FALSE)</f>
        <v>43262</v>
      </c>
      <c r="I258" s="1" t="str">
        <f>TEXT(tbl_details5[[#This Row],[Order Date]],"mmm-yy")</f>
        <v>Jun-18</v>
      </c>
      <c r="J258" t="str">
        <f>VLOOKUP(tbl_details5[[#This Row],[Order ID]],Table1[],4,FALSE)</f>
        <v>Swetha</v>
      </c>
      <c r="K258" t="str">
        <f>VLOOKUP(tbl_details5[[#This Row],[Order ID]],Table1[],5,FALSE)</f>
        <v>Madhya Pradesh</v>
      </c>
      <c r="L258" t="str">
        <f>VLOOKUP(tbl_details5[[#This Row],[Order ID]],Table1[],6,FALSE)</f>
        <v>Indore</v>
      </c>
    </row>
    <row r="259" spans="1:12" x14ac:dyDescent="0.25">
      <c r="A259" t="s">
        <v>215</v>
      </c>
      <c r="B259" s="4">
        <v>469</v>
      </c>
      <c r="C259" s="4">
        <v>-459</v>
      </c>
      <c r="D259" s="5">
        <f>tbl_details5[[#This Row],[Profit]]/tbl_details5[[#This Row],[Revenue]]</f>
        <v>-0.97867803837953093</v>
      </c>
      <c r="E259">
        <v>3</v>
      </c>
      <c r="F259" t="s">
        <v>888</v>
      </c>
      <c r="G259" t="s">
        <v>889</v>
      </c>
      <c r="H259" s="1">
        <f>VLOOKUP(tbl_details5[[#This Row],[Order ID]],Orders!A:F,2,FALSE)</f>
        <v>43265</v>
      </c>
      <c r="I259" s="1" t="str">
        <f>TEXT(tbl_details5[[#This Row],[Order Date]],"mmm-yy")</f>
        <v>Jun-18</v>
      </c>
      <c r="J259" t="str">
        <f>VLOOKUP(tbl_details5[[#This Row],[Order ID]],Table1[],4,FALSE)</f>
        <v>Bhaggyasree</v>
      </c>
      <c r="K259" t="str">
        <f>VLOOKUP(tbl_details5[[#This Row],[Order ID]],Table1[],5,FALSE)</f>
        <v>Maharashtra</v>
      </c>
      <c r="L259" t="str">
        <f>VLOOKUP(tbl_details5[[#This Row],[Order ID]],Table1[],6,FALSE)</f>
        <v>Mumbai</v>
      </c>
    </row>
    <row r="260" spans="1:12" x14ac:dyDescent="0.25">
      <c r="A260" t="s">
        <v>215</v>
      </c>
      <c r="B260" s="4">
        <v>97</v>
      </c>
      <c r="C260" s="4">
        <v>17</v>
      </c>
      <c r="D260" s="5">
        <f>tbl_details5[[#This Row],[Profit]]/tbl_details5[[#This Row],[Revenue]]</f>
        <v>0.17525773195876287</v>
      </c>
      <c r="E260">
        <v>2</v>
      </c>
      <c r="F260" t="s">
        <v>885</v>
      </c>
      <c r="G260" t="s">
        <v>886</v>
      </c>
      <c r="H260" s="1">
        <f>VLOOKUP(tbl_details5[[#This Row],[Order ID]],Orders!A:F,2,FALSE)</f>
        <v>43265</v>
      </c>
      <c r="I260" s="1" t="str">
        <f>TEXT(tbl_details5[[#This Row],[Order Date]],"mmm-yy")</f>
        <v>Jun-18</v>
      </c>
      <c r="J260" t="str">
        <f>VLOOKUP(tbl_details5[[#This Row],[Order ID]],Table1[],4,FALSE)</f>
        <v>Bhaggyasree</v>
      </c>
      <c r="K260" t="str">
        <f>VLOOKUP(tbl_details5[[#This Row],[Order ID]],Table1[],5,FALSE)</f>
        <v>Maharashtra</v>
      </c>
      <c r="L260" t="str">
        <f>VLOOKUP(tbl_details5[[#This Row],[Order ID]],Table1[],6,FALSE)</f>
        <v>Mumbai</v>
      </c>
    </row>
    <row r="261" spans="1:12" x14ac:dyDescent="0.25">
      <c r="A261" t="s">
        <v>215</v>
      </c>
      <c r="B261" s="4">
        <v>149</v>
      </c>
      <c r="C261" s="4">
        <v>36</v>
      </c>
      <c r="D261" s="5">
        <f>tbl_details5[[#This Row],[Profit]]/tbl_details5[[#This Row],[Revenue]]</f>
        <v>0.24161073825503357</v>
      </c>
      <c r="E261">
        <v>3</v>
      </c>
      <c r="F261" t="s">
        <v>885</v>
      </c>
      <c r="G261" t="s">
        <v>886</v>
      </c>
      <c r="H261" s="1">
        <f>VLOOKUP(tbl_details5[[#This Row],[Order ID]],Orders!A:F,2,FALSE)</f>
        <v>43265</v>
      </c>
      <c r="I261" s="1" t="str">
        <f>TEXT(tbl_details5[[#This Row],[Order Date]],"mmm-yy")</f>
        <v>Jun-18</v>
      </c>
      <c r="J261" t="str">
        <f>VLOOKUP(tbl_details5[[#This Row],[Order ID]],Table1[],4,FALSE)</f>
        <v>Bhaggyasree</v>
      </c>
      <c r="K261" t="str">
        <f>VLOOKUP(tbl_details5[[#This Row],[Order ID]],Table1[],5,FALSE)</f>
        <v>Maharashtra</v>
      </c>
      <c r="L261" t="str">
        <f>VLOOKUP(tbl_details5[[#This Row],[Order ID]],Table1[],6,FALSE)</f>
        <v>Mumbai</v>
      </c>
    </row>
    <row r="262" spans="1:12" x14ac:dyDescent="0.25">
      <c r="A262" t="s">
        <v>217</v>
      </c>
      <c r="B262" s="4">
        <v>31</v>
      </c>
      <c r="C262" s="4">
        <v>10</v>
      </c>
      <c r="D262" s="5">
        <f>tbl_details5[[#This Row],[Profit]]/tbl_details5[[#This Row],[Revenue]]</f>
        <v>0.32258064516129031</v>
      </c>
      <c r="E262">
        <v>3</v>
      </c>
      <c r="F262" t="s">
        <v>885</v>
      </c>
      <c r="G262" t="s">
        <v>902</v>
      </c>
      <c r="H262" s="1">
        <f>VLOOKUP(tbl_details5[[#This Row],[Order ID]],Orders!A:F,2,FALSE)</f>
        <v>43266</v>
      </c>
      <c r="I262" s="1" t="str">
        <f>TEXT(tbl_details5[[#This Row],[Order Date]],"mmm-yy")</f>
        <v>Jun-18</v>
      </c>
      <c r="J262" t="str">
        <f>VLOOKUP(tbl_details5[[#This Row],[Order ID]],Table1[],4,FALSE)</f>
        <v>Gunjan</v>
      </c>
      <c r="K262" t="str">
        <f>VLOOKUP(tbl_details5[[#This Row],[Order ID]],Table1[],5,FALSE)</f>
        <v>Madhya Pradesh</v>
      </c>
      <c r="L262" t="str">
        <f>VLOOKUP(tbl_details5[[#This Row],[Order ID]],Table1[],6,FALSE)</f>
        <v>Indore</v>
      </c>
    </row>
    <row r="263" spans="1:12" x14ac:dyDescent="0.25">
      <c r="A263" t="s">
        <v>219</v>
      </c>
      <c r="B263" s="4">
        <v>714</v>
      </c>
      <c r="C263" s="4">
        <v>56</v>
      </c>
      <c r="D263" s="5">
        <f>tbl_details5[[#This Row],[Profit]]/tbl_details5[[#This Row],[Revenue]]</f>
        <v>7.8431372549019607E-2</v>
      </c>
      <c r="E263">
        <v>4</v>
      </c>
      <c r="F263" t="s">
        <v>885</v>
      </c>
      <c r="G263" t="s">
        <v>891</v>
      </c>
      <c r="H263" s="1">
        <f>VLOOKUP(tbl_details5[[#This Row],[Order ID]],Orders!A:F,2,FALSE)</f>
        <v>43267</v>
      </c>
      <c r="I263" s="1" t="str">
        <f>TEXT(tbl_details5[[#This Row],[Order Date]],"mmm-yy")</f>
        <v>Jun-18</v>
      </c>
      <c r="J263" t="str">
        <f>VLOOKUP(tbl_details5[[#This Row],[Order ID]],Table1[],4,FALSE)</f>
        <v>Akancha</v>
      </c>
      <c r="K263" t="str">
        <f>VLOOKUP(tbl_details5[[#This Row],[Order ID]],Table1[],5,FALSE)</f>
        <v>Maharashtra</v>
      </c>
      <c r="L263" t="str">
        <f>VLOOKUP(tbl_details5[[#This Row],[Order ID]],Table1[],6,FALSE)</f>
        <v>Mumbai</v>
      </c>
    </row>
    <row r="264" spans="1:12" x14ac:dyDescent="0.25">
      <c r="A264" t="s">
        <v>219</v>
      </c>
      <c r="B264" s="4">
        <v>75</v>
      </c>
      <c r="C264" s="4">
        <v>-25</v>
      </c>
      <c r="D264" s="5">
        <f>tbl_details5[[#This Row],[Profit]]/tbl_details5[[#This Row],[Revenue]]</f>
        <v>-0.33333333333333331</v>
      </c>
      <c r="E264">
        <v>3</v>
      </c>
      <c r="F264" t="s">
        <v>885</v>
      </c>
      <c r="G264" t="s">
        <v>886</v>
      </c>
      <c r="H264" s="1">
        <f>VLOOKUP(tbl_details5[[#This Row],[Order ID]],Orders!A:F,2,FALSE)</f>
        <v>43267</v>
      </c>
      <c r="I264" s="1" t="str">
        <f>TEXT(tbl_details5[[#This Row],[Order Date]],"mmm-yy")</f>
        <v>Jun-18</v>
      </c>
      <c r="J264" t="str">
        <f>VLOOKUP(tbl_details5[[#This Row],[Order ID]],Table1[],4,FALSE)</f>
        <v>Akancha</v>
      </c>
      <c r="K264" t="str">
        <f>VLOOKUP(tbl_details5[[#This Row],[Order ID]],Table1[],5,FALSE)</f>
        <v>Maharashtra</v>
      </c>
      <c r="L264" t="str">
        <f>VLOOKUP(tbl_details5[[#This Row],[Order ID]],Table1[],6,FALSE)</f>
        <v>Mumbai</v>
      </c>
    </row>
    <row r="265" spans="1:12" x14ac:dyDescent="0.25">
      <c r="A265" t="s">
        <v>219</v>
      </c>
      <c r="B265" s="4">
        <v>17</v>
      </c>
      <c r="C265" s="4">
        <v>-9</v>
      </c>
      <c r="D265" s="5">
        <f>tbl_details5[[#This Row],[Profit]]/tbl_details5[[#This Row],[Revenue]]</f>
        <v>-0.52941176470588236</v>
      </c>
      <c r="E265">
        <v>3</v>
      </c>
      <c r="F265" t="s">
        <v>885</v>
      </c>
      <c r="G265" t="s">
        <v>886</v>
      </c>
      <c r="H265" s="1">
        <f>VLOOKUP(tbl_details5[[#This Row],[Order ID]],Orders!A:F,2,FALSE)</f>
        <v>43267</v>
      </c>
      <c r="I265" s="1" t="str">
        <f>TEXT(tbl_details5[[#This Row],[Order Date]],"mmm-yy")</f>
        <v>Jun-18</v>
      </c>
      <c r="J265" t="str">
        <f>VLOOKUP(tbl_details5[[#This Row],[Order ID]],Table1[],4,FALSE)</f>
        <v>Akancha</v>
      </c>
      <c r="K265" t="str">
        <f>VLOOKUP(tbl_details5[[#This Row],[Order ID]],Table1[],5,FALSE)</f>
        <v>Maharashtra</v>
      </c>
      <c r="L265" t="str">
        <f>VLOOKUP(tbl_details5[[#This Row],[Order ID]],Table1[],6,FALSE)</f>
        <v>Mumbai</v>
      </c>
    </row>
    <row r="266" spans="1:12" x14ac:dyDescent="0.25">
      <c r="A266" t="s">
        <v>221</v>
      </c>
      <c r="B266" s="4">
        <v>141</v>
      </c>
      <c r="C266" s="4">
        <v>28</v>
      </c>
      <c r="D266" s="5">
        <f>tbl_details5[[#This Row],[Profit]]/tbl_details5[[#This Row],[Revenue]]</f>
        <v>0.19858156028368795</v>
      </c>
      <c r="E266">
        <v>7</v>
      </c>
      <c r="F266" t="s">
        <v>883</v>
      </c>
      <c r="G266" t="s">
        <v>901</v>
      </c>
      <c r="H266" s="1">
        <f>VLOOKUP(tbl_details5[[#This Row],[Order ID]],Orders!A:F,2,FALSE)</f>
        <v>43268</v>
      </c>
      <c r="I266" s="1" t="str">
        <f>TEXT(tbl_details5[[#This Row],[Order Date]],"mmm-yy")</f>
        <v>Jun-18</v>
      </c>
      <c r="J266" t="str">
        <f>VLOOKUP(tbl_details5[[#This Row],[Order ID]],Table1[],4,FALSE)</f>
        <v>Rashmi</v>
      </c>
      <c r="K266" t="str">
        <f>VLOOKUP(tbl_details5[[#This Row],[Order ID]],Table1[],5,FALSE)</f>
        <v>Madhya Pradesh</v>
      </c>
      <c r="L266" t="str">
        <f>VLOOKUP(tbl_details5[[#This Row],[Order ID]],Table1[],6,FALSE)</f>
        <v>Indore</v>
      </c>
    </row>
    <row r="267" spans="1:12" x14ac:dyDescent="0.25">
      <c r="A267" t="s">
        <v>223</v>
      </c>
      <c r="B267" s="4">
        <v>76</v>
      </c>
      <c r="C267" s="4">
        <v>-72</v>
      </c>
      <c r="D267" s="5">
        <f>tbl_details5[[#This Row],[Profit]]/tbl_details5[[#This Row],[Revenue]]</f>
        <v>-0.94736842105263153</v>
      </c>
      <c r="E267">
        <v>9</v>
      </c>
      <c r="F267" t="s">
        <v>885</v>
      </c>
      <c r="G267" t="s">
        <v>887</v>
      </c>
      <c r="H267" s="1">
        <f>VLOOKUP(tbl_details5[[#This Row],[Order ID]],Orders!A:F,2,FALSE)</f>
        <v>43269</v>
      </c>
      <c r="I267" s="1" t="str">
        <f>TEXT(tbl_details5[[#This Row],[Order Date]],"mmm-yy")</f>
        <v>Jun-18</v>
      </c>
      <c r="J267" t="str">
        <f>VLOOKUP(tbl_details5[[#This Row],[Order ID]],Table1[],4,FALSE)</f>
        <v>Parna</v>
      </c>
      <c r="K267" t="str">
        <f>VLOOKUP(tbl_details5[[#This Row],[Order ID]],Table1[],5,FALSE)</f>
        <v>Madhya Pradesh</v>
      </c>
      <c r="L267" t="str">
        <f>VLOOKUP(tbl_details5[[#This Row],[Order ID]],Table1[],6,FALSE)</f>
        <v>Bhopal</v>
      </c>
    </row>
    <row r="268" spans="1:12" x14ac:dyDescent="0.25">
      <c r="A268" t="s">
        <v>223</v>
      </c>
      <c r="B268" s="4">
        <v>632</v>
      </c>
      <c r="C268" s="4">
        <v>-316</v>
      </c>
      <c r="D268" s="5">
        <f>tbl_details5[[#This Row],[Profit]]/tbl_details5[[#This Row],[Revenue]]</f>
        <v>-0.5</v>
      </c>
      <c r="E268">
        <v>6</v>
      </c>
      <c r="F268" t="s">
        <v>885</v>
      </c>
      <c r="G268" t="s">
        <v>891</v>
      </c>
      <c r="H268" s="1">
        <f>VLOOKUP(tbl_details5[[#This Row],[Order ID]],Orders!A:F,2,FALSE)</f>
        <v>43269</v>
      </c>
      <c r="I268" s="1" t="str">
        <f>TEXT(tbl_details5[[#This Row],[Order Date]],"mmm-yy")</f>
        <v>Jun-18</v>
      </c>
      <c r="J268" t="str">
        <f>VLOOKUP(tbl_details5[[#This Row],[Order ID]],Table1[],4,FALSE)</f>
        <v>Parna</v>
      </c>
      <c r="K268" t="str">
        <f>VLOOKUP(tbl_details5[[#This Row],[Order ID]],Table1[],5,FALSE)</f>
        <v>Madhya Pradesh</v>
      </c>
      <c r="L268" t="str">
        <f>VLOOKUP(tbl_details5[[#This Row],[Order ID]],Table1[],6,FALSE)</f>
        <v>Bhopal</v>
      </c>
    </row>
    <row r="269" spans="1:12" x14ac:dyDescent="0.25">
      <c r="A269" t="s">
        <v>223</v>
      </c>
      <c r="B269" s="4">
        <v>32</v>
      </c>
      <c r="C269" s="4">
        <v>-16</v>
      </c>
      <c r="D269" s="5">
        <f>tbl_details5[[#This Row],[Profit]]/tbl_details5[[#This Row],[Revenue]]</f>
        <v>-0.5</v>
      </c>
      <c r="E269">
        <v>6</v>
      </c>
      <c r="F269" t="s">
        <v>885</v>
      </c>
      <c r="G269" t="s">
        <v>891</v>
      </c>
      <c r="H269" s="1">
        <f>VLOOKUP(tbl_details5[[#This Row],[Order ID]],Orders!A:F,2,FALSE)</f>
        <v>43269</v>
      </c>
      <c r="I269" s="1" t="str">
        <f>TEXT(tbl_details5[[#This Row],[Order Date]],"mmm-yy")</f>
        <v>Jun-18</v>
      </c>
      <c r="J269" t="str">
        <f>VLOOKUP(tbl_details5[[#This Row],[Order ID]],Table1[],4,FALSE)</f>
        <v>Parna</v>
      </c>
      <c r="K269" t="str">
        <f>VLOOKUP(tbl_details5[[#This Row],[Order ID]],Table1[],5,FALSE)</f>
        <v>Madhya Pradesh</v>
      </c>
      <c r="L269" t="str">
        <f>VLOOKUP(tbl_details5[[#This Row],[Order ID]],Table1[],6,FALSE)</f>
        <v>Bhopal</v>
      </c>
    </row>
    <row r="270" spans="1:12" x14ac:dyDescent="0.25">
      <c r="A270" t="s">
        <v>223</v>
      </c>
      <c r="B270" s="4">
        <v>68</v>
      </c>
      <c r="C270" s="4">
        <v>-30</v>
      </c>
      <c r="D270" s="5">
        <f>tbl_details5[[#This Row],[Profit]]/tbl_details5[[#This Row],[Revenue]]</f>
        <v>-0.44117647058823528</v>
      </c>
      <c r="E270">
        <v>1</v>
      </c>
      <c r="F270" t="s">
        <v>888</v>
      </c>
      <c r="G270" t="s">
        <v>890</v>
      </c>
      <c r="H270" s="1">
        <f>VLOOKUP(tbl_details5[[#This Row],[Order ID]],Orders!A:F,2,FALSE)</f>
        <v>43269</v>
      </c>
      <c r="I270" s="1" t="str">
        <f>TEXT(tbl_details5[[#This Row],[Order Date]],"mmm-yy")</f>
        <v>Jun-18</v>
      </c>
      <c r="J270" t="str">
        <f>VLOOKUP(tbl_details5[[#This Row],[Order ID]],Table1[],4,FALSE)</f>
        <v>Parna</v>
      </c>
      <c r="K270" t="str">
        <f>VLOOKUP(tbl_details5[[#This Row],[Order ID]],Table1[],5,FALSE)</f>
        <v>Madhya Pradesh</v>
      </c>
      <c r="L270" t="str">
        <f>VLOOKUP(tbl_details5[[#This Row],[Order ID]],Table1[],6,FALSE)</f>
        <v>Bhopal</v>
      </c>
    </row>
    <row r="271" spans="1:12" x14ac:dyDescent="0.25">
      <c r="A271" t="s">
        <v>223</v>
      </c>
      <c r="B271" s="4">
        <v>82</v>
      </c>
      <c r="C271" s="4">
        <v>-39</v>
      </c>
      <c r="D271" s="5">
        <f>tbl_details5[[#This Row],[Profit]]/tbl_details5[[#This Row],[Revenue]]</f>
        <v>-0.47560975609756095</v>
      </c>
      <c r="E271">
        <v>5</v>
      </c>
      <c r="F271" t="s">
        <v>885</v>
      </c>
      <c r="G271" t="s">
        <v>895</v>
      </c>
      <c r="H271" s="1">
        <f>VLOOKUP(tbl_details5[[#This Row],[Order ID]],Orders!A:F,2,FALSE)</f>
        <v>43269</v>
      </c>
      <c r="I271" s="1" t="str">
        <f>TEXT(tbl_details5[[#This Row],[Order Date]],"mmm-yy")</f>
        <v>Jun-18</v>
      </c>
      <c r="J271" t="str">
        <f>VLOOKUP(tbl_details5[[#This Row],[Order ID]],Table1[],4,FALSE)</f>
        <v>Parna</v>
      </c>
      <c r="K271" t="str">
        <f>VLOOKUP(tbl_details5[[#This Row],[Order ID]],Table1[],5,FALSE)</f>
        <v>Madhya Pradesh</v>
      </c>
      <c r="L271" t="str">
        <f>VLOOKUP(tbl_details5[[#This Row],[Order ID]],Table1[],6,FALSE)</f>
        <v>Bhopal</v>
      </c>
    </row>
    <row r="272" spans="1:12" x14ac:dyDescent="0.25">
      <c r="A272" t="s">
        <v>223</v>
      </c>
      <c r="B272" s="4">
        <v>72</v>
      </c>
      <c r="C272" s="4">
        <v>-49</v>
      </c>
      <c r="D272" s="5">
        <f>tbl_details5[[#This Row],[Profit]]/tbl_details5[[#This Row],[Revenue]]</f>
        <v>-0.68055555555555558</v>
      </c>
      <c r="E272">
        <v>1</v>
      </c>
      <c r="F272" t="s">
        <v>888</v>
      </c>
      <c r="G272" t="s">
        <v>890</v>
      </c>
      <c r="H272" s="1">
        <f>VLOOKUP(tbl_details5[[#This Row],[Order ID]],Orders!A:F,2,FALSE)</f>
        <v>43269</v>
      </c>
      <c r="I272" s="1" t="str">
        <f>TEXT(tbl_details5[[#This Row],[Order Date]],"mmm-yy")</f>
        <v>Jun-18</v>
      </c>
      <c r="J272" t="str">
        <f>VLOOKUP(tbl_details5[[#This Row],[Order ID]],Table1[],4,FALSE)</f>
        <v>Parna</v>
      </c>
      <c r="K272" t="str">
        <f>VLOOKUP(tbl_details5[[#This Row],[Order ID]],Table1[],5,FALSE)</f>
        <v>Madhya Pradesh</v>
      </c>
      <c r="L272" t="str">
        <f>VLOOKUP(tbl_details5[[#This Row],[Order ID]],Table1[],6,FALSE)</f>
        <v>Bhopal</v>
      </c>
    </row>
    <row r="273" spans="1:12" x14ac:dyDescent="0.25">
      <c r="A273" t="s">
        <v>223</v>
      </c>
      <c r="B273" s="4">
        <v>13</v>
      </c>
      <c r="C273" s="4">
        <v>-13</v>
      </c>
      <c r="D273" s="5">
        <f>tbl_details5[[#This Row],[Profit]]/tbl_details5[[#This Row],[Revenue]]</f>
        <v>-1</v>
      </c>
      <c r="E273">
        <v>2</v>
      </c>
      <c r="F273" t="s">
        <v>885</v>
      </c>
      <c r="G273" t="s">
        <v>902</v>
      </c>
      <c r="H273" s="1">
        <f>VLOOKUP(tbl_details5[[#This Row],[Order ID]],Orders!A:F,2,FALSE)</f>
        <v>43269</v>
      </c>
      <c r="I273" s="1" t="str">
        <f>TEXT(tbl_details5[[#This Row],[Order Date]],"mmm-yy")</f>
        <v>Jun-18</v>
      </c>
      <c r="J273" t="str">
        <f>VLOOKUP(tbl_details5[[#This Row],[Order ID]],Table1[],4,FALSE)</f>
        <v>Parna</v>
      </c>
      <c r="K273" t="str">
        <f>VLOOKUP(tbl_details5[[#This Row],[Order ID]],Table1[],5,FALSE)</f>
        <v>Madhya Pradesh</v>
      </c>
      <c r="L273" t="str">
        <f>VLOOKUP(tbl_details5[[#This Row],[Order ID]],Table1[],6,FALSE)</f>
        <v>Bhopal</v>
      </c>
    </row>
    <row r="274" spans="1:12" x14ac:dyDescent="0.25">
      <c r="A274" t="s">
        <v>225</v>
      </c>
      <c r="B274" s="4">
        <v>167</v>
      </c>
      <c r="C274" s="4">
        <v>43</v>
      </c>
      <c r="D274" s="5">
        <f>tbl_details5[[#This Row],[Profit]]/tbl_details5[[#This Row],[Revenue]]</f>
        <v>0.25748502994011974</v>
      </c>
      <c r="E274">
        <v>7</v>
      </c>
      <c r="F274" t="s">
        <v>885</v>
      </c>
      <c r="G274" t="s">
        <v>895</v>
      </c>
      <c r="H274" s="1">
        <f>VLOOKUP(tbl_details5[[#This Row],[Order ID]],Orders!A:F,2,FALSE)</f>
        <v>43269</v>
      </c>
      <c r="I274" s="1" t="str">
        <f>TEXT(tbl_details5[[#This Row],[Order Date]],"mmm-yy")</f>
        <v>Jun-18</v>
      </c>
      <c r="J274" t="str">
        <f>VLOOKUP(tbl_details5[[#This Row],[Order ID]],Table1[],4,FALSE)</f>
        <v>Subhasmita</v>
      </c>
      <c r="K274" t="str">
        <f>VLOOKUP(tbl_details5[[#This Row],[Order ID]],Table1[],5,FALSE)</f>
        <v>Rajasthan</v>
      </c>
      <c r="L274" t="str">
        <f>VLOOKUP(tbl_details5[[#This Row],[Order ID]],Table1[],6,FALSE)</f>
        <v>Jaipur</v>
      </c>
    </row>
    <row r="275" spans="1:12" x14ac:dyDescent="0.25">
      <c r="A275" t="s">
        <v>227</v>
      </c>
      <c r="B275" s="4">
        <v>171</v>
      </c>
      <c r="C275" s="4">
        <v>14</v>
      </c>
      <c r="D275" s="5">
        <f>tbl_details5[[#This Row],[Profit]]/tbl_details5[[#This Row],[Revenue]]</f>
        <v>8.1871345029239762E-2</v>
      </c>
      <c r="E275">
        <v>9</v>
      </c>
      <c r="F275" t="s">
        <v>885</v>
      </c>
      <c r="G275" t="s">
        <v>896</v>
      </c>
      <c r="H275" s="1">
        <f>VLOOKUP(tbl_details5[[#This Row],[Order ID]],Orders!A:F,2,FALSE)</f>
        <v>43269</v>
      </c>
      <c r="I275" s="1" t="str">
        <f>TEXT(tbl_details5[[#This Row],[Order Date]],"mmm-yy")</f>
        <v>Jun-18</v>
      </c>
      <c r="J275" t="str">
        <f>VLOOKUP(tbl_details5[[#This Row],[Order ID]],Table1[],4,FALSE)</f>
        <v>Suhani</v>
      </c>
      <c r="K275" t="str">
        <f>VLOOKUP(tbl_details5[[#This Row],[Order ID]],Table1[],5,FALSE)</f>
        <v>West Bengal</v>
      </c>
      <c r="L275" t="str">
        <f>VLOOKUP(tbl_details5[[#This Row],[Order ID]],Table1[],6,FALSE)</f>
        <v>Kolkata</v>
      </c>
    </row>
    <row r="276" spans="1:12" x14ac:dyDescent="0.25">
      <c r="A276" t="s">
        <v>229</v>
      </c>
      <c r="B276" s="4">
        <v>117</v>
      </c>
      <c r="C276" s="4">
        <v>-6</v>
      </c>
      <c r="D276" s="5">
        <f>tbl_details5[[#This Row],[Profit]]/tbl_details5[[#This Row],[Revenue]]</f>
        <v>-5.128205128205128E-2</v>
      </c>
      <c r="E276">
        <v>3</v>
      </c>
      <c r="F276" t="s">
        <v>888</v>
      </c>
      <c r="G276" t="s">
        <v>890</v>
      </c>
      <c r="H276" s="1">
        <f>VLOOKUP(tbl_details5[[#This Row],[Order ID]],Orders!A:F,2,FALSE)</f>
        <v>43272</v>
      </c>
      <c r="I276" s="1" t="str">
        <f>TEXT(tbl_details5[[#This Row],[Order Date]],"mmm-yy")</f>
        <v>Jun-18</v>
      </c>
      <c r="J276" t="str">
        <f>VLOOKUP(tbl_details5[[#This Row],[Order ID]],Table1[],4,FALSE)</f>
        <v>Noopur</v>
      </c>
      <c r="K276" t="str">
        <f>VLOOKUP(tbl_details5[[#This Row],[Order ID]],Table1[],5,FALSE)</f>
        <v>Karnataka</v>
      </c>
      <c r="L276" t="str">
        <f>VLOOKUP(tbl_details5[[#This Row],[Order ID]],Table1[],6,FALSE)</f>
        <v>Bangalore</v>
      </c>
    </row>
    <row r="277" spans="1:12" x14ac:dyDescent="0.25">
      <c r="A277" t="s">
        <v>229</v>
      </c>
      <c r="B277" s="4">
        <v>116</v>
      </c>
      <c r="C277" s="4">
        <v>-4</v>
      </c>
      <c r="D277" s="5">
        <f>tbl_details5[[#This Row],[Profit]]/tbl_details5[[#This Row],[Revenue]]</f>
        <v>-3.4482758620689655E-2</v>
      </c>
      <c r="E277">
        <v>1</v>
      </c>
      <c r="F277" t="s">
        <v>885</v>
      </c>
      <c r="G277" t="s">
        <v>891</v>
      </c>
      <c r="H277" s="1">
        <f>VLOOKUP(tbl_details5[[#This Row],[Order ID]],Orders!A:F,2,FALSE)</f>
        <v>43272</v>
      </c>
      <c r="I277" s="1" t="str">
        <f>TEXT(tbl_details5[[#This Row],[Order Date]],"mmm-yy")</f>
        <v>Jun-18</v>
      </c>
      <c r="J277" t="str">
        <f>VLOOKUP(tbl_details5[[#This Row],[Order ID]],Table1[],4,FALSE)</f>
        <v>Noopur</v>
      </c>
      <c r="K277" t="str">
        <f>VLOOKUP(tbl_details5[[#This Row],[Order ID]],Table1[],5,FALSE)</f>
        <v>Karnataka</v>
      </c>
      <c r="L277" t="str">
        <f>VLOOKUP(tbl_details5[[#This Row],[Order ID]],Table1[],6,FALSE)</f>
        <v>Bangalore</v>
      </c>
    </row>
    <row r="278" spans="1:12" x14ac:dyDescent="0.25">
      <c r="A278" t="s">
        <v>229</v>
      </c>
      <c r="B278" s="4">
        <v>887</v>
      </c>
      <c r="C278" s="4">
        <v>80</v>
      </c>
      <c r="D278" s="5">
        <f>tbl_details5[[#This Row],[Profit]]/tbl_details5[[#This Row],[Revenue]]</f>
        <v>9.0191657271702363E-2</v>
      </c>
      <c r="E278">
        <v>3</v>
      </c>
      <c r="F278" t="s">
        <v>888</v>
      </c>
      <c r="G278" t="s">
        <v>899</v>
      </c>
      <c r="H278" s="1">
        <f>VLOOKUP(tbl_details5[[#This Row],[Order ID]],Orders!A:F,2,FALSE)</f>
        <v>43272</v>
      </c>
      <c r="I278" s="1" t="str">
        <f>TEXT(tbl_details5[[#This Row],[Order Date]],"mmm-yy")</f>
        <v>Jun-18</v>
      </c>
      <c r="J278" t="str">
        <f>VLOOKUP(tbl_details5[[#This Row],[Order ID]],Table1[],4,FALSE)</f>
        <v>Noopur</v>
      </c>
      <c r="K278" t="str">
        <f>VLOOKUP(tbl_details5[[#This Row],[Order ID]],Table1[],5,FALSE)</f>
        <v>Karnataka</v>
      </c>
      <c r="L278" t="str">
        <f>VLOOKUP(tbl_details5[[#This Row],[Order ID]],Table1[],6,FALSE)</f>
        <v>Bangalore</v>
      </c>
    </row>
    <row r="279" spans="1:12" x14ac:dyDescent="0.25">
      <c r="A279" t="s">
        <v>229</v>
      </c>
      <c r="B279" s="4">
        <v>275</v>
      </c>
      <c r="C279" s="4">
        <v>-275</v>
      </c>
      <c r="D279" s="5">
        <f>tbl_details5[[#This Row],[Profit]]/tbl_details5[[#This Row],[Revenue]]</f>
        <v>-1</v>
      </c>
      <c r="E279">
        <v>4</v>
      </c>
      <c r="F279" t="s">
        <v>885</v>
      </c>
      <c r="G279" t="s">
        <v>891</v>
      </c>
      <c r="H279" s="1">
        <f>VLOOKUP(tbl_details5[[#This Row],[Order ID]],Orders!A:F,2,FALSE)</f>
        <v>43272</v>
      </c>
      <c r="I279" s="1" t="str">
        <f>TEXT(tbl_details5[[#This Row],[Order Date]],"mmm-yy")</f>
        <v>Jun-18</v>
      </c>
      <c r="J279" t="str">
        <f>VLOOKUP(tbl_details5[[#This Row],[Order ID]],Table1[],4,FALSE)</f>
        <v>Noopur</v>
      </c>
      <c r="K279" t="str">
        <f>VLOOKUP(tbl_details5[[#This Row],[Order ID]],Table1[],5,FALSE)</f>
        <v>Karnataka</v>
      </c>
      <c r="L279" t="str">
        <f>VLOOKUP(tbl_details5[[#This Row],[Order ID]],Table1[],6,FALSE)</f>
        <v>Bangalore</v>
      </c>
    </row>
    <row r="280" spans="1:12" x14ac:dyDescent="0.25">
      <c r="A280" t="s">
        <v>229</v>
      </c>
      <c r="B280" s="4">
        <v>44</v>
      </c>
      <c r="C280" s="4">
        <v>7</v>
      </c>
      <c r="D280" s="5">
        <f>tbl_details5[[#This Row],[Profit]]/tbl_details5[[#This Row],[Revenue]]</f>
        <v>0.15909090909090909</v>
      </c>
      <c r="E280">
        <v>3</v>
      </c>
      <c r="F280" t="s">
        <v>885</v>
      </c>
      <c r="G280" t="s">
        <v>894</v>
      </c>
      <c r="H280" s="1">
        <f>VLOOKUP(tbl_details5[[#This Row],[Order ID]],Orders!A:F,2,FALSE)</f>
        <v>43272</v>
      </c>
      <c r="I280" s="1" t="str">
        <f>TEXT(tbl_details5[[#This Row],[Order Date]],"mmm-yy")</f>
        <v>Jun-18</v>
      </c>
      <c r="J280" t="str">
        <f>VLOOKUP(tbl_details5[[#This Row],[Order ID]],Table1[],4,FALSE)</f>
        <v>Noopur</v>
      </c>
      <c r="K280" t="str">
        <f>VLOOKUP(tbl_details5[[#This Row],[Order ID]],Table1[],5,FALSE)</f>
        <v>Karnataka</v>
      </c>
      <c r="L280" t="str">
        <f>VLOOKUP(tbl_details5[[#This Row],[Order ID]],Table1[],6,FALSE)</f>
        <v>Bangalore</v>
      </c>
    </row>
    <row r="281" spans="1:12" x14ac:dyDescent="0.25">
      <c r="A281" t="s">
        <v>229</v>
      </c>
      <c r="B281" s="4">
        <v>168</v>
      </c>
      <c r="C281" s="4">
        <v>-9</v>
      </c>
      <c r="D281" s="5">
        <f>tbl_details5[[#This Row],[Profit]]/tbl_details5[[#This Row],[Revenue]]</f>
        <v>-5.3571428571428568E-2</v>
      </c>
      <c r="E281">
        <v>3</v>
      </c>
      <c r="F281" t="s">
        <v>885</v>
      </c>
      <c r="G281" t="s">
        <v>891</v>
      </c>
      <c r="H281" s="1">
        <f>VLOOKUP(tbl_details5[[#This Row],[Order ID]],Orders!A:F,2,FALSE)</f>
        <v>43272</v>
      </c>
      <c r="I281" s="1" t="str">
        <f>TEXT(tbl_details5[[#This Row],[Order Date]],"mmm-yy")</f>
        <v>Jun-18</v>
      </c>
      <c r="J281" t="str">
        <f>VLOOKUP(tbl_details5[[#This Row],[Order ID]],Table1[],4,FALSE)</f>
        <v>Noopur</v>
      </c>
      <c r="K281" t="str">
        <f>VLOOKUP(tbl_details5[[#This Row],[Order ID]],Table1[],5,FALSE)</f>
        <v>Karnataka</v>
      </c>
      <c r="L281" t="str">
        <f>VLOOKUP(tbl_details5[[#This Row],[Order ID]],Table1[],6,FALSE)</f>
        <v>Bangalore</v>
      </c>
    </row>
    <row r="282" spans="1:12" x14ac:dyDescent="0.25">
      <c r="A282" t="s">
        <v>231</v>
      </c>
      <c r="B282" s="4">
        <v>114</v>
      </c>
      <c r="C282" s="4">
        <v>8</v>
      </c>
      <c r="D282" s="5">
        <f>tbl_details5[[#This Row],[Profit]]/tbl_details5[[#This Row],[Revenue]]</f>
        <v>7.0175438596491224E-2</v>
      </c>
      <c r="E282">
        <v>3</v>
      </c>
      <c r="F282" t="s">
        <v>888</v>
      </c>
      <c r="G282" t="s">
        <v>900</v>
      </c>
      <c r="H282" s="1">
        <f>VLOOKUP(tbl_details5[[#This Row],[Order ID]],Orders!A:F,2,FALSE)</f>
        <v>43273</v>
      </c>
      <c r="I282" s="1" t="str">
        <f>TEXT(tbl_details5[[#This Row],[Order Date]],"mmm-yy")</f>
        <v>Jun-18</v>
      </c>
      <c r="J282" t="str">
        <f>VLOOKUP(tbl_details5[[#This Row],[Order ID]],Table1[],4,FALSE)</f>
        <v>Vijay</v>
      </c>
      <c r="K282" t="str">
        <f>VLOOKUP(tbl_details5[[#This Row],[Order ID]],Table1[],5,FALSE)</f>
        <v>Jammu and Kashmir</v>
      </c>
      <c r="L282" t="str">
        <f>VLOOKUP(tbl_details5[[#This Row],[Order ID]],Table1[],6,FALSE)</f>
        <v>Kashmir</v>
      </c>
    </row>
    <row r="283" spans="1:12" x14ac:dyDescent="0.25">
      <c r="A283" t="s">
        <v>231</v>
      </c>
      <c r="B283" s="4">
        <v>1300</v>
      </c>
      <c r="C283" s="4">
        <v>-16</v>
      </c>
      <c r="D283" s="5">
        <f>tbl_details5[[#This Row],[Profit]]/tbl_details5[[#This Row],[Revenue]]</f>
        <v>-1.2307692307692308E-2</v>
      </c>
      <c r="E283">
        <v>8</v>
      </c>
      <c r="F283" t="s">
        <v>888</v>
      </c>
      <c r="G283" t="s">
        <v>899</v>
      </c>
      <c r="H283" s="1">
        <f>VLOOKUP(tbl_details5[[#This Row],[Order ID]],Orders!A:F,2,FALSE)</f>
        <v>43273</v>
      </c>
      <c r="I283" s="1" t="str">
        <f>TEXT(tbl_details5[[#This Row],[Order Date]],"mmm-yy")</f>
        <v>Jun-18</v>
      </c>
      <c r="J283" t="str">
        <f>VLOOKUP(tbl_details5[[#This Row],[Order ID]],Table1[],4,FALSE)</f>
        <v>Vijay</v>
      </c>
      <c r="K283" t="str">
        <f>VLOOKUP(tbl_details5[[#This Row],[Order ID]],Table1[],5,FALSE)</f>
        <v>Jammu and Kashmir</v>
      </c>
      <c r="L283" t="str">
        <f>VLOOKUP(tbl_details5[[#This Row],[Order ID]],Table1[],6,FALSE)</f>
        <v>Kashmir</v>
      </c>
    </row>
    <row r="284" spans="1:12" x14ac:dyDescent="0.25">
      <c r="A284" t="s">
        <v>231</v>
      </c>
      <c r="B284" s="4">
        <v>4</v>
      </c>
      <c r="C284" s="4">
        <v>-3</v>
      </c>
      <c r="D284" s="5">
        <f>tbl_details5[[#This Row],[Profit]]/tbl_details5[[#This Row],[Revenue]]</f>
        <v>-0.75</v>
      </c>
      <c r="E284">
        <v>1</v>
      </c>
      <c r="F284" t="s">
        <v>885</v>
      </c>
      <c r="G284" t="s">
        <v>902</v>
      </c>
      <c r="H284" s="1">
        <f>VLOOKUP(tbl_details5[[#This Row],[Order ID]],Orders!A:F,2,FALSE)</f>
        <v>43273</v>
      </c>
      <c r="I284" s="1" t="str">
        <f>TEXT(tbl_details5[[#This Row],[Order Date]],"mmm-yy")</f>
        <v>Jun-18</v>
      </c>
      <c r="J284" t="str">
        <f>VLOOKUP(tbl_details5[[#This Row],[Order ID]],Table1[],4,FALSE)</f>
        <v>Vijay</v>
      </c>
      <c r="K284" t="str">
        <f>VLOOKUP(tbl_details5[[#This Row],[Order ID]],Table1[],5,FALSE)</f>
        <v>Jammu and Kashmir</v>
      </c>
      <c r="L284" t="str">
        <f>VLOOKUP(tbl_details5[[#This Row],[Order ID]],Table1[],6,FALSE)</f>
        <v>Kashmir</v>
      </c>
    </row>
    <row r="285" spans="1:12" x14ac:dyDescent="0.25">
      <c r="A285" t="s">
        <v>231</v>
      </c>
      <c r="B285" s="4">
        <v>73</v>
      </c>
      <c r="C285" s="4">
        <v>-7</v>
      </c>
      <c r="D285" s="5">
        <f>tbl_details5[[#This Row],[Profit]]/tbl_details5[[#This Row],[Revenue]]</f>
        <v>-9.5890410958904104E-2</v>
      </c>
      <c r="E285">
        <v>1</v>
      </c>
      <c r="F285" t="s">
        <v>888</v>
      </c>
      <c r="G285" t="s">
        <v>890</v>
      </c>
      <c r="H285" s="1">
        <f>VLOOKUP(tbl_details5[[#This Row],[Order ID]],Orders!A:F,2,FALSE)</f>
        <v>43273</v>
      </c>
      <c r="I285" s="1" t="str">
        <f>TEXT(tbl_details5[[#This Row],[Order Date]],"mmm-yy")</f>
        <v>Jun-18</v>
      </c>
      <c r="J285" t="str">
        <f>VLOOKUP(tbl_details5[[#This Row],[Order ID]],Table1[],4,FALSE)</f>
        <v>Vijay</v>
      </c>
      <c r="K285" t="str">
        <f>VLOOKUP(tbl_details5[[#This Row],[Order ID]],Table1[],5,FALSE)</f>
        <v>Jammu and Kashmir</v>
      </c>
      <c r="L285" t="str">
        <f>VLOOKUP(tbl_details5[[#This Row],[Order ID]],Table1[],6,FALSE)</f>
        <v>Kashmir</v>
      </c>
    </row>
    <row r="286" spans="1:12" x14ac:dyDescent="0.25">
      <c r="A286" t="s">
        <v>231</v>
      </c>
      <c r="B286" s="4">
        <v>67</v>
      </c>
      <c r="C286" s="4">
        <v>-42</v>
      </c>
      <c r="D286" s="5">
        <f>tbl_details5[[#This Row],[Profit]]/tbl_details5[[#This Row],[Revenue]]</f>
        <v>-0.62686567164179108</v>
      </c>
      <c r="E286">
        <v>3</v>
      </c>
      <c r="F286" t="s">
        <v>885</v>
      </c>
      <c r="G286" t="s">
        <v>886</v>
      </c>
      <c r="H286" s="1">
        <f>VLOOKUP(tbl_details5[[#This Row],[Order ID]],Orders!A:F,2,FALSE)</f>
        <v>43273</v>
      </c>
      <c r="I286" s="1" t="str">
        <f>TEXT(tbl_details5[[#This Row],[Order Date]],"mmm-yy")</f>
        <v>Jun-18</v>
      </c>
      <c r="J286" t="str">
        <f>VLOOKUP(tbl_details5[[#This Row],[Order ID]],Table1[],4,FALSE)</f>
        <v>Vijay</v>
      </c>
      <c r="K286" t="str">
        <f>VLOOKUP(tbl_details5[[#This Row],[Order ID]],Table1[],5,FALSE)</f>
        <v>Jammu and Kashmir</v>
      </c>
      <c r="L286" t="str">
        <f>VLOOKUP(tbl_details5[[#This Row],[Order ID]],Table1[],6,FALSE)</f>
        <v>Kashmir</v>
      </c>
    </row>
    <row r="287" spans="1:12" x14ac:dyDescent="0.25">
      <c r="A287" t="s">
        <v>231</v>
      </c>
      <c r="B287" s="4">
        <v>322</v>
      </c>
      <c r="C287" s="4">
        <v>-193</v>
      </c>
      <c r="D287" s="5">
        <f>tbl_details5[[#This Row],[Profit]]/tbl_details5[[#This Row],[Revenue]]</f>
        <v>-0.59937888198757761</v>
      </c>
      <c r="E287">
        <v>5</v>
      </c>
      <c r="F287" t="s">
        <v>888</v>
      </c>
      <c r="G287" t="s">
        <v>899</v>
      </c>
      <c r="H287" s="1">
        <f>VLOOKUP(tbl_details5[[#This Row],[Order ID]],Orders!A:F,2,FALSE)</f>
        <v>43273</v>
      </c>
      <c r="I287" s="1" t="str">
        <f>TEXT(tbl_details5[[#This Row],[Order Date]],"mmm-yy")</f>
        <v>Jun-18</v>
      </c>
      <c r="J287" t="str">
        <f>VLOOKUP(tbl_details5[[#This Row],[Order ID]],Table1[],4,FALSE)</f>
        <v>Vijay</v>
      </c>
      <c r="K287" t="str">
        <f>VLOOKUP(tbl_details5[[#This Row],[Order ID]],Table1[],5,FALSE)</f>
        <v>Jammu and Kashmir</v>
      </c>
      <c r="L287" t="str">
        <f>VLOOKUP(tbl_details5[[#This Row],[Order ID]],Table1[],6,FALSE)</f>
        <v>Kashmir</v>
      </c>
    </row>
    <row r="288" spans="1:12" x14ac:dyDescent="0.25">
      <c r="A288" t="s">
        <v>231</v>
      </c>
      <c r="B288" s="4">
        <v>115</v>
      </c>
      <c r="C288" s="4">
        <v>-39</v>
      </c>
      <c r="D288" s="5">
        <f>tbl_details5[[#This Row],[Profit]]/tbl_details5[[#This Row],[Revenue]]</f>
        <v>-0.33913043478260868</v>
      </c>
      <c r="E288">
        <v>3</v>
      </c>
      <c r="F288" t="s">
        <v>885</v>
      </c>
      <c r="G288" t="s">
        <v>892</v>
      </c>
      <c r="H288" s="1">
        <f>VLOOKUP(tbl_details5[[#This Row],[Order ID]],Orders!A:F,2,FALSE)</f>
        <v>43273</v>
      </c>
      <c r="I288" s="1" t="str">
        <f>TEXT(tbl_details5[[#This Row],[Order Date]],"mmm-yy")</f>
        <v>Jun-18</v>
      </c>
      <c r="J288" t="str">
        <f>VLOOKUP(tbl_details5[[#This Row],[Order ID]],Table1[],4,FALSE)</f>
        <v>Vijay</v>
      </c>
      <c r="K288" t="str">
        <f>VLOOKUP(tbl_details5[[#This Row],[Order ID]],Table1[],5,FALSE)</f>
        <v>Jammu and Kashmir</v>
      </c>
      <c r="L288" t="str">
        <f>VLOOKUP(tbl_details5[[#This Row],[Order ID]],Table1[],6,FALSE)</f>
        <v>Kashmir</v>
      </c>
    </row>
    <row r="289" spans="1:12" x14ac:dyDescent="0.25">
      <c r="A289" t="s">
        <v>233</v>
      </c>
      <c r="B289" s="4">
        <v>87</v>
      </c>
      <c r="C289" s="4">
        <v>-83</v>
      </c>
      <c r="D289" s="5">
        <f>tbl_details5[[#This Row],[Profit]]/tbl_details5[[#This Row],[Revenue]]</f>
        <v>-0.95402298850574707</v>
      </c>
      <c r="E289">
        <v>5</v>
      </c>
      <c r="F289" t="s">
        <v>885</v>
      </c>
      <c r="G289" t="s">
        <v>894</v>
      </c>
      <c r="H289" s="1">
        <f>VLOOKUP(tbl_details5[[#This Row],[Order ID]],Orders!A:F,2,FALSE)</f>
        <v>43274</v>
      </c>
      <c r="I289" s="1" t="str">
        <f>TEXT(tbl_details5[[#This Row],[Order Date]],"mmm-yy")</f>
        <v>Jun-18</v>
      </c>
      <c r="J289" t="str">
        <f>VLOOKUP(tbl_details5[[#This Row],[Order ID]],Table1[],4,FALSE)</f>
        <v>Amisha</v>
      </c>
      <c r="K289" t="str">
        <f>VLOOKUP(tbl_details5[[#This Row],[Order ID]],Table1[],5,FALSE)</f>
        <v>Tamil Nadu</v>
      </c>
      <c r="L289" t="str">
        <f>VLOOKUP(tbl_details5[[#This Row],[Order ID]],Table1[],6,FALSE)</f>
        <v>Chennai</v>
      </c>
    </row>
    <row r="290" spans="1:12" x14ac:dyDescent="0.25">
      <c r="A290" t="s">
        <v>233</v>
      </c>
      <c r="B290" s="4">
        <v>27</v>
      </c>
      <c r="C290" s="4">
        <v>-6</v>
      </c>
      <c r="D290" s="5">
        <f>tbl_details5[[#This Row],[Profit]]/tbl_details5[[#This Row],[Revenue]]</f>
        <v>-0.22222222222222221</v>
      </c>
      <c r="E290">
        <v>4</v>
      </c>
      <c r="F290" t="s">
        <v>885</v>
      </c>
      <c r="G290" t="s">
        <v>887</v>
      </c>
      <c r="H290" s="1">
        <f>VLOOKUP(tbl_details5[[#This Row],[Order ID]],Orders!A:F,2,FALSE)</f>
        <v>43274</v>
      </c>
      <c r="I290" s="1" t="str">
        <f>TEXT(tbl_details5[[#This Row],[Order Date]],"mmm-yy")</f>
        <v>Jun-18</v>
      </c>
      <c r="J290" t="str">
        <f>VLOOKUP(tbl_details5[[#This Row],[Order ID]],Table1[],4,FALSE)</f>
        <v>Amisha</v>
      </c>
      <c r="K290" t="str">
        <f>VLOOKUP(tbl_details5[[#This Row],[Order ID]],Table1[],5,FALSE)</f>
        <v>Tamil Nadu</v>
      </c>
      <c r="L290" t="str">
        <f>VLOOKUP(tbl_details5[[#This Row],[Order ID]],Table1[],6,FALSE)</f>
        <v>Chennai</v>
      </c>
    </row>
    <row r="291" spans="1:12" x14ac:dyDescent="0.25">
      <c r="A291" t="s">
        <v>233</v>
      </c>
      <c r="B291" s="4">
        <v>207</v>
      </c>
      <c r="C291" s="4">
        <v>-153</v>
      </c>
      <c r="D291" s="5">
        <f>tbl_details5[[#This Row],[Profit]]/tbl_details5[[#This Row],[Revenue]]</f>
        <v>-0.73913043478260865</v>
      </c>
      <c r="E291">
        <v>3</v>
      </c>
      <c r="F291" t="s">
        <v>885</v>
      </c>
      <c r="G291" t="s">
        <v>891</v>
      </c>
      <c r="H291" s="1">
        <f>VLOOKUP(tbl_details5[[#This Row],[Order ID]],Orders!A:F,2,FALSE)</f>
        <v>43274</v>
      </c>
      <c r="I291" s="1" t="str">
        <f>TEXT(tbl_details5[[#This Row],[Order Date]],"mmm-yy")</f>
        <v>Jun-18</v>
      </c>
      <c r="J291" t="str">
        <f>VLOOKUP(tbl_details5[[#This Row],[Order ID]],Table1[],4,FALSE)</f>
        <v>Amisha</v>
      </c>
      <c r="K291" t="str">
        <f>VLOOKUP(tbl_details5[[#This Row],[Order ID]],Table1[],5,FALSE)</f>
        <v>Tamil Nadu</v>
      </c>
      <c r="L291" t="str">
        <f>VLOOKUP(tbl_details5[[#This Row],[Order ID]],Table1[],6,FALSE)</f>
        <v>Chennai</v>
      </c>
    </row>
    <row r="292" spans="1:12" x14ac:dyDescent="0.25">
      <c r="A292" t="s">
        <v>233</v>
      </c>
      <c r="B292" s="4">
        <v>516</v>
      </c>
      <c r="C292" s="4">
        <v>-392</v>
      </c>
      <c r="D292" s="5">
        <f>tbl_details5[[#This Row],[Profit]]/tbl_details5[[#This Row],[Revenue]]</f>
        <v>-0.75968992248062017</v>
      </c>
      <c r="E292">
        <v>8</v>
      </c>
      <c r="F292" t="s">
        <v>883</v>
      </c>
      <c r="G292" t="s">
        <v>893</v>
      </c>
      <c r="H292" s="1">
        <f>VLOOKUP(tbl_details5[[#This Row],[Order ID]],Orders!A:F,2,FALSE)</f>
        <v>43274</v>
      </c>
      <c r="I292" s="1" t="str">
        <f>TEXT(tbl_details5[[#This Row],[Order Date]],"mmm-yy")</f>
        <v>Jun-18</v>
      </c>
      <c r="J292" t="str">
        <f>VLOOKUP(tbl_details5[[#This Row],[Order ID]],Table1[],4,FALSE)</f>
        <v>Amisha</v>
      </c>
      <c r="K292" t="str">
        <f>VLOOKUP(tbl_details5[[#This Row],[Order ID]],Table1[],5,FALSE)</f>
        <v>Tamil Nadu</v>
      </c>
      <c r="L292" t="str">
        <f>VLOOKUP(tbl_details5[[#This Row],[Order ID]],Table1[],6,FALSE)</f>
        <v>Chennai</v>
      </c>
    </row>
    <row r="293" spans="1:12" x14ac:dyDescent="0.25">
      <c r="A293" t="s">
        <v>233</v>
      </c>
      <c r="B293" s="4">
        <v>7</v>
      </c>
      <c r="C293" s="4">
        <v>-2</v>
      </c>
      <c r="D293" s="5">
        <f>tbl_details5[[#This Row],[Profit]]/tbl_details5[[#This Row],[Revenue]]</f>
        <v>-0.2857142857142857</v>
      </c>
      <c r="E293">
        <v>1</v>
      </c>
      <c r="F293" t="s">
        <v>885</v>
      </c>
      <c r="G293" t="s">
        <v>887</v>
      </c>
      <c r="H293" s="1">
        <f>VLOOKUP(tbl_details5[[#This Row],[Order ID]],Orders!A:F,2,FALSE)</f>
        <v>43274</v>
      </c>
      <c r="I293" s="1" t="str">
        <f>TEXT(tbl_details5[[#This Row],[Order Date]],"mmm-yy")</f>
        <v>Jun-18</v>
      </c>
      <c r="J293" t="str">
        <f>VLOOKUP(tbl_details5[[#This Row],[Order ID]],Table1[],4,FALSE)</f>
        <v>Amisha</v>
      </c>
      <c r="K293" t="str">
        <f>VLOOKUP(tbl_details5[[#This Row],[Order ID]],Table1[],5,FALSE)</f>
        <v>Tamil Nadu</v>
      </c>
      <c r="L293" t="str">
        <f>VLOOKUP(tbl_details5[[#This Row],[Order ID]],Table1[],6,FALSE)</f>
        <v>Chennai</v>
      </c>
    </row>
    <row r="294" spans="1:12" x14ac:dyDescent="0.25">
      <c r="A294" t="s">
        <v>233</v>
      </c>
      <c r="B294" s="4">
        <v>65</v>
      </c>
      <c r="C294" s="4">
        <v>-16</v>
      </c>
      <c r="D294" s="5">
        <f>tbl_details5[[#This Row],[Profit]]/tbl_details5[[#This Row],[Revenue]]</f>
        <v>-0.24615384615384617</v>
      </c>
      <c r="E294">
        <v>2</v>
      </c>
      <c r="F294" t="s">
        <v>888</v>
      </c>
      <c r="G294" t="s">
        <v>890</v>
      </c>
      <c r="H294" s="1">
        <f>VLOOKUP(tbl_details5[[#This Row],[Order ID]],Orders!A:F,2,FALSE)</f>
        <v>43274</v>
      </c>
      <c r="I294" s="1" t="str">
        <f>TEXT(tbl_details5[[#This Row],[Order Date]],"mmm-yy")</f>
        <v>Jun-18</v>
      </c>
      <c r="J294" t="str">
        <f>VLOOKUP(tbl_details5[[#This Row],[Order ID]],Table1[],4,FALSE)</f>
        <v>Amisha</v>
      </c>
      <c r="K294" t="str">
        <f>VLOOKUP(tbl_details5[[#This Row],[Order ID]],Table1[],5,FALSE)</f>
        <v>Tamil Nadu</v>
      </c>
      <c r="L294" t="str">
        <f>VLOOKUP(tbl_details5[[#This Row],[Order ID]],Table1[],6,FALSE)</f>
        <v>Chennai</v>
      </c>
    </row>
    <row r="295" spans="1:12" x14ac:dyDescent="0.25">
      <c r="A295" t="s">
        <v>235</v>
      </c>
      <c r="B295" s="4">
        <v>20</v>
      </c>
      <c r="C295" s="4">
        <v>-22</v>
      </c>
      <c r="D295" s="5">
        <f>tbl_details5[[#This Row],[Profit]]/tbl_details5[[#This Row],[Revenue]]</f>
        <v>-1.1000000000000001</v>
      </c>
      <c r="E295">
        <v>1</v>
      </c>
      <c r="F295" t="s">
        <v>883</v>
      </c>
      <c r="G295" t="s">
        <v>901</v>
      </c>
      <c r="H295" s="1">
        <f>VLOOKUP(tbl_details5[[#This Row],[Order ID]],Orders!A:F,2,FALSE)</f>
        <v>43275</v>
      </c>
      <c r="I295" s="1" t="str">
        <f>TEXT(tbl_details5[[#This Row],[Order Date]],"mmm-yy")</f>
        <v>Jun-18</v>
      </c>
      <c r="J295" t="str">
        <f>VLOOKUP(tbl_details5[[#This Row],[Order ID]],Table1[],4,FALSE)</f>
        <v>Kritika</v>
      </c>
      <c r="K295" t="str">
        <f>VLOOKUP(tbl_details5[[#This Row],[Order ID]],Table1[],5,FALSE)</f>
        <v>Uttar Pradesh</v>
      </c>
      <c r="L295" t="str">
        <f>VLOOKUP(tbl_details5[[#This Row],[Order ID]],Table1[],6,FALSE)</f>
        <v>Lucknow</v>
      </c>
    </row>
    <row r="296" spans="1:12" x14ac:dyDescent="0.25">
      <c r="A296" t="s">
        <v>235</v>
      </c>
      <c r="B296" s="4">
        <v>49</v>
      </c>
      <c r="C296" s="4">
        <v>-31</v>
      </c>
      <c r="D296" s="5">
        <f>tbl_details5[[#This Row],[Profit]]/tbl_details5[[#This Row],[Revenue]]</f>
        <v>-0.63265306122448983</v>
      </c>
      <c r="E296">
        <v>2</v>
      </c>
      <c r="F296" t="s">
        <v>885</v>
      </c>
      <c r="G296" t="s">
        <v>886</v>
      </c>
      <c r="H296" s="1">
        <f>VLOOKUP(tbl_details5[[#This Row],[Order ID]],Orders!A:F,2,FALSE)</f>
        <v>43275</v>
      </c>
      <c r="I296" s="1" t="str">
        <f>TEXT(tbl_details5[[#This Row],[Order Date]],"mmm-yy")</f>
        <v>Jun-18</v>
      </c>
      <c r="J296" t="str">
        <f>VLOOKUP(tbl_details5[[#This Row],[Order ID]],Table1[],4,FALSE)</f>
        <v>Kritika</v>
      </c>
      <c r="K296" t="str">
        <f>VLOOKUP(tbl_details5[[#This Row],[Order ID]],Table1[],5,FALSE)</f>
        <v>Uttar Pradesh</v>
      </c>
      <c r="L296" t="str">
        <f>VLOOKUP(tbl_details5[[#This Row],[Order ID]],Table1[],6,FALSE)</f>
        <v>Lucknow</v>
      </c>
    </row>
    <row r="297" spans="1:12" x14ac:dyDescent="0.25">
      <c r="A297" t="s">
        <v>235</v>
      </c>
      <c r="B297" s="4">
        <v>34</v>
      </c>
      <c r="C297" s="4">
        <v>-13</v>
      </c>
      <c r="D297" s="5">
        <f>tbl_details5[[#This Row],[Profit]]/tbl_details5[[#This Row],[Revenue]]</f>
        <v>-0.38235294117647056</v>
      </c>
      <c r="E297">
        <v>5</v>
      </c>
      <c r="F297" t="s">
        <v>885</v>
      </c>
      <c r="G297" t="s">
        <v>897</v>
      </c>
      <c r="H297" s="1">
        <f>VLOOKUP(tbl_details5[[#This Row],[Order ID]],Orders!A:F,2,FALSE)</f>
        <v>43275</v>
      </c>
      <c r="I297" s="1" t="str">
        <f>TEXT(tbl_details5[[#This Row],[Order Date]],"mmm-yy")</f>
        <v>Jun-18</v>
      </c>
      <c r="J297" t="str">
        <f>VLOOKUP(tbl_details5[[#This Row],[Order ID]],Table1[],4,FALSE)</f>
        <v>Kritika</v>
      </c>
      <c r="K297" t="str">
        <f>VLOOKUP(tbl_details5[[#This Row],[Order ID]],Table1[],5,FALSE)</f>
        <v>Uttar Pradesh</v>
      </c>
      <c r="L297" t="str">
        <f>VLOOKUP(tbl_details5[[#This Row],[Order ID]],Table1[],6,FALSE)</f>
        <v>Lucknow</v>
      </c>
    </row>
    <row r="298" spans="1:12" x14ac:dyDescent="0.25">
      <c r="A298" t="s">
        <v>235</v>
      </c>
      <c r="B298" s="4">
        <v>21</v>
      </c>
      <c r="C298" s="4">
        <v>-5</v>
      </c>
      <c r="D298" s="5">
        <f>tbl_details5[[#This Row],[Profit]]/tbl_details5[[#This Row],[Revenue]]</f>
        <v>-0.23809523809523808</v>
      </c>
      <c r="E298">
        <v>1</v>
      </c>
      <c r="F298" t="s">
        <v>888</v>
      </c>
      <c r="G298" t="s">
        <v>900</v>
      </c>
      <c r="H298" s="1">
        <f>VLOOKUP(tbl_details5[[#This Row],[Order ID]],Orders!A:F,2,FALSE)</f>
        <v>43275</v>
      </c>
      <c r="I298" s="1" t="str">
        <f>TEXT(tbl_details5[[#This Row],[Order Date]],"mmm-yy")</f>
        <v>Jun-18</v>
      </c>
      <c r="J298" t="str">
        <f>VLOOKUP(tbl_details5[[#This Row],[Order ID]],Table1[],4,FALSE)</f>
        <v>Kritika</v>
      </c>
      <c r="K298" t="str">
        <f>VLOOKUP(tbl_details5[[#This Row],[Order ID]],Table1[],5,FALSE)</f>
        <v>Uttar Pradesh</v>
      </c>
      <c r="L298" t="str">
        <f>VLOOKUP(tbl_details5[[#This Row],[Order ID]],Table1[],6,FALSE)</f>
        <v>Lucknow</v>
      </c>
    </row>
    <row r="299" spans="1:12" x14ac:dyDescent="0.25">
      <c r="A299" t="s">
        <v>237</v>
      </c>
      <c r="B299" s="4">
        <v>129</v>
      </c>
      <c r="C299" s="4">
        <v>-75</v>
      </c>
      <c r="D299" s="5">
        <f>tbl_details5[[#This Row],[Profit]]/tbl_details5[[#This Row],[Revenue]]</f>
        <v>-0.58139534883720934</v>
      </c>
      <c r="E299">
        <v>5</v>
      </c>
      <c r="F299" t="s">
        <v>885</v>
      </c>
      <c r="G299" t="s">
        <v>896</v>
      </c>
      <c r="H299" s="1">
        <f>VLOOKUP(tbl_details5[[#This Row],[Order ID]],Orders!A:F,2,FALSE)</f>
        <v>43276</v>
      </c>
      <c r="I299" s="1" t="str">
        <f>TEXT(tbl_details5[[#This Row],[Order Date]],"mmm-yy")</f>
        <v>Jun-18</v>
      </c>
      <c r="J299" t="str">
        <f>VLOOKUP(tbl_details5[[#This Row],[Order ID]],Table1[],4,FALSE)</f>
        <v>Shubhi</v>
      </c>
      <c r="K299" t="str">
        <f>VLOOKUP(tbl_details5[[#This Row],[Order ID]],Table1[],5,FALSE)</f>
        <v>Maharashtra</v>
      </c>
      <c r="L299" t="str">
        <f>VLOOKUP(tbl_details5[[#This Row],[Order ID]],Table1[],6,FALSE)</f>
        <v>Mumbai</v>
      </c>
    </row>
    <row r="300" spans="1:12" x14ac:dyDescent="0.25">
      <c r="A300" t="s">
        <v>237</v>
      </c>
      <c r="B300" s="4">
        <v>44</v>
      </c>
      <c r="C300" s="4">
        <v>-32</v>
      </c>
      <c r="D300" s="5">
        <f>tbl_details5[[#This Row],[Profit]]/tbl_details5[[#This Row],[Revenue]]</f>
        <v>-0.72727272727272729</v>
      </c>
      <c r="E300">
        <v>3</v>
      </c>
      <c r="F300" t="s">
        <v>885</v>
      </c>
      <c r="G300" t="s">
        <v>886</v>
      </c>
      <c r="H300" s="1">
        <f>VLOOKUP(tbl_details5[[#This Row],[Order ID]],Orders!A:F,2,FALSE)</f>
        <v>43276</v>
      </c>
      <c r="I300" s="1" t="str">
        <f>TEXT(tbl_details5[[#This Row],[Order Date]],"mmm-yy")</f>
        <v>Jun-18</v>
      </c>
      <c r="J300" t="str">
        <f>VLOOKUP(tbl_details5[[#This Row],[Order ID]],Table1[],4,FALSE)</f>
        <v>Shubhi</v>
      </c>
      <c r="K300" t="str">
        <f>VLOOKUP(tbl_details5[[#This Row],[Order ID]],Table1[],5,FALSE)</f>
        <v>Maharashtra</v>
      </c>
      <c r="L300" t="str">
        <f>VLOOKUP(tbl_details5[[#This Row],[Order ID]],Table1[],6,FALSE)</f>
        <v>Mumbai</v>
      </c>
    </row>
    <row r="301" spans="1:12" x14ac:dyDescent="0.25">
      <c r="A301" t="s">
        <v>237</v>
      </c>
      <c r="B301" s="4">
        <v>7</v>
      </c>
      <c r="C301" s="4">
        <v>-3</v>
      </c>
      <c r="D301" s="5">
        <f>tbl_details5[[#This Row],[Profit]]/tbl_details5[[#This Row],[Revenue]]</f>
        <v>-0.42857142857142855</v>
      </c>
      <c r="E301">
        <v>2</v>
      </c>
      <c r="F301" t="s">
        <v>885</v>
      </c>
      <c r="G301" t="s">
        <v>887</v>
      </c>
      <c r="H301" s="1">
        <f>VLOOKUP(tbl_details5[[#This Row],[Order ID]],Orders!A:F,2,FALSE)</f>
        <v>43276</v>
      </c>
      <c r="I301" s="1" t="str">
        <f>TEXT(tbl_details5[[#This Row],[Order Date]],"mmm-yy")</f>
        <v>Jun-18</v>
      </c>
      <c r="J301" t="str">
        <f>VLOOKUP(tbl_details5[[#This Row],[Order ID]],Table1[],4,FALSE)</f>
        <v>Shubhi</v>
      </c>
      <c r="K301" t="str">
        <f>VLOOKUP(tbl_details5[[#This Row],[Order ID]],Table1[],5,FALSE)</f>
        <v>Maharashtra</v>
      </c>
      <c r="L301" t="str">
        <f>VLOOKUP(tbl_details5[[#This Row],[Order ID]],Table1[],6,FALSE)</f>
        <v>Mumbai</v>
      </c>
    </row>
    <row r="302" spans="1:12" x14ac:dyDescent="0.25">
      <c r="A302" t="s">
        <v>239</v>
      </c>
      <c r="B302" s="4">
        <v>10</v>
      </c>
      <c r="C302" s="4">
        <v>-8</v>
      </c>
      <c r="D302" s="5">
        <f>tbl_details5[[#This Row],[Profit]]/tbl_details5[[#This Row],[Revenue]]</f>
        <v>-0.8</v>
      </c>
      <c r="E302">
        <v>2</v>
      </c>
      <c r="F302" t="s">
        <v>885</v>
      </c>
      <c r="G302" t="s">
        <v>902</v>
      </c>
      <c r="H302" s="1">
        <f>VLOOKUP(tbl_details5[[#This Row],[Order ID]],Orders!A:F,2,FALSE)</f>
        <v>43277</v>
      </c>
      <c r="I302" s="1" t="str">
        <f>TEXT(tbl_details5[[#This Row],[Order Date]],"mmm-yy")</f>
        <v>Jun-18</v>
      </c>
      <c r="J302" t="str">
        <f>VLOOKUP(tbl_details5[[#This Row],[Order ID]],Table1[],4,FALSE)</f>
        <v>Maithilee</v>
      </c>
      <c r="K302" t="str">
        <f>VLOOKUP(tbl_details5[[#This Row],[Order ID]],Table1[],5,FALSE)</f>
        <v>Madhya Pradesh</v>
      </c>
      <c r="L302" t="str">
        <f>VLOOKUP(tbl_details5[[#This Row],[Order ID]],Table1[],6,FALSE)</f>
        <v>Indore</v>
      </c>
    </row>
    <row r="303" spans="1:12" x14ac:dyDescent="0.25">
      <c r="A303" t="s">
        <v>239</v>
      </c>
      <c r="B303" s="4">
        <v>33</v>
      </c>
      <c r="C303" s="4">
        <v>-29</v>
      </c>
      <c r="D303" s="5">
        <f>tbl_details5[[#This Row],[Profit]]/tbl_details5[[#This Row],[Revenue]]</f>
        <v>-0.87878787878787878</v>
      </c>
      <c r="E303">
        <v>3</v>
      </c>
      <c r="F303" t="s">
        <v>885</v>
      </c>
      <c r="G303" t="s">
        <v>896</v>
      </c>
      <c r="H303" s="1">
        <f>VLOOKUP(tbl_details5[[#This Row],[Order ID]],Orders!A:F,2,FALSE)</f>
        <v>43277</v>
      </c>
      <c r="I303" s="1" t="str">
        <f>TEXT(tbl_details5[[#This Row],[Order Date]],"mmm-yy")</f>
        <v>Jun-18</v>
      </c>
      <c r="J303" t="str">
        <f>VLOOKUP(tbl_details5[[#This Row],[Order ID]],Table1[],4,FALSE)</f>
        <v>Maithilee</v>
      </c>
      <c r="K303" t="str">
        <f>VLOOKUP(tbl_details5[[#This Row],[Order ID]],Table1[],5,FALSE)</f>
        <v>Madhya Pradesh</v>
      </c>
      <c r="L303" t="str">
        <f>VLOOKUP(tbl_details5[[#This Row],[Order ID]],Table1[],6,FALSE)</f>
        <v>Indore</v>
      </c>
    </row>
    <row r="304" spans="1:12" x14ac:dyDescent="0.25">
      <c r="A304" t="s">
        <v>239</v>
      </c>
      <c r="B304" s="4">
        <v>98</v>
      </c>
      <c r="C304" s="4">
        <v>-45</v>
      </c>
      <c r="D304" s="5">
        <f>tbl_details5[[#This Row],[Profit]]/tbl_details5[[#This Row],[Revenue]]</f>
        <v>-0.45918367346938777</v>
      </c>
      <c r="E304">
        <v>2</v>
      </c>
      <c r="F304" t="s">
        <v>883</v>
      </c>
      <c r="G304" t="s">
        <v>893</v>
      </c>
      <c r="H304" s="1">
        <f>VLOOKUP(tbl_details5[[#This Row],[Order ID]],Orders!A:F,2,FALSE)</f>
        <v>43277</v>
      </c>
      <c r="I304" s="1" t="str">
        <f>TEXT(tbl_details5[[#This Row],[Order Date]],"mmm-yy")</f>
        <v>Jun-18</v>
      </c>
      <c r="J304" t="str">
        <f>VLOOKUP(tbl_details5[[#This Row],[Order ID]],Table1[],4,FALSE)</f>
        <v>Maithilee</v>
      </c>
      <c r="K304" t="str">
        <f>VLOOKUP(tbl_details5[[#This Row],[Order ID]],Table1[],5,FALSE)</f>
        <v>Madhya Pradesh</v>
      </c>
      <c r="L304" t="str">
        <f>VLOOKUP(tbl_details5[[#This Row],[Order ID]],Table1[],6,FALSE)</f>
        <v>Indore</v>
      </c>
    </row>
    <row r="305" spans="1:12" x14ac:dyDescent="0.25">
      <c r="A305" t="s">
        <v>239</v>
      </c>
      <c r="B305" s="4">
        <v>33</v>
      </c>
      <c r="C305" s="4">
        <v>-12</v>
      </c>
      <c r="D305" s="5">
        <f>tbl_details5[[#This Row],[Profit]]/tbl_details5[[#This Row],[Revenue]]</f>
        <v>-0.36363636363636365</v>
      </c>
      <c r="E305">
        <v>5</v>
      </c>
      <c r="F305" t="s">
        <v>885</v>
      </c>
      <c r="G305" t="s">
        <v>887</v>
      </c>
      <c r="H305" s="1">
        <f>VLOOKUP(tbl_details5[[#This Row],[Order ID]],Orders!A:F,2,FALSE)</f>
        <v>43277</v>
      </c>
      <c r="I305" s="1" t="str">
        <f>TEXT(tbl_details5[[#This Row],[Order Date]],"mmm-yy")</f>
        <v>Jun-18</v>
      </c>
      <c r="J305" t="str">
        <f>VLOOKUP(tbl_details5[[#This Row],[Order ID]],Table1[],4,FALSE)</f>
        <v>Maithilee</v>
      </c>
      <c r="K305" t="str">
        <f>VLOOKUP(tbl_details5[[#This Row],[Order ID]],Table1[],5,FALSE)</f>
        <v>Madhya Pradesh</v>
      </c>
      <c r="L305" t="str">
        <f>VLOOKUP(tbl_details5[[#This Row],[Order ID]],Table1[],6,FALSE)</f>
        <v>Indore</v>
      </c>
    </row>
    <row r="306" spans="1:12" x14ac:dyDescent="0.25">
      <c r="A306" t="s">
        <v>241</v>
      </c>
      <c r="B306" s="4">
        <v>75</v>
      </c>
      <c r="C306" s="4">
        <v>0</v>
      </c>
      <c r="D306" s="5">
        <f>tbl_details5[[#This Row],[Profit]]/tbl_details5[[#This Row],[Revenue]]</f>
        <v>0</v>
      </c>
      <c r="E306">
        <v>3</v>
      </c>
      <c r="F306" t="s">
        <v>885</v>
      </c>
      <c r="G306" t="s">
        <v>896</v>
      </c>
      <c r="H306" s="1">
        <f>VLOOKUP(tbl_details5[[#This Row],[Order ID]],Orders!A:F,2,FALSE)</f>
        <v>43278</v>
      </c>
      <c r="I306" s="1" t="str">
        <f>TEXT(tbl_details5[[#This Row],[Order Date]],"mmm-yy")</f>
        <v>Jun-18</v>
      </c>
      <c r="J306" t="str">
        <f>VLOOKUP(tbl_details5[[#This Row],[Order ID]],Table1[],4,FALSE)</f>
        <v>Shaily</v>
      </c>
      <c r="K306" t="str">
        <f>VLOOKUP(tbl_details5[[#This Row],[Order ID]],Table1[],5,FALSE)</f>
        <v>Maharashtra</v>
      </c>
      <c r="L306" t="str">
        <f>VLOOKUP(tbl_details5[[#This Row],[Order ID]],Table1[],6,FALSE)</f>
        <v>Mumbai</v>
      </c>
    </row>
    <row r="307" spans="1:12" x14ac:dyDescent="0.25">
      <c r="A307" t="s">
        <v>241</v>
      </c>
      <c r="B307" s="4">
        <v>424</v>
      </c>
      <c r="C307" s="4">
        <v>-17</v>
      </c>
      <c r="D307" s="5">
        <f>tbl_details5[[#This Row],[Profit]]/tbl_details5[[#This Row],[Revenue]]</f>
        <v>-4.0094339622641507E-2</v>
      </c>
      <c r="E307">
        <v>9</v>
      </c>
      <c r="F307" t="s">
        <v>883</v>
      </c>
      <c r="G307" t="s">
        <v>893</v>
      </c>
      <c r="H307" s="1">
        <f>VLOOKUP(tbl_details5[[#This Row],[Order ID]],Orders!A:F,2,FALSE)</f>
        <v>43278</v>
      </c>
      <c r="I307" s="1" t="str">
        <f>TEXT(tbl_details5[[#This Row],[Order Date]],"mmm-yy")</f>
        <v>Jun-18</v>
      </c>
      <c r="J307" t="str">
        <f>VLOOKUP(tbl_details5[[#This Row],[Order ID]],Table1[],4,FALSE)</f>
        <v>Shaily</v>
      </c>
      <c r="K307" t="str">
        <f>VLOOKUP(tbl_details5[[#This Row],[Order ID]],Table1[],5,FALSE)</f>
        <v>Maharashtra</v>
      </c>
      <c r="L307" t="str">
        <f>VLOOKUP(tbl_details5[[#This Row],[Order ID]],Table1[],6,FALSE)</f>
        <v>Mumbai</v>
      </c>
    </row>
    <row r="308" spans="1:12" x14ac:dyDescent="0.25">
      <c r="A308" t="s">
        <v>241</v>
      </c>
      <c r="B308" s="4">
        <v>31</v>
      </c>
      <c r="C308" s="4">
        <v>-3</v>
      </c>
      <c r="D308" s="5">
        <f>tbl_details5[[#This Row],[Profit]]/tbl_details5[[#This Row],[Revenue]]</f>
        <v>-9.6774193548387094E-2</v>
      </c>
      <c r="E308">
        <v>4</v>
      </c>
      <c r="F308" t="s">
        <v>885</v>
      </c>
      <c r="G308" t="s">
        <v>891</v>
      </c>
      <c r="H308" s="1">
        <f>VLOOKUP(tbl_details5[[#This Row],[Order ID]],Orders!A:F,2,FALSE)</f>
        <v>43278</v>
      </c>
      <c r="I308" s="1" t="str">
        <f>TEXT(tbl_details5[[#This Row],[Order Date]],"mmm-yy")</f>
        <v>Jun-18</v>
      </c>
      <c r="J308" t="str">
        <f>VLOOKUP(tbl_details5[[#This Row],[Order ID]],Table1[],4,FALSE)</f>
        <v>Shaily</v>
      </c>
      <c r="K308" t="str">
        <f>VLOOKUP(tbl_details5[[#This Row],[Order ID]],Table1[],5,FALSE)</f>
        <v>Maharashtra</v>
      </c>
      <c r="L308" t="str">
        <f>VLOOKUP(tbl_details5[[#This Row],[Order ID]],Table1[],6,FALSE)</f>
        <v>Mumbai</v>
      </c>
    </row>
    <row r="309" spans="1:12" x14ac:dyDescent="0.25">
      <c r="A309" t="s">
        <v>241</v>
      </c>
      <c r="B309" s="4">
        <v>941</v>
      </c>
      <c r="C309" s="4">
        <v>-203</v>
      </c>
      <c r="D309" s="5">
        <f>tbl_details5[[#This Row],[Profit]]/tbl_details5[[#This Row],[Revenue]]</f>
        <v>-0.21572794899043571</v>
      </c>
      <c r="E309">
        <v>3</v>
      </c>
      <c r="F309" t="s">
        <v>883</v>
      </c>
      <c r="G309" t="s">
        <v>898</v>
      </c>
      <c r="H309" s="1">
        <f>VLOOKUP(tbl_details5[[#This Row],[Order ID]],Orders!A:F,2,FALSE)</f>
        <v>43278</v>
      </c>
      <c r="I309" s="1" t="str">
        <f>TEXT(tbl_details5[[#This Row],[Order Date]],"mmm-yy")</f>
        <v>Jun-18</v>
      </c>
      <c r="J309" t="str">
        <f>VLOOKUP(tbl_details5[[#This Row],[Order ID]],Table1[],4,FALSE)</f>
        <v>Shaily</v>
      </c>
      <c r="K309" t="str">
        <f>VLOOKUP(tbl_details5[[#This Row],[Order ID]],Table1[],5,FALSE)</f>
        <v>Maharashtra</v>
      </c>
      <c r="L309" t="str">
        <f>VLOOKUP(tbl_details5[[#This Row],[Order ID]],Table1[],6,FALSE)</f>
        <v>Mumbai</v>
      </c>
    </row>
    <row r="310" spans="1:12" x14ac:dyDescent="0.25">
      <c r="A310" t="s">
        <v>241</v>
      </c>
      <c r="B310" s="4">
        <v>306</v>
      </c>
      <c r="C310" s="4">
        <v>-147</v>
      </c>
      <c r="D310" s="5">
        <f>tbl_details5[[#This Row],[Profit]]/tbl_details5[[#This Row],[Revenue]]</f>
        <v>-0.48039215686274511</v>
      </c>
      <c r="E310">
        <v>3</v>
      </c>
      <c r="F310" t="s">
        <v>885</v>
      </c>
      <c r="G310" t="s">
        <v>891</v>
      </c>
      <c r="H310" s="1">
        <f>VLOOKUP(tbl_details5[[#This Row],[Order ID]],Orders!A:F,2,FALSE)</f>
        <v>43278</v>
      </c>
      <c r="I310" s="1" t="str">
        <f>TEXT(tbl_details5[[#This Row],[Order Date]],"mmm-yy")</f>
        <v>Jun-18</v>
      </c>
      <c r="J310" t="str">
        <f>VLOOKUP(tbl_details5[[#This Row],[Order ID]],Table1[],4,FALSE)</f>
        <v>Shaily</v>
      </c>
      <c r="K310" t="str">
        <f>VLOOKUP(tbl_details5[[#This Row],[Order ID]],Table1[],5,FALSE)</f>
        <v>Maharashtra</v>
      </c>
      <c r="L310" t="str">
        <f>VLOOKUP(tbl_details5[[#This Row],[Order ID]],Table1[],6,FALSE)</f>
        <v>Mumbai</v>
      </c>
    </row>
    <row r="311" spans="1:12" x14ac:dyDescent="0.25">
      <c r="A311" t="s">
        <v>243</v>
      </c>
      <c r="B311" s="4">
        <v>42</v>
      </c>
      <c r="C311" s="4">
        <v>-23</v>
      </c>
      <c r="D311" s="5">
        <f>tbl_details5[[#This Row],[Profit]]/tbl_details5[[#This Row],[Revenue]]</f>
        <v>-0.54761904761904767</v>
      </c>
      <c r="E311">
        <v>2</v>
      </c>
      <c r="F311" t="s">
        <v>883</v>
      </c>
      <c r="G311" t="s">
        <v>901</v>
      </c>
      <c r="H311" s="1">
        <f>VLOOKUP(tbl_details5[[#This Row],[Order ID]],Orders!A:F,2,FALSE)</f>
        <v>43279</v>
      </c>
      <c r="I311" s="1" t="str">
        <f>TEXT(tbl_details5[[#This Row],[Order Date]],"mmm-yy")</f>
        <v>Jun-18</v>
      </c>
      <c r="J311" t="str">
        <f>VLOOKUP(tbl_details5[[#This Row],[Order ID]],Table1[],4,FALSE)</f>
        <v>Ekta</v>
      </c>
      <c r="K311" t="str">
        <f>VLOOKUP(tbl_details5[[#This Row],[Order ID]],Table1[],5,FALSE)</f>
        <v>Madhya Pradesh</v>
      </c>
      <c r="L311" t="str">
        <f>VLOOKUP(tbl_details5[[#This Row],[Order ID]],Table1[],6,FALSE)</f>
        <v>Indore</v>
      </c>
    </row>
    <row r="312" spans="1:12" x14ac:dyDescent="0.25">
      <c r="A312" t="s">
        <v>243</v>
      </c>
      <c r="B312" s="4">
        <v>17</v>
      </c>
      <c r="C312" s="4">
        <v>-3</v>
      </c>
      <c r="D312" s="5">
        <f>tbl_details5[[#This Row],[Profit]]/tbl_details5[[#This Row],[Revenue]]</f>
        <v>-0.17647058823529413</v>
      </c>
      <c r="E312">
        <v>2</v>
      </c>
      <c r="F312" t="s">
        <v>885</v>
      </c>
      <c r="G312" t="s">
        <v>886</v>
      </c>
      <c r="H312" s="1">
        <f>VLOOKUP(tbl_details5[[#This Row],[Order ID]],Orders!A:F,2,FALSE)</f>
        <v>43279</v>
      </c>
      <c r="I312" s="1" t="str">
        <f>TEXT(tbl_details5[[#This Row],[Order Date]],"mmm-yy")</f>
        <v>Jun-18</v>
      </c>
      <c r="J312" t="str">
        <f>VLOOKUP(tbl_details5[[#This Row],[Order ID]],Table1[],4,FALSE)</f>
        <v>Ekta</v>
      </c>
      <c r="K312" t="str">
        <f>VLOOKUP(tbl_details5[[#This Row],[Order ID]],Table1[],5,FALSE)</f>
        <v>Madhya Pradesh</v>
      </c>
      <c r="L312" t="str">
        <f>VLOOKUP(tbl_details5[[#This Row],[Order ID]],Table1[],6,FALSE)</f>
        <v>Indore</v>
      </c>
    </row>
    <row r="313" spans="1:12" x14ac:dyDescent="0.25">
      <c r="A313" t="s">
        <v>243</v>
      </c>
      <c r="B313" s="4">
        <v>32</v>
      </c>
      <c r="C313" s="4">
        <v>-5</v>
      </c>
      <c r="D313" s="5">
        <f>tbl_details5[[#This Row],[Profit]]/tbl_details5[[#This Row],[Revenue]]</f>
        <v>-0.15625</v>
      </c>
      <c r="E313">
        <v>5</v>
      </c>
      <c r="F313" t="s">
        <v>885</v>
      </c>
      <c r="G313" t="s">
        <v>887</v>
      </c>
      <c r="H313" s="1">
        <f>VLOOKUP(tbl_details5[[#This Row],[Order ID]],Orders!A:F,2,FALSE)</f>
        <v>43279</v>
      </c>
      <c r="I313" s="1" t="str">
        <f>TEXT(tbl_details5[[#This Row],[Order Date]],"mmm-yy")</f>
        <v>Jun-18</v>
      </c>
      <c r="J313" t="str">
        <f>VLOOKUP(tbl_details5[[#This Row],[Order ID]],Table1[],4,FALSE)</f>
        <v>Ekta</v>
      </c>
      <c r="K313" t="str">
        <f>VLOOKUP(tbl_details5[[#This Row],[Order ID]],Table1[],5,FALSE)</f>
        <v>Madhya Pradesh</v>
      </c>
      <c r="L313" t="str">
        <f>VLOOKUP(tbl_details5[[#This Row],[Order ID]],Table1[],6,FALSE)</f>
        <v>Indore</v>
      </c>
    </row>
    <row r="314" spans="1:12" x14ac:dyDescent="0.25">
      <c r="A314" t="s">
        <v>243</v>
      </c>
      <c r="B314" s="4">
        <v>231</v>
      </c>
      <c r="C314" s="4">
        <v>-190</v>
      </c>
      <c r="D314" s="5">
        <f>tbl_details5[[#This Row],[Profit]]/tbl_details5[[#This Row],[Revenue]]</f>
        <v>-0.82251082251082253</v>
      </c>
      <c r="E314">
        <v>9</v>
      </c>
      <c r="F314" t="s">
        <v>885</v>
      </c>
      <c r="G314" t="s">
        <v>887</v>
      </c>
      <c r="H314" s="1">
        <f>VLOOKUP(tbl_details5[[#This Row],[Order ID]],Orders!A:F,2,FALSE)</f>
        <v>43279</v>
      </c>
      <c r="I314" s="1" t="str">
        <f>TEXT(tbl_details5[[#This Row],[Order Date]],"mmm-yy")</f>
        <v>Jun-18</v>
      </c>
      <c r="J314" t="str">
        <f>VLOOKUP(tbl_details5[[#This Row],[Order ID]],Table1[],4,FALSE)</f>
        <v>Ekta</v>
      </c>
      <c r="K314" t="str">
        <f>VLOOKUP(tbl_details5[[#This Row],[Order ID]],Table1[],5,FALSE)</f>
        <v>Madhya Pradesh</v>
      </c>
      <c r="L314" t="str">
        <f>VLOOKUP(tbl_details5[[#This Row],[Order ID]],Table1[],6,FALSE)</f>
        <v>Indore</v>
      </c>
    </row>
    <row r="315" spans="1:12" x14ac:dyDescent="0.25">
      <c r="A315" t="s">
        <v>243</v>
      </c>
      <c r="B315" s="4">
        <v>22</v>
      </c>
      <c r="C315" s="4">
        <v>-15</v>
      </c>
      <c r="D315" s="5">
        <f>tbl_details5[[#This Row],[Profit]]/tbl_details5[[#This Row],[Revenue]]</f>
        <v>-0.68181818181818177</v>
      </c>
      <c r="E315">
        <v>4</v>
      </c>
      <c r="F315" t="s">
        <v>885</v>
      </c>
      <c r="G315" t="s">
        <v>894</v>
      </c>
      <c r="H315" s="1">
        <f>VLOOKUP(tbl_details5[[#This Row],[Order ID]],Orders!A:F,2,FALSE)</f>
        <v>43279</v>
      </c>
      <c r="I315" s="1" t="str">
        <f>TEXT(tbl_details5[[#This Row],[Order Date]],"mmm-yy")</f>
        <v>Jun-18</v>
      </c>
      <c r="J315" t="str">
        <f>VLOOKUP(tbl_details5[[#This Row],[Order ID]],Table1[],4,FALSE)</f>
        <v>Ekta</v>
      </c>
      <c r="K315" t="str">
        <f>VLOOKUP(tbl_details5[[#This Row],[Order ID]],Table1[],5,FALSE)</f>
        <v>Madhya Pradesh</v>
      </c>
      <c r="L315" t="str">
        <f>VLOOKUP(tbl_details5[[#This Row],[Order ID]],Table1[],6,FALSE)</f>
        <v>Indore</v>
      </c>
    </row>
    <row r="316" spans="1:12" x14ac:dyDescent="0.25">
      <c r="A316" t="s">
        <v>243</v>
      </c>
      <c r="B316" s="4">
        <v>97</v>
      </c>
      <c r="C316" s="4">
        <v>-45</v>
      </c>
      <c r="D316" s="5">
        <f>tbl_details5[[#This Row],[Profit]]/tbl_details5[[#This Row],[Revenue]]</f>
        <v>-0.46391752577319589</v>
      </c>
      <c r="E316">
        <v>4</v>
      </c>
      <c r="F316" t="s">
        <v>885</v>
      </c>
      <c r="G316" t="s">
        <v>891</v>
      </c>
      <c r="H316" s="1">
        <f>VLOOKUP(tbl_details5[[#This Row],[Order ID]],Orders!A:F,2,FALSE)</f>
        <v>43279</v>
      </c>
      <c r="I316" s="1" t="str">
        <f>TEXT(tbl_details5[[#This Row],[Order Date]],"mmm-yy")</f>
        <v>Jun-18</v>
      </c>
      <c r="J316" t="str">
        <f>VLOOKUP(tbl_details5[[#This Row],[Order ID]],Table1[],4,FALSE)</f>
        <v>Ekta</v>
      </c>
      <c r="K316" t="str">
        <f>VLOOKUP(tbl_details5[[#This Row],[Order ID]],Table1[],5,FALSE)</f>
        <v>Madhya Pradesh</v>
      </c>
      <c r="L316" t="str">
        <f>VLOOKUP(tbl_details5[[#This Row],[Order ID]],Table1[],6,FALSE)</f>
        <v>Indore</v>
      </c>
    </row>
    <row r="317" spans="1:12" x14ac:dyDescent="0.25">
      <c r="A317" t="s">
        <v>243</v>
      </c>
      <c r="B317" s="4">
        <v>47</v>
      </c>
      <c r="C317" s="4">
        <v>-27</v>
      </c>
      <c r="D317" s="5">
        <f>tbl_details5[[#This Row],[Profit]]/tbl_details5[[#This Row],[Revenue]]</f>
        <v>-0.57446808510638303</v>
      </c>
      <c r="E317">
        <v>4</v>
      </c>
      <c r="F317" t="s">
        <v>885</v>
      </c>
      <c r="G317" t="s">
        <v>891</v>
      </c>
      <c r="H317" s="1">
        <f>VLOOKUP(tbl_details5[[#This Row],[Order ID]],Orders!A:F,2,FALSE)</f>
        <v>43279</v>
      </c>
      <c r="I317" s="1" t="str">
        <f>TEXT(tbl_details5[[#This Row],[Order Date]],"mmm-yy")</f>
        <v>Jun-18</v>
      </c>
      <c r="J317" t="str">
        <f>VLOOKUP(tbl_details5[[#This Row],[Order ID]],Table1[],4,FALSE)</f>
        <v>Ekta</v>
      </c>
      <c r="K317" t="str">
        <f>VLOOKUP(tbl_details5[[#This Row],[Order ID]],Table1[],5,FALSE)</f>
        <v>Madhya Pradesh</v>
      </c>
      <c r="L317" t="str">
        <f>VLOOKUP(tbl_details5[[#This Row],[Order ID]],Table1[],6,FALSE)</f>
        <v>Indore</v>
      </c>
    </row>
    <row r="318" spans="1:12" x14ac:dyDescent="0.25">
      <c r="A318" t="s">
        <v>243</v>
      </c>
      <c r="B318" s="4">
        <v>186</v>
      </c>
      <c r="C318" s="4">
        <v>-141</v>
      </c>
      <c r="D318" s="5">
        <f>tbl_details5[[#This Row],[Profit]]/tbl_details5[[#This Row],[Revenue]]</f>
        <v>-0.75806451612903225</v>
      </c>
      <c r="E318">
        <v>9</v>
      </c>
      <c r="F318" t="s">
        <v>885</v>
      </c>
      <c r="G318" t="s">
        <v>896</v>
      </c>
      <c r="H318" s="1">
        <f>VLOOKUP(tbl_details5[[#This Row],[Order ID]],Orders!A:F,2,FALSE)</f>
        <v>43279</v>
      </c>
      <c r="I318" s="1" t="str">
        <f>TEXT(tbl_details5[[#This Row],[Order Date]],"mmm-yy")</f>
        <v>Jun-18</v>
      </c>
      <c r="J318" t="str">
        <f>VLOOKUP(tbl_details5[[#This Row],[Order ID]],Table1[],4,FALSE)</f>
        <v>Ekta</v>
      </c>
      <c r="K318" t="str">
        <f>VLOOKUP(tbl_details5[[#This Row],[Order ID]],Table1[],5,FALSE)</f>
        <v>Madhya Pradesh</v>
      </c>
      <c r="L318" t="str">
        <f>VLOOKUP(tbl_details5[[#This Row],[Order ID]],Table1[],6,FALSE)</f>
        <v>Indore</v>
      </c>
    </row>
    <row r="319" spans="1:12" x14ac:dyDescent="0.25">
      <c r="A319" t="s">
        <v>244</v>
      </c>
      <c r="B319" s="4">
        <v>126</v>
      </c>
      <c r="C319" s="4">
        <v>-63</v>
      </c>
      <c r="D319" s="5">
        <f>tbl_details5[[#This Row],[Profit]]/tbl_details5[[#This Row],[Revenue]]</f>
        <v>-0.5</v>
      </c>
      <c r="E319">
        <v>3</v>
      </c>
      <c r="F319" t="s">
        <v>888</v>
      </c>
      <c r="G319" t="s">
        <v>900</v>
      </c>
      <c r="H319" s="1">
        <f>VLOOKUP(tbl_details5[[#This Row],[Order ID]],Orders!A:F,2,FALSE)</f>
        <v>43280</v>
      </c>
      <c r="I319" s="1" t="str">
        <f>TEXT(tbl_details5[[#This Row],[Order Date]],"mmm-yy")</f>
        <v>Jun-18</v>
      </c>
      <c r="J319" t="str">
        <f>VLOOKUP(tbl_details5[[#This Row],[Order ID]],Table1[],4,FALSE)</f>
        <v>Riya</v>
      </c>
      <c r="K319" t="str">
        <f>VLOOKUP(tbl_details5[[#This Row],[Order ID]],Table1[],5,FALSE)</f>
        <v>Maharashtra</v>
      </c>
      <c r="L319" t="str">
        <f>VLOOKUP(tbl_details5[[#This Row],[Order ID]],Table1[],6,FALSE)</f>
        <v>Mumbai</v>
      </c>
    </row>
    <row r="320" spans="1:12" x14ac:dyDescent="0.25">
      <c r="A320" t="s">
        <v>244</v>
      </c>
      <c r="B320" s="4">
        <v>102</v>
      </c>
      <c r="C320" s="4">
        <v>0</v>
      </c>
      <c r="D320" s="5">
        <f>tbl_details5[[#This Row],[Profit]]/tbl_details5[[#This Row],[Revenue]]</f>
        <v>0</v>
      </c>
      <c r="E320">
        <v>3</v>
      </c>
      <c r="F320" t="s">
        <v>888</v>
      </c>
      <c r="G320" t="s">
        <v>890</v>
      </c>
      <c r="H320" s="1">
        <f>VLOOKUP(tbl_details5[[#This Row],[Order ID]],Orders!A:F,2,FALSE)</f>
        <v>43280</v>
      </c>
      <c r="I320" s="1" t="str">
        <f>TEXT(tbl_details5[[#This Row],[Order Date]],"mmm-yy")</f>
        <v>Jun-18</v>
      </c>
      <c r="J320" t="str">
        <f>VLOOKUP(tbl_details5[[#This Row],[Order ID]],Table1[],4,FALSE)</f>
        <v>Riya</v>
      </c>
      <c r="K320" t="str">
        <f>VLOOKUP(tbl_details5[[#This Row],[Order ID]],Table1[],5,FALSE)</f>
        <v>Maharashtra</v>
      </c>
      <c r="L320" t="str">
        <f>VLOOKUP(tbl_details5[[#This Row],[Order ID]],Table1[],6,FALSE)</f>
        <v>Mumbai</v>
      </c>
    </row>
    <row r="321" spans="1:12" x14ac:dyDescent="0.25">
      <c r="A321" t="s">
        <v>246</v>
      </c>
      <c r="B321" s="4">
        <v>46</v>
      </c>
      <c r="C321" s="4">
        <v>0</v>
      </c>
      <c r="D321" s="5">
        <f>tbl_details5[[#This Row],[Profit]]/tbl_details5[[#This Row],[Revenue]]</f>
        <v>0</v>
      </c>
      <c r="E321">
        <v>2</v>
      </c>
      <c r="F321" t="s">
        <v>888</v>
      </c>
      <c r="G321" t="s">
        <v>889</v>
      </c>
      <c r="H321" s="1">
        <f>VLOOKUP(tbl_details5[[#This Row],[Order ID]],Orders!A:F,2,FALSE)</f>
        <v>43281</v>
      </c>
      <c r="I321" s="1" t="str">
        <f>TEXT(tbl_details5[[#This Row],[Order Date]],"mmm-yy")</f>
        <v>Jun-18</v>
      </c>
      <c r="J321" t="str">
        <f>VLOOKUP(tbl_details5[[#This Row],[Order ID]],Table1[],4,FALSE)</f>
        <v>Shweta</v>
      </c>
      <c r="K321" t="str">
        <f>VLOOKUP(tbl_details5[[#This Row],[Order ID]],Table1[],5,FALSE)</f>
        <v>Madhya Pradesh</v>
      </c>
      <c r="L321" t="str">
        <f>VLOOKUP(tbl_details5[[#This Row],[Order ID]],Table1[],6,FALSE)</f>
        <v>Indore</v>
      </c>
    </row>
    <row r="322" spans="1:12" x14ac:dyDescent="0.25">
      <c r="A322" t="s">
        <v>248</v>
      </c>
      <c r="B322" s="4">
        <v>31</v>
      </c>
      <c r="C322" s="4">
        <v>-11</v>
      </c>
      <c r="D322" s="5">
        <f>tbl_details5[[#This Row],[Profit]]/tbl_details5[[#This Row],[Revenue]]</f>
        <v>-0.35483870967741937</v>
      </c>
      <c r="E322">
        <v>4</v>
      </c>
      <c r="F322" t="s">
        <v>885</v>
      </c>
      <c r="G322" t="s">
        <v>886</v>
      </c>
      <c r="H322" s="1">
        <f>VLOOKUP(tbl_details5[[#This Row],[Order ID]],Orders!A:F,2,FALSE)</f>
        <v>43282</v>
      </c>
      <c r="I322" s="1" t="str">
        <f>TEXT(tbl_details5[[#This Row],[Order Date]],"mmm-yy")</f>
        <v>Jul-18</v>
      </c>
      <c r="J322" t="str">
        <f>VLOOKUP(tbl_details5[[#This Row],[Order ID]],Table1[],4,FALSE)</f>
        <v>Swetlana</v>
      </c>
      <c r="K322" t="str">
        <f>VLOOKUP(tbl_details5[[#This Row],[Order ID]],Table1[],5,FALSE)</f>
        <v>Goa</v>
      </c>
      <c r="L322" t="str">
        <f>VLOOKUP(tbl_details5[[#This Row],[Order ID]],Table1[],6,FALSE)</f>
        <v>Goa</v>
      </c>
    </row>
    <row r="323" spans="1:12" x14ac:dyDescent="0.25">
      <c r="A323" t="s">
        <v>250</v>
      </c>
      <c r="B323" s="4">
        <v>8</v>
      </c>
      <c r="C323" s="4">
        <v>-6</v>
      </c>
      <c r="D323" s="5">
        <f>tbl_details5[[#This Row],[Profit]]/tbl_details5[[#This Row],[Revenue]]</f>
        <v>-0.75</v>
      </c>
      <c r="E323">
        <v>1</v>
      </c>
      <c r="F323" t="s">
        <v>885</v>
      </c>
      <c r="G323" t="s">
        <v>886</v>
      </c>
      <c r="H323" s="1">
        <f>VLOOKUP(tbl_details5[[#This Row],[Order ID]],Orders!A:F,2,FALSE)</f>
        <v>43282</v>
      </c>
      <c r="I323" s="1" t="str">
        <f>TEXT(tbl_details5[[#This Row],[Order Date]],"mmm-yy")</f>
        <v>Jul-18</v>
      </c>
      <c r="J323" t="str">
        <f>VLOOKUP(tbl_details5[[#This Row],[Order ID]],Table1[],4,FALSE)</f>
        <v>Shivani</v>
      </c>
      <c r="K323" t="str">
        <f>VLOOKUP(tbl_details5[[#This Row],[Order ID]],Table1[],5,FALSE)</f>
        <v>Maharashtra</v>
      </c>
      <c r="L323" t="str">
        <f>VLOOKUP(tbl_details5[[#This Row],[Order ID]],Table1[],6,FALSE)</f>
        <v>Mumbai</v>
      </c>
    </row>
    <row r="324" spans="1:12" x14ac:dyDescent="0.25">
      <c r="A324" t="s">
        <v>252</v>
      </c>
      <c r="B324" s="4">
        <v>191</v>
      </c>
      <c r="C324" s="4">
        <v>13</v>
      </c>
      <c r="D324" s="5">
        <f>tbl_details5[[#This Row],[Profit]]/tbl_details5[[#This Row],[Revenue]]</f>
        <v>6.8062827225130892E-2</v>
      </c>
      <c r="E324">
        <v>8</v>
      </c>
      <c r="F324" t="s">
        <v>883</v>
      </c>
      <c r="G324" t="s">
        <v>901</v>
      </c>
      <c r="H324" s="1">
        <f>VLOOKUP(tbl_details5[[#This Row],[Order ID]],Orders!A:F,2,FALSE)</f>
        <v>43282</v>
      </c>
      <c r="I324" s="1" t="str">
        <f>TEXT(tbl_details5[[#This Row],[Order Date]],"mmm-yy")</f>
        <v>Jul-18</v>
      </c>
      <c r="J324" t="str">
        <f>VLOOKUP(tbl_details5[[#This Row],[Order ID]],Table1[],4,FALSE)</f>
        <v>Kishwar</v>
      </c>
      <c r="K324" t="str">
        <f>VLOOKUP(tbl_details5[[#This Row],[Order ID]],Table1[],5,FALSE)</f>
        <v>Madhya Pradesh</v>
      </c>
      <c r="L324" t="str">
        <f>VLOOKUP(tbl_details5[[#This Row],[Order ID]],Table1[],6,FALSE)</f>
        <v>Indore</v>
      </c>
    </row>
    <row r="325" spans="1:12" x14ac:dyDescent="0.25">
      <c r="A325" t="s">
        <v>252</v>
      </c>
      <c r="B325" s="4">
        <v>709</v>
      </c>
      <c r="C325" s="4">
        <v>-100</v>
      </c>
      <c r="D325" s="5">
        <f>tbl_details5[[#This Row],[Profit]]/tbl_details5[[#This Row],[Revenue]]</f>
        <v>-0.14104372355430184</v>
      </c>
      <c r="E325">
        <v>5</v>
      </c>
      <c r="F325" t="s">
        <v>888</v>
      </c>
      <c r="G325" t="s">
        <v>890</v>
      </c>
      <c r="H325" s="1">
        <f>VLOOKUP(tbl_details5[[#This Row],[Order ID]],Orders!A:F,2,FALSE)</f>
        <v>43282</v>
      </c>
      <c r="I325" s="1" t="str">
        <f>TEXT(tbl_details5[[#This Row],[Order Date]],"mmm-yy")</f>
        <v>Jul-18</v>
      </c>
      <c r="J325" t="str">
        <f>VLOOKUP(tbl_details5[[#This Row],[Order ID]],Table1[],4,FALSE)</f>
        <v>Kishwar</v>
      </c>
      <c r="K325" t="str">
        <f>VLOOKUP(tbl_details5[[#This Row],[Order ID]],Table1[],5,FALSE)</f>
        <v>Madhya Pradesh</v>
      </c>
      <c r="L325" t="str">
        <f>VLOOKUP(tbl_details5[[#This Row],[Order ID]],Table1[],6,FALSE)</f>
        <v>Indore</v>
      </c>
    </row>
    <row r="326" spans="1:12" x14ac:dyDescent="0.25">
      <c r="A326" t="s">
        <v>252</v>
      </c>
      <c r="B326" s="4">
        <v>81</v>
      </c>
      <c r="C326" s="4">
        <v>-51</v>
      </c>
      <c r="D326" s="5">
        <f>tbl_details5[[#This Row],[Profit]]/tbl_details5[[#This Row],[Revenue]]</f>
        <v>-0.62962962962962965</v>
      </c>
      <c r="E326">
        <v>7</v>
      </c>
      <c r="F326" t="s">
        <v>885</v>
      </c>
      <c r="G326" t="s">
        <v>886</v>
      </c>
      <c r="H326" s="1">
        <f>VLOOKUP(tbl_details5[[#This Row],[Order ID]],Orders!A:F,2,FALSE)</f>
        <v>43282</v>
      </c>
      <c r="I326" s="1" t="str">
        <f>TEXT(tbl_details5[[#This Row],[Order Date]],"mmm-yy")</f>
        <v>Jul-18</v>
      </c>
      <c r="J326" t="str">
        <f>VLOOKUP(tbl_details5[[#This Row],[Order ID]],Table1[],4,FALSE)</f>
        <v>Kishwar</v>
      </c>
      <c r="K326" t="str">
        <f>VLOOKUP(tbl_details5[[#This Row],[Order ID]],Table1[],5,FALSE)</f>
        <v>Madhya Pradesh</v>
      </c>
      <c r="L326" t="str">
        <f>VLOOKUP(tbl_details5[[#This Row],[Order ID]],Table1[],6,FALSE)</f>
        <v>Indore</v>
      </c>
    </row>
    <row r="327" spans="1:12" x14ac:dyDescent="0.25">
      <c r="A327" t="s">
        <v>252</v>
      </c>
      <c r="B327" s="4">
        <v>32</v>
      </c>
      <c r="C327" s="4">
        <v>-8</v>
      </c>
      <c r="D327" s="5">
        <f>tbl_details5[[#This Row],[Profit]]/tbl_details5[[#This Row],[Revenue]]</f>
        <v>-0.25</v>
      </c>
      <c r="E327">
        <v>2</v>
      </c>
      <c r="F327" t="s">
        <v>885</v>
      </c>
      <c r="G327" t="s">
        <v>886</v>
      </c>
      <c r="H327" s="1">
        <f>VLOOKUP(tbl_details5[[#This Row],[Order ID]],Orders!A:F,2,FALSE)</f>
        <v>43282</v>
      </c>
      <c r="I327" s="1" t="str">
        <f>TEXT(tbl_details5[[#This Row],[Order Date]],"mmm-yy")</f>
        <v>Jul-18</v>
      </c>
      <c r="J327" t="str">
        <f>VLOOKUP(tbl_details5[[#This Row],[Order ID]],Table1[],4,FALSE)</f>
        <v>Kishwar</v>
      </c>
      <c r="K327" t="str">
        <f>VLOOKUP(tbl_details5[[#This Row],[Order ID]],Table1[],5,FALSE)</f>
        <v>Madhya Pradesh</v>
      </c>
      <c r="L327" t="str">
        <f>VLOOKUP(tbl_details5[[#This Row],[Order ID]],Table1[],6,FALSE)</f>
        <v>Indore</v>
      </c>
    </row>
    <row r="328" spans="1:12" x14ac:dyDescent="0.25">
      <c r="A328" t="s">
        <v>254</v>
      </c>
      <c r="B328" s="4">
        <v>33</v>
      </c>
      <c r="C328" s="4">
        <v>-12</v>
      </c>
      <c r="D328" s="5">
        <f>tbl_details5[[#This Row],[Profit]]/tbl_details5[[#This Row],[Revenue]]</f>
        <v>-0.36363636363636365</v>
      </c>
      <c r="E328">
        <v>7</v>
      </c>
      <c r="F328" t="s">
        <v>885</v>
      </c>
      <c r="G328" t="s">
        <v>891</v>
      </c>
      <c r="H328" s="1">
        <f>VLOOKUP(tbl_details5[[#This Row],[Order ID]],Orders!A:F,2,FALSE)</f>
        <v>43282</v>
      </c>
      <c r="I328" s="1" t="str">
        <f>TEXT(tbl_details5[[#This Row],[Order Date]],"mmm-yy")</f>
        <v>Jul-18</v>
      </c>
      <c r="J328" t="str">
        <f>VLOOKUP(tbl_details5[[#This Row],[Order ID]],Table1[],4,FALSE)</f>
        <v>Aakanksha</v>
      </c>
      <c r="K328" t="str">
        <f>VLOOKUP(tbl_details5[[#This Row],[Order ID]],Table1[],5,FALSE)</f>
        <v>Madhya Pradesh</v>
      </c>
      <c r="L328" t="str">
        <f>VLOOKUP(tbl_details5[[#This Row],[Order ID]],Table1[],6,FALSE)</f>
        <v>Indore</v>
      </c>
    </row>
    <row r="329" spans="1:12" x14ac:dyDescent="0.25">
      <c r="A329" t="s">
        <v>254</v>
      </c>
      <c r="B329" s="4">
        <v>41</v>
      </c>
      <c r="C329" s="4">
        <v>-6</v>
      </c>
      <c r="D329" s="5">
        <f>tbl_details5[[#This Row],[Profit]]/tbl_details5[[#This Row],[Revenue]]</f>
        <v>-0.14634146341463414</v>
      </c>
      <c r="E329">
        <v>1</v>
      </c>
      <c r="F329" t="s">
        <v>883</v>
      </c>
      <c r="G329" t="s">
        <v>893</v>
      </c>
      <c r="H329" s="1">
        <f>VLOOKUP(tbl_details5[[#This Row],[Order ID]],Orders!A:F,2,FALSE)</f>
        <v>43282</v>
      </c>
      <c r="I329" s="1" t="str">
        <f>TEXT(tbl_details5[[#This Row],[Order Date]],"mmm-yy")</f>
        <v>Jul-18</v>
      </c>
      <c r="J329" t="str">
        <f>VLOOKUP(tbl_details5[[#This Row],[Order ID]],Table1[],4,FALSE)</f>
        <v>Aakanksha</v>
      </c>
      <c r="K329" t="str">
        <f>VLOOKUP(tbl_details5[[#This Row],[Order ID]],Table1[],5,FALSE)</f>
        <v>Madhya Pradesh</v>
      </c>
      <c r="L329" t="str">
        <f>VLOOKUP(tbl_details5[[#This Row],[Order ID]],Table1[],6,FALSE)</f>
        <v>Indore</v>
      </c>
    </row>
    <row r="330" spans="1:12" x14ac:dyDescent="0.25">
      <c r="A330" t="s">
        <v>256</v>
      </c>
      <c r="B330" s="4">
        <v>216</v>
      </c>
      <c r="C330" s="4">
        <v>-38</v>
      </c>
      <c r="D330" s="5">
        <f>tbl_details5[[#This Row],[Profit]]/tbl_details5[[#This Row],[Revenue]]</f>
        <v>-0.17592592592592593</v>
      </c>
      <c r="E330">
        <v>6</v>
      </c>
      <c r="F330" t="s">
        <v>883</v>
      </c>
      <c r="G330" t="s">
        <v>901</v>
      </c>
      <c r="H330" s="1">
        <f>VLOOKUP(tbl_details5[[#This Row],[Order ID]],Orders!A:F,2,FALSE)</f>
        <v>43286</v>
      </c>
      <c r="I330" s="1" t="str">
        <f>TEXT(tbl_details5[[#This Row],[Order Date]],"mmm-yy")</f>
        <v>Jul-18</v>
      </c>
      <c r="J330" t="str">
        <f>VLOOKUP(tbl_details5[[#This Row],[Order ID]],Table1[],4,FALSE)</f>
        <v>Megha</v>
      </c>
      <c r="K330" t="str">
        <f>VLOOKUP(tbl_details5[[#This Row],[Order ID]],Table1[],5,FALSE)</f>
        <v>Maharashtra</v>
      </c>
      <c r="L330" t="str">
        <f>VLOOKUP(tbl_details5[[#This Row],[Order ID]],Table1[],6,FALSE)</f>
        <v>Pune</v>
      </c>
    </row>
    <row r="331" spans="1:12" x14ac:dyDescent="0.25">
      <c r="A331" t="s">
        <v>256</v>
      </c>
      <c r="B331" s="4">
        <v>616</v>
      </c>
      <c r="C331" s="4">
        <v>-69</v>
      </c>
      <c r="D331" s="5">
        <f>tbl_details5[[#This Row],[Profit]]/tbl_details5[[#This Row],[Revenue]]</f>
        <v>-0.11201298701298701</v>
      </c>
      <c r="E331">
        <v>7</v>
      </c>
      <c r="F331" t="s">
        <v>883</v>
      </c>
      <c r="G331" t="s">
        <v>901</v>
      </c>
      <c r="H331" s="1">
        <f>VLOOKUP(tbl_details5[[#This Row],[Order ID]],Orders!A:F,2,FALSE)</f>
        <v>43286</v>
      </c>
      <c r="I331" s="1" t="str">
        <f>TEXT(tbl_details5[[#This Row],[Order Date]],"mmm-yy")</f>
        <v>Jul-18</v>
      </c>
      <c r="J331" t="str">
        <f>VLOOKUP(tbl_details5[[#This Row],[Order ID]],Table1[],4,FALSE)</f>
        <v>Megha</v>
      </c>
      <c r="K331" t="str">
        <f>VLOOKUP(tbl_details5[[#This Row],[Order ID]],Table1[],5,FALSE)</f>
        <v>Maharashtra</v>
      </c>
      <c r="L331" t="str">
        <f>VLOOKUP(tbl_details5[[#This Row],[Order ID]],Table1[],6,FALSE)</f>
        <v>Pune</v>
      </c>
    </row>
    <row r="332" spans="1:12" x14ac:dyDescent="0.25">
      <c r="A332" t="s">
        <v>256</v>
      </c>
      <c r="B332" s="4">
        <v>10</v>
      </c>
      <c r="C332" s="4">
        <v>-1</v>
      </c>
      <c r="D332" s="5">
        <f>tbl_details5[[#This Row],[Profit]]/tbl_details5[[#This Row],[Revenue]]</f>
        <v>-0.1</v>
      </c>
      <c r="E332">
        <v>1</v>
      </c>
      <c r="F332" t="s">
        <v>885</v>
      </c>
      <c r="G332" t="s">
        <v>897</v>
      </c>
      <c r="H332" s="1">
        <f>VLOOKUP(tbl_details5[[#This Row],[Order ID]],Orders!A:F,2,FALSE)</f>
        <v>43286</v>
      </c>
      <c r="I332" s="1" t="str">
        <f>TEXT(tbl_details5[[#This Row],[Order Date]],"mmm-yy")</f>
        <v>Jul-18</v>
      </c>
      <c r="J332" t="str">
        <f>VLOOKUP(tbl_details5[[#This Row],[Order ID]],Table1[],4,FALSE)</f>
        <v>Megha</v>
      </c>
      <c r="K332" t="str">
        <f>VLOOKUP(tbl_details5[[#This Row],[Order ID]],Table1[],5,FALSE)</f>
        <v>Maharashtra</v>
      </c>
      <c r="L332" t="str">
        <f>VLOOKUP(tbl_details5[[#This Row],[Order ID]],Table1[],6,FALSE)</f>
        <v>Pune</v>
      </c>
    </row>
    <row r="333" spans="1:12" x14ac:dyDescent="0.25">
      <c r="A333" t="s">
        <v>256</v>
      </c>
      <c r="B333" s="4">
        <v>25</v>
      </c>
      <c r="C333" s="4">
        <v>0</v>
      </c>
      <c r="D333" s="5">
        <f>tbl_details5[[#This Row],[Profit]]/tbl_details5[[#This Row],[Revenue]]</f>
        <v>0</v>
      </c>
      <c r="E333">
        <v>4</v>
      </c>
      <c r="F333" t="s">
        <v>885</v>
      </c>
      <c r="G333" t="s">
        <v>902</v>
      </c>
      <c r="H333" s="1">
        <f>VLOOKUP(tbl_details5[[#This Row],[Order ID]],Orders!A:F,2,FALSE)</f>
        <v>43286</v>
      </c>
      <c r="I333" s="1" t="str">
        <f>TEXT(tbl_details5[[#This Row],[Order Date]],"mmm-yy")</f>
        <v>Jul-18</v>
      </c>
      <c r="J333" t="str">
        <f>VLOOKUP(tbl_details5[[#This Row],[Order ID]],Table1[],4,FALSE)</f>
        <v>Megha</v>
      </c>
      <c r="K333" t="str">
        <f>VLOOKUP(tbl_details5[[#This Row],[Order ID]],Table1[],5,FALSE)</f>
        <v>Maharashtra</v>
      </c>
      <c r="L333" t="str">
        <f>VLOOKUP(tbl_details5[[#This Row],[Order ID]],Table1[],6,FALSE)</f>
        <v>Pune</v>
      </c>
    </row>
    <row r="334" spans="1:12" x14ac:dyDescent="0.25">
      <c r="A334" t="s">
        <v>256</v>
      </c>
      <c r="B334" s="4">
        <v>53</v>
      </c>
      <c r="C334" s="4">
        <v>-18</v>
      </c>
      <c r="D334" s="5">
        <f>tbl_details5[[#This Row],[Profit]]/tbl_details5[[#This Row],[Revenue]]</f>
        <v>-0.33962264150943394</v>
      </c>
      <c r="E334">
        <v>4</v>
      </c>
      <c r="F334" t="s">
        <v>885</v>
      </c>
      <c r="G334" t="s">
        <v>895</v>
      </c>
      <c r="H334" s="1">
        <f>VLOOKUP(tbl_details5[[#This Row],[Order ID]],Orders!A:F,2,FALSE)</f>
        <v>43286</v>
      </c>
      <c r="I334" s="1" t="str">
        <f>TEXT(tbl_details5[[#This Row],[Order Date]],"mmm-yy")</f>
        <v>Jul-18</v>
      </c>
      <c r="J334" t="str">
        <f>VLOOKUP(tbl_details5[[#This Row],[Order ID]],Table1[],4,FALSE)</f>
        <v>Megha</v>
      </c>
      <c r="K334" t="str">
        <f>VLOOKUP(tbl_details5[[#This Row],[Order ID]],Table1[],5,FALSE)</f>
        <v>Maharashtra</v>
      </c>
      <c r="L334" t="str">
        <f>VLOOKUP(tbl_details5[[#This Row],[Order ID]],Table1[],6,FALSE)</f>
        <v>Pune</v>
      </c>
    </row>
    <row r="335" spans="1:12" x14ac:dyDescent="0.25">
      <c r="A335" t="s">
        <v>256</v>
      </c>
      <c r="B335" s="4">
        <v>13</v>
      </c>
      <c r="C335" s="4">
        <v>-8</v>
      </c>
      <c r="D335" s="5">
        <f>tbl_details5[[#This Row],[Profit]]/tbl_details5[[#This Row],[Revenue]]</f>
        <v>-0.61538461538461542</v>
      </c>
      <c r="E335">
        <v>1</v>
      </c>
      <c r="F335" t="s">
        <v>885</v>
      </c>
      <c r="G335" t="s">
        <v>895</v>
      </c>
      <c r="H335" s="1">
        <f>VLOOKUP(tbl_details5[[#This Row],[Order ID]],Orders!A:F,2,FALSE)</f>
        <v>43286</v>
      </c>
      <c r="I335" s="1" t="str">
        <f>TEXT(tbl_details5[[#This Row],[Order Date]],"mmm-yy")</f>
        <v>Jul-18</v>
      </c>
      <c r="J335" t="str">
        <f>VLOOKUP(tbl_details5[[#This Row],[Order ID]],Table1[],4,FALSE)</f>
        <v>Megha</v>
      </c>
      <c r="K335" t="str">
        <f>VLOOKUP(tbl_details5[[#This Row],[Order ID]],Table1[],5,FALSE)</f>
        <v>Maharashtra</v>
      </c>
      <c r="L335" t="str">
        <f>VLOOKUP(tbl_details5[[#This Row],[Order ID]],Table1[],6,FALSE)</f>
        <v>Pune</v>
      </c>
    </row>
    <row r="336" spans="1:12" x14ac:dyDescent="0.25">
      <c r="A336" t="s">
        <v>258</v>
      </c>
      <c r="B336" s="4">
        <v>100</v>
      </c>
      <c r="C336" s="4">
        <v>-58</v>
      </c>
      <c r="D336" s="5">
        <f>tbl_details5[[#This Row],[Profit]]/tbl_details5[[#This Row],[Revenue]]</f>
        <v>-0.57999999999999996</v>
      </c>
      <c r="E336">
        <v>4</v>
      </c>
      <c r="F336" t="s">
        <v>885</v>
      </c>
      <c r="G336" t="s">
        <v>887</v>
      </c>
      <c r="H336" s="1">
        <f>VLOOKUP(tbl_details5[[#This Row],[Order ID]],Orders!A:F,2,FALSE)</f>
        <v>43287</v>
      </c>
      <c r="I336" s="1" t="str">
        <f>TEXT(tbl_details5[[#This Row],[Order Date]],"mmm-yy")</f>
        <v>Jul-18</v>
      </c>
      <c r="J336" t="str">
        <f>VLOOKUP(tbl_details5[[#This Row],[Order ID]],Table1[],4,FALSE)</f>
        <v>Sakshi</v>
      </c>
      <c r="K336" t="str">
        <f>VLOOKUP(tbl_details5[[#This Row],[Order ID]],Table1[],5,FALSE)</f>
        <v>Madhya Pradesh</v>
      </c>
      <c r="L336" t="str">
        <f>VLOOKUP(tbl_details5[[#This Row],[Order ID]],Table1[],6,FALSE)</f>
        <v>Bhopal</v>
      </c>
    </row>
    <row r="337" spans="1:12" x14ac:dyDescent="0.25">
      <c r="A337" t="s">
        <v>260</v>
      </c>
      <c r="B337" s="4">
        <v>193</v>
      </c>
      <c r="C337" s="4">
        <v>-275</v>
      </c>
      <c r="D337" s="5">
        <f>tbl_details5[[#This Row],[Profit]]/tbl_details5[[#This Row],[Revenue]]</f>
        <v>-1.4248704663212435</v>
      </c>
      <c r="E337">
        <v>3</v>
      </c>
      <c r="F337" t="s">
        <v>888</v>
      </c>
      <c r="G337" t="s">
        <v>890</v>
      </c>
      <c r="H337" s="1">
        <f>VLOOKUP(tbl_details5[[#This Row],[Order ID]],Orders!A:F,2,FALSE)</f>
        <v>43288</v>
      </c>
      <c r="I337" s="1" t="str">
        <f>TEXT(tbl_details5[[#This Row],[Order Date]],"mmm-yy")</f>
        <v>Jul-18</v>
      </c>
      <c r="J337" t="str">
        <f>VLOOKUP(tbl_details5[[#This Row],[Order ID]],Table1[],4,FALSE)</f>
        <v>Adhvaita</v>
      </c>
      <c r="K337" t="str">
        <f>VLOOKUP(tbl_details5[[#This Row],[Order ID]],Table1[],5,FALSE)</f>
        <v>Rajasthan</v>
      </c>
      <c r="L337" t="str">
        <f>VLOOKUP(tbl_details5[[#This Row],[Order ID]],Table1[],6,FALSE)</f>
        <v>Jaipur</v>
      </c>
    </row>
    <row r="338" spans="1:12" x14ac:dyDescent="0.25">
      <c r="A338" t="s">
        <v>262</v>
      </c>
      <c r="B338" s="4">
        <v>158</v>
      </c>
      <c r="C338" s="4">
        <v>-63</v>
      </c>
      <c r="D338" s="5">
        <f>tbl_details5[[#This Row],[Profit]]/tbl_details5[[#This Row],[Revenue]]</f>
        <v>-0.39873417721518989</v>
      </c>
      <c r="E338">
        <v>4</v>
      </c>
      <c r="F338" t="s">
        <v>883</v>
      </c>
      <c r="G338" t="s">
        <v>893</v>
      </c>
      <c r="H338" s="1">
        <f>VLOOKUP(tbl_details5[[#This Row],[Order ID]],Orders!A:F,2,FALSE)</f>
        <v>43289</v>
      </c>
      <c r="I338" s="1" t="str">
        <f>TEXT(tbl_details5[[#This Row],[Order Date]],"mmm-yy")</f>
        <v>Jul-18</v>
      </c>
      <c r="J338" t="str">
        <f>VLOOKUP(tbl_details5[[#This Row],[Order ID]],Table1[],4,FALSE)</f>
        <v>Raksha</v>
      </c>
      <c r="K338" t="str">
        <f>VLOOKUP(tbl_details5[[#This Row],[Order ID]],Table1[],5,FALSE)</f>
        <v>West Bengal</v>
      </c>
      <c r="L338" t="str">
        <f>VLOOKUP(tbl_details5[[#This Row],[Order ID]],Table1[],6,FALSE)</f>
        <v>Kolkata</v>
      </c>
    </row>
    <row r="339" spans="1:12" x14ac:dyDescent="0.25">
      <c r="A339" t="s">
        <v>264</v>
      </c>
      <c r="B339" s="4">
        <v>11</v>
      </c>
      <c r="C339" s="4">
        <v>-5</v>
      </c>
      <c r="D339" s="5">
        <f>tbl_details5[[#This Row],[Profit]]/tbl_details5[[#This Row],[Revenue]]</f>
        <v>-0.45454545454545453</v>
      </c>
      <c r="E339">
        <v>2</v>
      </c>
      <c r="F339" t="s">
        <v>885</v>
      </c>
      <c r="G339" t="s">
        <v>887</v>
      </c>
      <c r="H339" s="1">
        <f>VLOOKUP(tbl_details5[[#This Row],[Order ID]],Orders!A:F,2,FALSE)</f>
        <v>43290</v>
      </c>
      <c r="I339" s="1" t="str">
        <f>TEXT(tbl_details5[[#This Row],[Order Date]],"mmm-yy")</f>
        <v>Jul-18</v>
      </c>
      <c r="J339" t="str">
        <f>VLOOKUP(tbl_details5[[#This Row],[Order ID]],Table1[],4,FALSE)</f>
        <v>Stuti</v>
      </c>
      <c r="K339" t="str">
        <f>VLOOKUP(tbl_details5[[#This Row],[Order ID]],Table1[],5,FALSE)</f>
        <v>Karnataka</v>
      </c>
      <c r="L339" t="str">
        <f>VLOOKUP(tbl_details5[[#This Row],[Order ID]],Table1[],6,FALSE)</f>
        <v>Bangalore</v>
      </c>
    </row>
    <row r="340" spans="1:12" x14ac:dyDescent="0.25">
      <c r="A340" t="s">
        <v>264</v>
      </c>
      <c r="B340" s="4">
        <v>340</v>
      </c>
      <c r="C340" s="4">
        <v>20</v>
      </c>
      <c r="D340" s="5">
        <f>tbl_details5[[#This Row],[Profit]]/tbl_details5[[#This Row],[Revenue]]</f>
        <v>5.8823529411764705E-2</v>
      </c>
      <c r="E340">
        <v>7</v>
      </c>
      <c r="F340" t="s">
        <v>885</v>
      </c>
      <c r="G340" t="s">
        <v>896</v>
      </c>
      <c r="H340" s="1">
        <f>VLOOKUP(tbl_details5[[#This Row],[Order ID]],Orders!A:F,2,FALSE)</f>
        <v>43290</v>
      </c>
      <c r="I340" s="1" t="str">
        <f>TEXT(tbl_details5[[#This Row],[Order Date]],"mmm-yy")</f>
        <v>Jul-18</v>
      </c>
      <c r="J340" t="str">
        <f>VLOOKUP(tbl_details5[[#This Row],[Order ID]],Table1[],4,FALSE)</f>
        <v>Stuti</v>
      </c>
      <c r="K340" t="str">
        <f>VLOOKUP(tbl_details5[[#This Row],[Order ID]],Table1[],5,FALSE)</f>
        <v>Karnataka</v>
      </c>
      <c r="L340" t="str">
        <f>VLOOKUP(tbl_details5[[#This Row],[Order ID]],Table1[],6,FALSE)</f>
        <v>Bangalore</v>
      </c>
    </row>
    <row r="341" spans="1:12" x14ac:dyDescent="0.25">
      <c r="A341" t="s">
        <v>266</v>
      </c>
      <c r="B341" s="4">
        <v>416</v>
      </c>
      <c r="C341" s="4">
        <v>137</v>
      </c>
      <c r="D341" s="5">
        <f>tbl_details5[[#This Row],[Profit]]/tbl_details5[[#This Row],[Revenue]]</f>
        <v>0.32932692307692307</v>
      </c>
      <c r="E341">
        <v>3</v>
      </c>
      <c r="F341" t="s">
        <v>888</v>
      </c>
      <c r="G341" t="s">
        <v>890</v>
      </c>
      <c r="H341" s="1">
        <f>VLOOKUP(tbl_details5[[#This Row],[Order ID]],Orders!A:F,2,FALSE)</f>
        <v>43291</v>
      </c>
      <c r="I341" s="1" t="str">
        <f>TEXT(tbl_details5[[#This Row],[Order Date]],"mmm-yy")</f>
        <v>Jul-18</v>
      </c>
      <c r="J341" t="str">
        <f>VLOOKUP(tbl_details5[[#This Row],[Order ID]],Table1[],4,FALSE)</f>
        <v>Srishti</v>
      </c>
      <c r="K341" t="str">
        <f>VLOOKUP(tbl_details5[[#This Row],[Order ID]],Table1[],5,FALSE)</f>
        <v>Jammu and Kashmir</v>
      </c>
      <c r="L341" t="str">
        <f>VLOOKUP(tbl_details5[[#This Row],[Order ID]],Table1[],6,FALSE)</f>
        <v>Kashmir</v>
      </c>
    </row>
    <row r="342" spans="1:12" x14ac:dyDescent="0.25">
      <c r="A342" t="s">
        <v>268</v>
      </c>
      <c r="B342" s="4">
        <v>58</v>
      </c>
      <c r="C342" s="4">
        <v>0</v>
      </c>
      <c r="D342" s="5">
        <f>tbl_details5[[#This Row],[Profit]]/tbl_details5[[#This Row],[Revenue]]</f>
        <v>0</v>
      </c>
      <c r="E342">
        <v>4</v>
      </c>
      <c r="F342" t="s">
        <v>885</v>
      </c>
      <c r="G342" t="s">
        <v>891</v>
      </c>
      <c r="H342" s="1">
        <f>VLOOKUP(tbl_details5[[#This Row],[Order ID]],Orders!A:F,2,FALSE)</f>
        <v>43292</v>
      </c>
      <c r="I342" s="1" t="str">
        <f>TEXT(tbl_details5[[#This Row],[Order Date]],"mmm-yy")</f>
        <v>Jul-18</v>
      </c>
      <c r="J342" t="str">
        <f>VLOOKUP(tbl_details5[[#This Row],[Order ID]],Table1[],4,FALSE)</f>
        <v>Surabhi</v>
      </c>
      <c r="K342" t="str">
        <f>VLOOKUP(tbl_details5[[#This Row],[Order ID]],Table1[],5,FALSE)</f>
        <v>Tamil Nadu</v>
      </c>
      <c r="L342" t="str">
        <f>VLOOKUP(tbl_details5[[#This Row],[Order ID]],Table1[],6,FALSE)</f>
        <v>Chennai</v>
      </c>
    </row>
    <row r="343" spans="1:12" x14ac:dyDescent="0.25">
      <c r="A343" t="s">
        <v>270</v>
      </c>
      <c r="B343" s="4">
        <v>561</v>
      </c>
      <c r="C343" s="4">
        <v>212</v>
      </c>
      <c r="D343" s="5">
        <f>tbl_details5[[#This Row],[Profit]]/tbl_details5[[#This Row],[Revenue]]</f>
        <v>0.37789661319073081</v>
      </c>
      <c r="E343">
        <v>3</v>
      </c>
      <c r="F343" t="s">
        <v>885</v>
      </c>
      <c r="G343" t="s">
        <v>891</v>
      </c>
      <c r="H343" s="1">
        <f>VLOOKUP(tbl_details5[[#This Row],[Order ID]],Orders!A:F,2,FALSE)</f>
        <v>43293</v>
      </c>
      <c r="I343" s="1" t="str">
        <f>TEXT(tbl_details5[[#This Row],[Order Date]],"mmm-yy")</f>
        <v>Jul-18</v>
      </c>
      <c r="J343" t="str">
        <f>VLOOKUP(tbl_details5[[#This Row],[Order ID]],Table1[],4,FALSE)</f>
        <v>Manshul</v>
      </c>
      <c r="K343" t="str">
        <f>VLOOKUP(tbl_details5[[#This Row],[Order ID]],Table1[],5,FALSE)</f>
        <v>Uttar Pradesh</v>
      </c>
      <c r="L343" t="str">
        <f>VLOOKUP(tbl_details5[[#This Row],[Order ID]],Table1[],6,FALSE)</f>
        <v>Lucknow</v>
      </c>
    </row>
    <row r="344" spans="1:12" x14ac:dyDescent="0.25">
      <c r="A344" t="s">
        <v>270</v>
      </c>
      <c r="B344" s="4">
        <v>138</v>
      </c>
      <c r="C344" s="4">
        <v>-3</v>
      </c>
      <c r="D344" s="5">
        <f>tbl_details5[[#This Row],[Profit]]/tbl_details5[[#This Row],[Revenue]]</f>
        <v>-2.1739130434782608E-2</v>
      </c>
      <c r="E344">
        <v>5</v>
      </c>
      <c r="F344" t="s">
        <v>885</v>
      </c>
      <c r="G344" t="s">
        <v>891</v>
      </c>
      <c r="H344" s="1">
        <f>VLOOKUP(tbl_details5[[#This Row],[Order ID]],Orders!A:F,2,FALSE)</f>
        <v>43293</v>
      </c>
      <c r="I344" s="1" t="str">
        <f>TEXT(tbl_details5[[#This Row],[Order Date]],"mmm-yy")</f>
        <v>Jul-18</v>
      </c>
      <c r="J344" t="str">
        <f>VLOOKUP(tbl_details5[[#This Row],[Order ID]],Table1[],4,FALSE)</f>
        <v>Manshul</v>
      </c>
      <c r="K344" t="str">
        <f>VLOOKUP(tbl_details5[[#This Row],[Order ID]],Table1[],5,FALSE)</f>
        <v>Uttar Pradesh</v>
      </c>
      <c r="L344" t="str">
        <f>VLOOKUP(tbl_details5[[#This Row],[Order ID]],Table1[],6,FALSE)</f>
        <v>Lucknow</v>
      </c>
    </row>
    <row r="345" spans="1:12" x14ac:dyDescent="0.25">
      <c r="A345" t="s">
        <v>270</v>
      </c>
      <c r="B345" s="4">
        <v>90</v>
      </c>
      <c r="C345" s="4">
        <v>17</v>
      </c>
      <c r="D345" s="5">
        <f>tbl_details5[[#This Row],[Profit]]/tbl_details5[[#This Row],[Revenue]]</f>
        <v>0.18888888888888888</v>
      </c>
      <c r="E345">
        <v>3</v>
      </c>
      <c r="F345" t="s">
        <v>885</v>
      </c>
      <c r="G345" t="s">
        <v>896</v>
      </c>
      <c r="H345" s="1">
        <f>VLOOKUP(tbl_details5[[#This Row],[Order ID]],Orders!A:F,2,FALSE)</f>
        <v>43293</v>
      </c>
      <c r="I345" s="1" t="str">
        <f>TEXT(tbl_details5[[#This Row],[Order Date]],"mmm-yy")</f>
        <v>Jul-18</v>
      </c>
      <c r="J345" t="str">
        <f>VLOOKUP(tbl_details5[[#This Row],[Order ID]],Table1[],4,FALSE)</f>
        <v>Manshul</v>
      </c>
      <c r="K345" t="str">
        <f>VLOOKUP(tbl_details5[[#This Row],[Order ID]],Table1[],5,FALSE)</f>
        <v>Uttar Pradesh</v>
      </c>
      <c r="L345" t="str">
        <f>VLOOKUP(tbl_details5[[#This Row],[Order ID]],Table1[],6,FALSE)</f>
        <v>Lucknow</v>
      </c>
    </row>
    <row r="346" spans="1:12" x14ac:dyDescent="0.25">
      <c r="A346" t="s">
        <v>270</v>
      </c>
      <c r="B346" s="4">
        <v>55</v>
      </c>
      <c r="C346" s="4">
        <v>-33</v>
      </c>
      <c r="D346" s="5">
        <f>tbl_details5[[#This Row],[Profit]]/tbl_details5[[#This Row],[Revenue]]</f>
        <v>-0.6</v>
      </c>
      <c r="E346">
        <v>2</v>
      </c>
      <c r="F346" t="s">
        <v>883</v>
      </c>
      <c r="G346" t="s">
        <v>893</v>
      </c>
      <c r="H346" s="1">
        <f>VLOOKUP(tbl_details5[[#This Row],[Order ID]],Orders!A:F,2,FALSE)</f>
        <v>43293</v>
      </c>
      <c r="I346" s="1" t="str">
        <f>TEXT(tbl_details5[[#This Row],[Order Date]],"mmm-yy")</f>
        <v>Jul-18</v>
      </c>
      <c r="J346" t="str">
        <f>VLOOKUP(tbl_details5[[#This Row],[Order ID]],Table1[],4,FALSE)</f>
        <v>Manshul</v>
      </c>
      <c r="K346" t="str">
        <f>VLOOKUP(tbl_details5[[#This Row],[Order ID]],Table1[],5,FALSE)</f>
        <v>Uttar Pradesh</v>
      </c>
      <c r="L346" t="str">
        <f>VLOOKUP(tbl_details5[[#This Row],[Order ID]],Table1[],6,FALSE)</f>
        <v>Lucknow</v>
      </c>
    </row>
    <row r="347" spans="1:12" x14ac:dyDescent="0.25">
      <c r="A347" t="s">
        <v>272</v>
      </c>
      <c r="B347" s="4">
        <v>371</v>
      </c>
      <c r="C347" s="4">
        <v>115</v>
      </c>
      <c r="D347" s="5">
        <f>tbl_details5[[#This Row],[Profit]]/tbl_details5[[#This Row],[Revenue]]</f>
        <v>0.30997304582210244</v>
      </c>
      <c r="E347">
        <v>1</v>
      </c>
      <c r="F347" t="s">
        <v>883</v>
      </c>
      <c r="G347" t="s">
        <v>884</v>
      </c>
      <c r="H347" s="1">
        <f>VLOOKUP(tbl_details5[[#This Row],[Order ID]],Orders!A:F,2,FALSE)</f>
        <v>43293</v>
      </c>
      <c r="I347" s="1" t="str">
        <f>TEXT(tbl_details5[[#This Row],[Order Date]],"mmm-yy")</f>
        <v>Jul-18</v>
      </c>
      <c r="J347" t="str">
        <f>VLOOKUP(tbl_details5[[#This Row],[Order ID]],Table1[],4,FALSE)</f>
        <v>Anjali</v>
      </c>
      <c r="K347" t="str">
        <f>VLOOKUP(tbl_details5[[#This Row],[Order ID]],Table1[],5,FALSE)</f>
        <v>Maharashtra</v>
      </c>
      <c r="L347" t="str">
        <f>VLOOKUP(tbl_details5[[#This Row],[Order ID]],Table1[],6,FALSE)</f>
        <v>Mumbai</v>
      </c>
    </row>
    <row r="348" spans="1:12" x14ac:dyDescent="0.25">
      <c r="A348" t="s">
        <v>272</v>
      </c>
      <c r="B348" s="4">
        <v>460</v>
      </c>
      <c r="C348" s="4">
        <v>31</v>
      </c>
      <c r="D348" s="5">
        <f>tbl_details5[[#This Row],[Profit]]/tbl_details5[[#This Row],[Revenue]]</f>
        <v>6.7391304347826086E-2</v>
      </c>
      <c r="E348">
        <v>3</v>
      </c>
      <c r="F348" t="s">
        <v>883</v>
      </c>
      <c r="G348" t="s">
        <v>884</v>
      </c>
      <c r="H348" s="1">
        <f>VLOOKUP(tbl_details5[[#This Row],[Order ID]],Orders!A:F,2,FALSE)</f>
        <v>43293</v>
      </c>
      <c r="I348" s="1" t="str">
        <f>TEXT(tbl_details5[[#This Row],[Order Date]],"mmm-yy")</f>
        <v>Jul-18</v>
      </c>
      <c r="J348" t="str">
        <f>VLOOKUP(tbl_details5[[#This Row],[Order ID]],Table1[],4,FALSE)</f>
        <v>Anjali</v>
      </c>
      <c r="K348" t="str">
        <f>VLOOKUP(tbl_details5[[#This Row],[Order ID]],Table1[],5,FALSE)</f>
        <v>Maharashtra</v>
      </c>
      <c r="L348" t="str">
        <f>VLOOKUP(tbl_details5[[#This Row],[Order ID]],Table1[],6,FALSE)</f>
        <v>Mumbai</v>
      </c>
    </row>
    <row r="349" spans="1:12" x14ac:dyDescent="0.25">
      <c r="A349" t="s">
        <v>273</v>
      </c>
      <c r="B349" s="4">
        <v>29</v>
      </c>
      <c r="C349" s="4">
        <v>10</v>
      </c>
      <c r="D349" s="5">
        <f>tbl_details5[[#This Row],[Profit]]/tbl_details5[[#This Row],[Revenue]]</f>
        <v>0.34482758620689657</v>
      </c>
      <c r="E349">
        <v>2</v>
      </c>
      <c r="F349" t="s">
        <v>885</v>
      </c>
      <c r="G349" t="s">
        <v>886</v>
      </c>
      <c r="H349" s="1">
        <f>VLOOKUP(tbl_details5[[#This Row],[Order ID]],Orders!A:F,2,FALSE)</f>
        <v>43293</v>
      </c>
      <c r="I349" s="1" t="str">
        <f>TEXT(tbl_details5[[#This Row],[Order Date]],"mmm-yy")</f>
        <v>Jul-18</v>
      </c>
      <c r="J349" t="str">
        <f>VLOOKUP(tbl_details5[[#This Row],[Order ID]],Table1[],4,FALSE)</f>
        <v>Rashmi</v>
      </c>
      <c r="K349" t="str">
        <f>VLOOKUP(tbl_details5[[#This Row],[Order ID]],Table1[],5,FALSE)</f>
        <v>Madhya Pradesh</v>
      </c>
      <c r="L349" t="str">
        <f>VLOOKUP(tbl_details5[[#This Row],[Order ID]],Table1[],6,FALSE)</f>
        <v>Indore</v>
      </c>
    </row>
    <row r="350" spans="1:12" x14ac:dyDescent="0.25">
      <c r="A350" t="s">
        <v>274</v>
      </c>
      <c r="B350" s="4">
        <v>30</v>
      </c>
      <c r="C350" s="4">
        <v>-35</v>
      </c>
      <c r="D350" s="5">
        <f>tbl_details5[[#This Row],[Profit]]/tbl_details5[[#This Row],[Revenue]]</f>
        <v>-1.1666666666666667</v>
      </c>
      <c r="E350">
        <v>1</v>
      </c>
      <c r="F350" t="s">
        <v>883</v>
      </c>
      <c r="G350" t="s">
        <v>893</v>
      </c>
      <c r="H350" s="1">
        <f>VLOOKUP(tbl_details5[[#This Row],[Order ID]],Orders!A:F,2,FALSE)</f>
        <v>43296</v>
      </c>
      <c r="I350" s="1" t="str">
        <f>TEXT(tbl_details5[[#This Row],[Order Date]],"mmm-yy")</f>
        <v>Jul-18</v>
      </c>
      <c r="J350" t="str">
        <f>VLOOKUP(tbl_details5[[#This Row],[Order ID]],Table1[],4,FALSE)</f>
        <v>Namrata</v>
      </c>
      <c r="K350" t="str">
        <f>VLOOKUP(tbl_details5[[#This Row],[Order ID]],Table1[],5,FALSE)</f>
        <v>Punjab</v>
      </c>
      <c r="L350" t="str">
        <f>VLOOKUP(tbl_details5[[#This Row],[Order ID]],Table1[],6,FALSE)</f>
        <v>Chandigarh</v>
      </c>
    </row>
    <row r="351" spans="1:12" x14ac:dyDescent="0.25">
      <c r="A351" t="s">
        <v>276</v>
      </c>
      <c r="B351" s="4">
        <v>29</v>
      </c>
      <c r="C351" s="4">
        <v>-18</v>
      </c>
      <c r="D351" s="5">
        <f>tbl_details5[[#This Row],[Profit]]/tbl_details5[[#This Row],[Revenue]]</f>
        <v>-0.62068965517241381</v>
      </c>
      <c r="E351">
        <v>7</v>
      </c>
      <c r="F351" t="s">
        <v>885</v>
      </c>
      <c r="G351" t="s">
        <v>902</v>
      </c>
      <c r="H351" s="1">
        <f>VLOOKUP(tbl_details5[[#This Row],[Order ID]],Orders!A:F,2,FALSE)</f>
        <v>43297</v>
      </c>
      <c r="I351" s="1" t="str">
        <f>TEXT(tbl_details5[[#This Row],[Order Date]],"mmm-yy")</f>
        <v>Jul-18</v>
      </c>
      <c r="J351" t="str">
        <f>VLOOKUP(tbl_details5[[#This Row],[Order ID]],Table1[],4,FALSE)</f>
        <v>Anchal</v>
      </c>
      <c r="K351" t="str">
        <f>VLOOKUP(tbl_details5[[#This Row],[Order ID]],Table1[],5,FALSE)</f>
        <v>Haryana</v>
      </c>
      <c r="L351" t="str">
        <f>VLOOKUP(tbl_details5[[#This Row],[Order ID]],Table1[],6,FALSE)</f>
        <v>Chandigarh</v>
      </c>
    </row>
    <row r="352" spans="1:12" x14ac:dyDescent="0.25">
      <c r="A352" t="s">
        <v>276</v>
      </c>
      <c r="B352" s="4">
        <v>191</v>
      </c>
      <c r="C352" s="4">
        <v>51</v>
      </c>
      <c r="D352" s="5">
        <f>tbl_details5[[#This Row],[Profit]]/tbl_details5[[#This Row],[Revenue]]</f>
        <v>0.26701570680628273</v>
      </c>
      <c r="E352">
        <v>5</v>
      </c>
      <c r="F352" t="s">
        <v>885</v>
      </c>
      <c r="G352" t="s">
        <v>896</v>
      </c>
      <c r="H352" s="1">
        <f>VLOOKUP(tbl_details5[[#This Row],[Order ID]],Orders!A:F,2,FALSE)</f>
        <v>43297</v>
      </c>
      <c r="I352" s="1" t="str">
        <f>TEXT(tbl_details5[[#This Row],[Order Date]],"mmm-yy")</f>
        <v>Jul-18</v>
      </c>
      <c r="J352" t="str">
        <f>VLOOKUP(tbl_details5[[#This Row],[Order ID]],Table1[],4,FALSE)</f>
        <v>Anchal</v>
      </c>
      <c r="K352" t="str">
        <f>VLOOKUP(tbl_details5[[#This Row],[Order ID]],Table1[],5,FALSE)</f>
        <v>Haryana</v>
      </c>
      <c r="L352" t="str">
        <f>VLOOKUP(tbl_details5[[#This Row],[Order ID]],Table1[],6,FALSE)</f>
        <v>Chandigarh</v>
      </c>
    </row>
    <row r="353" spans="1:12" x14ac:dyDescent="0.25">
      <c r="A353" t="s">
        <v>276</v>
      </c>
      <c r="B353" s="4">
        <v>149</v>
      </c>
      <c r="C353" s="4">
        <v>-40</v>
      </c>
      <c r="D353" s="5">
        <f>tbl_details5[[#This Row],[Profit]]/tbl_details5[[#This Row],[Revenue]]</f>
        <v>-0.26845637583892618</v>
      </c>
      <c r="E353">
        <v>2</v>
      </c>
      <c r="F353" t="s">
        <v>888</v>
      </c>
      <c r="G353" t="s">
        <v>890</v>
      </c>
      <c r="H353" s="1">
        <f>VLOOKUP(tbl_details5[[#This Row],[Order ID]],Orders!A:F,2,FALSE)</f>
        <v>43297</v>
      </c>
      <c r="I353" s="1" t="str">
        <f>TEXT(tbl_details5[[#This Row],[Order Date]],"mmm-yy")</f>
        <v>Jul-18</v>
      </c>
      <c r="J353" t="str">
        <f>VLOOKUP(tbl_details5[[#This Row],[Order ID]],Table1[],4,FALSE)</f>
        <v>Anchal</v>
      </c>
      <c r="K353" t="str">
        <f>VLOOKUP(tbl_details5[[#This Row],[Order ID]],Table1[],5,FALSE)</f>
        <v>Haryana</v>
      </c>
      <c r="L353" t="str">
        <f>VLOOKUP(tbl_details5[[#This Row],[Order ID]],Table1[],6,FALSE)</f>
        <v>Chandigarh</v>
      </c>
    </row>
    <row r="354" spans="1:12" x14ac:dyDescent="0.25">
      <c r="A354" t="s">
        <v>278</v>
      </c>
      <c r="B354" s="4">
        <v>48</v>
      </c>
      <c r="C354" s="4">
        <v>-8</v>
      </c>
      <c r="D354" s="5">
        <f>tbl_details5[[#This Row],[Profit]]/tbl_details5[[#This Row],[Revenue]]</f>
        <v>-0.16666666666666666</v>
      </c>
      <c r="E354">
        <v>8</v>
      </c>
      <c r="F354" t="s">
        <v>885</v>
      </c>
      <c r="G354" t="s">
        <v>886</v>
      </c>
      <c r="H354" s="1">
        <f>VLOOKUP(tbl_details5[[#This Row],[Order ID]],Orders!A:F,2,FALSE)</f>
        <v>43298</v>
      </c>
      <c r="I354" s="1" t="str">
        <f>TEXT(tbl_details5[[#This Row],[Order Date]],"mmm-yy")</f>
        <v>Jul-18</v>
      </c>
      <c r="J354" t="str">
        <f>VLOOKUP(tbl_details5[[#This Row],[Order ID]],Table1[],4,FALSE)</f>
        <v>Inderpreet</v>
      </c>
      <c r="K354" t="str">
        <f>VLOOKUP(tbl_details5[[#This Row],[Order ID]],Table1[],5,FALSE)</f>
        <v>Himachal Pradesh</v>
      </c>
      <c r="L354" t="str">
        <f>VLOOKUP(tbl_details5[[#This Row],[Order ID]],Table1[],6,FALSE)</f>
        <v>Simla</v>
      </c>
    </row>
    <row r="355" spans="1:12" x14ac:dyDescent="0.25">
      <c r="A355" t="s">
        <v>280</v>
      </c>
      <c r="B355" s="4">
        <v>26</v>
      </c>
      <c r="C355" s="4">
        <v>-24</v>
      </c>
      <c r="D355" s="5">
        <f>tbl_details5[[#This Row],[Profit]]/tbl_details5[[#This Row],[Revenue]]</f>
        <v>-0.92307692307692313</v>
      </c>
      <c r="E355">
        <v>1</v>
      </c>
      <c r="F355" t="s">
        <v>885</v>
      </c>
      <c r="G355" t="s">
        <v>886</v>
      </c>
      <c r="H355" s="1">
        <f>VLOOKUP(tbl_details5[[#This Row],[Order ID]],Orders!A:F,2,FALSE)</f>
        <v>43299</v>
      </c>
      <c r="I355" s="1" t="str">
        <f>TEXT(tbl_details5[[#This Row],[Order Date]],"mmm-yy")</f>
        <v>Jul-18</v>
      </c>
      <c r="J355" t="str">
        <f>VLOOKUP(tbl_details5[[#This Row],[Order ID]],Table1[],4,FALSE)</f>
        <v>Wale</v>
      </c>
      <c r="K355" t="str">
        <f>VLOOKUP(tbl_details5[[#This Row],[Order ID]],Table1[],5,FALSE)</f>
        <v>Maharashtra</v>
      </c>
      <c r="L355" t="str">
        <f>VLOOKUP(tbl_details5[[#This Row],[Order ID]],Table1[],6,FALSE)</f>
        <v>Mumbai</v>
      </c>
    </row>
    <row r="356" spans="1:12" x14ac:dyDescent="0.25">
      <c r="A356" t="s">
        <v>280</v>
      </c>
      <c r="B356" s="4">
        <v>16</v>
      </c>
      <c r="C356" s="4">
        <v>-12</v>
      </c>
      <c r="D356" s="5">
        <f>tbl_details5[[#This Row],[Profit]]/tbl_details5[[#This Row],[Revenue]]</f>
        <v>-0.75</v>
      </c>
      <c r="E356">
        <v>2</v>
      </c>
      <c r="F356" t="s">
        <v>885</v>
      </c>
      <c r="G356" t="s">
        <v>886</v>
      </c>
      <c r="H356" s="1">
        <f>VLOOKUP(tbl_details5[[#This Row],[Order ID]],Orders!A:F,2,FALSE)</f>
        <v>43299</v>
      </c>
      <c r="I356" s="1" t="str">
        <f>TEXT(tbl_details5[[#This Row],[Order Date]],"mmm-yy")</f>
        <v>Jul-18</v>
      </c>
      <c r="J356" t="str">
        <f>VLOOKUP(tbl_details5[[#This Row],[Order ID]],Table1[],4,FALSE)</f>
        <v>Wale</v>
      </c>
      <c r="K356" t="str">
        <f>VLOOKUP(tbl_details5[[#This Row],[Order ID]],Table1[],5,FALSE)</f>
        <v>Maharashtra</v>
      </c>
      <c r="L356" t="str">
        <f>VLOOKUP(tbl_details5[[#This Row],[Order ID]],Table1[],6,FALSE)</f>
        <v>Mumbai</v>
      </c>
    </row>
    <row r="357" spans="1:12" x14ac:dyDescent="0.25">
      <c r="A357" t="s">
        <v>280</v>
      </c>
      <c r="B357" s="4">
        <v>12</v>
      </c>
      <c r="C357" s="4">
        <v>-7</v>
      </c>
      <c r="D357" s="5">
        <f>tbl_details5[[#This Row],[Profit]]/tbl_details5[[#This Row],[Revenue]]</f>
        <v>-0.58333333333333337</v>
      </c>
      <c r="E357">
        <v>2</v>
      </c>
      <c r="F357" t="s">
        <v>885</v>
      </c>
      <c r="G357" t="s">
        <v>897</v>
      </c>
      <c r="H357" s="1">
        <f>VLOOKUP(tbl_details5[[#This Row],[Order ID]],Orders!A:F,2,FALSE)</f>
        <v>43299</v>
      </c>
      <c r="I357" s="1" t="str">
        <f>TEXT(tbl_details5[[#This Row],[Order Date]],"mmm-yy")</f>
        <v>Jul-18</v>
      </c>
      <c r="J357" t="str">
        <f>VLOOKUP(tbl_details5[[#This Row],[Order ID]],Table1[],4,FALSE)</f>
        <v>Wale</v>
      </c>
      <c r="K357" t="str">
        <f>VLOOKUP(tbl_details5[[#This Row],[Order ID]],Table1[],5,FALSE)</f>
        <v>Maharashtra</v>
      </c>
      <c r="L357" t="str">
        <f>VLOOKUP(tbl_details5[[#This Row],[Order ID]],Table1[],6,FALSE)</f>
        <v>Mumbai</v>
      </c>
    </row>
    <row r="358" spans="1:12" x14ac:dyDescent="0.25">
      <c r="A358" t="s">
        <v>280</v>
      </c>
      <c r="B358" s="4">
        <v>76</v>
      </c>
      <c r="C358" s="4">
        <v>-54</v>
      </c>
      <c r="D358" s="5">
        <f>tbl_details5[[#This Row],[Profit]]/tbl_details5[[#This Row],[Revenue]]</f>
        <v>-0.71052631578947367</v>
      </c>
      <c r="E358">
        <v>3</v>
      </c>
      <c r="F358" t="s">
        <v>888</v>
      </c>
      <c r="G358" t="s">
        <v>889</v>
      </c>
      <c r="H358" s="1">
        <f>VLOOKUP(tbl_details5[[#This Row],[Order ID]],Orders!A:F,2,FALSE)</f>
        <v>43299</v>
      </c>
      <c r="I358" s="1" t="str">
        <f>TEXT(tbl_details5[[#This Row],[Order Date]],"mmm-yy")</f>
        <v>Jul-18</v>
      </c>
      <c r="J358" t="str">
        <f>VLOOKUP(tbl_details5[[#This Row],[Order ID]],Table1[],4,FALSE)</f>
        <v>Wale</v>
      </c>
      <c r="K358" t="str">
        <f>VLOOKUP(tbl_details5[[#This Row],[Order ID]],Table1[],5,FALSE)</f>
        <v>Maharashtra</v>
      </c>
      <c r="L358" t="str">
        <f>VLOOKUP(tbl_details5[[#This Row],[Order ID]],Table1[],6,FALSE)</f>
        <v>Mumbai</v>
      </c>
    </row>
    <row r="359" spans="1:12" x14ac:dyDescent="0.25">
      <c r="A359" t="s">
        <v>282</v>
      </c>
      <c r="B359" s="4">
        <v>168</v>
      </c>
      <c r="C359" s="4">
        <v>-51</v>
      </c>
      <c r="D359" s="5">
        <f>tbl_details5[[#This Row],[Profit]]/tbl_details5[[#This Row],[Revenue]]</f>
        <v>-0.30357142857142855</v>
      </c>
      <c r="E359">
        <v>2</v>
      </c>
      <c r="F359" t="s">
        <v>883</v>
      </c>
      <c r="G359" t="s">
        <v>884</v>
      </c>
      <c r="H359" s="1">
        <f>VLOOKUP(tbl_details5[[#This Row],[Order ID]],Orders!A:F,2,FALSE)</f>
        <v>43300</v>
      </c>
      <c r="I359" s="1" t="str">
        <f>TEXT(tbl_details5[[#This Row],[Order Date]],"mmm-yy")</f>
        <v>Jul-18</v>
      </c>
      <c r="J359" t="str">
        <f>VLOOKUP(tbl_details5[[#This Row],[Order ID]],Table1[],4,FALSE)</f>
        <v>Sheetal</v>
      </c>
      <c r="K359" t="str">
        <f>VLOOKUP(tbl_details5[[#This Row],[Order ID]],Table1[],5,FALSE)</f>
        <v>Madhya Pradesh</v>
      </c>
      <c r="L359" t="str">
        <f>VLOOKUP(tbl_details5[[#This Row],[Order ID]],Table1[],6,FALSE)</f>
        <v>Indore</v>
      </c>
    </row>
    <row r="360" spans="1:12" x14ac:dyDescent="0.25">
      <c r="A360" t="s">
        <v>283</v>
      </c>
      <c r="B360" s="4">
        <v>23</v>
      </c>
      <c r="C360" s="4">
        <v>-5</v>
      </c>
      <c r="D360" s="5">
        <f>tbl_details5[[#This Row],[Profit]]/tbl_details5[[#This Row],[Revenue]]</f>
        <v>-0.21739130434782608</v>
      </c>
      <c r="E360">
        <v>7</v>
      </c>
      <c r="F360" t="s">
        <v>885</v>
      </c>
      <c r="G360" t="s">
        <v>887</v>
      </c>
      <c r="H360" s="1">
        <f>VLOOKUP(tbl_details5[[#This Row],[Order ID]],Orders!A:F,2,FALSE)</f>
        <v>43301</v>
      </c>
      <c r="I360" s="1" t="str">
        <f>TEXT(tbl_details5[[#This Row],[Order Date]],"mmm-yy")</f>
        <v>Jul-18</v>
      </c>
      <c r="J360" t="str">
        <f>VLOOKUP(tbl_details5[[#This Row],[Order ID]],Table1[],4,FALSE)</f>
        <v>Anisha</v>
      </c>
      <c r="K360" t="str">
        <f>VLOOKUP(tbl_details5[[#This Row],[Order ID]],Table1[],5,FALSE)</f>
        <v>Nagaland</v>
      </c>
      <c r="L360" t="str">
        <f>VLOOKUP(tbl_details5[[#This Row],[Order ID]],Table1[],6,FALSE)</f>
        <v>Kohima</v>
      </c>
    </row>
    <row r="361" spans="1:12" x14ac:dyDescent="0.25">
      <c r="A361" t="s">
        <v>283</v>
      </c>
      <c r="B361" s="4">
        <v>26</v>
      </c>
      <c r="C361" s="4">
        <v>-5</v>
      </c>
      <c r="D361" s="5">
        <f>tbl_details5[[#This Row],[Profit]]/tbl_details5[[#This Row],[Revenue]]</f>
        <v>-0.19230769230769232</v>
      </c>
      <c r="E361">
        <v>2</v>
      </c>
      <c r="F361" t="s">
        <v>885</v>
      </c>
      <c r="G361" t="s">
        <v>886</v>
      </c>
      <c r="H361" s="1">
        <f>VLOOKUP(tbl_details5[[#This Row],[Order ID]],Orders!A:F,2,FALSE)</f>
        <v>43301</v>
      </c>
      <c r="I361" s="1" t="str">
        <f>TEXT(tbl_details5[[#This Row],[Order Date]],"mmm-yy")</f>
        <v>Jul-18</v>
      </c>
      <c r="J361" t="str">
        <f>VLOOKUP(tbl_details5[[#This Row],[Order ID]],Table1[],4,FALSE)</f>
        <v>Anisha</v>
      </c>
      <c r="K361" t="str">
        <f>VLOOKUP(tbl_details5[[#This Row],[Order ID]],Table1[],5,FALSE)</f>
        <v>Nagaland</v>
      </c>
      <c r="L361" t="str">
        <f>VLOOKUP(tbl_details5[[#This Row],[Order ID]],Table1[],6,FALSE)</f>
        <v>Kohima</v>
      </c>
    </row>
    <row r="362" spans="1:12" x14ac:dyDescent="0.25">
      <c r="A362" t="s">
        <v>283</v>
      </c>
      <c r="B362" s="4">
        <v>144</v>
      </c>
      <c r="C362" s="4">
        <v>-7</v>
      </c>
      <c r="D362" s="5">
        <f>tbl_details5[[#This Row],[Profit]]/tbl_details5[[#This Row],[Revenue]]</f>
        <v>-4.8611111111111112E-2</v>
      </c>
      <c r="E362">
        <v>4</v>
      </c>
      <c r="F362" t="s">
        <v>888</v>
      </c>
      <c r="G362" t="s">
        <v>889</v>
      </c>
      <c r="H362" s="1">
        <f>VLOOKUP(tbl_details5[[#This Row],[Order ID]],Orders!A:F,2,FALSE)</f>
        <v>43301</v>
      </c>
      <c r="I362" s="1" t="str">
        <f>TEXT(tbl_details5[[#This Row],[Order Date]],"mmm-yy")</f>
        <v>Jul-18</v>
      </c>
      <c r="J362" t="str">
        <f>VLOOKUP(tbl_details5[[#This Row],[Order ID]],Table1[],4,FALSE)</f>
        <v>Anisha</v>
      </c>
      <c r="K362" t="str">
        <f>VLOOKUP(tbl_details5[[#This Row],[Order ID]],Table1[],5,FALSE)</f>
        <v>Nagaland</v>
      </c>
      <c r="L362" t="str">
        <f>VLOOKUP(tbl_details5[[#This Row],[Order ID]],Table1[],6,FALSE)</f>
        <v>Kohima</v>
      </c>
    </row>
    <row r="363" spans="1:12" x14ac:dyDescent="0.25">
      <c r="A363" t="s">
        <v>285</v>
      </c>
      <c r="B363" s="4">
        <v>490</v>
      </c>
      <c r="C363" s="4">
        <v>-128</v>
      </c>
      <c r="D363" s="5">
        <f>tbl_details5[[#This Row],[Profit]]/tbl_details5[[#This Row],[Revenue]]</f>
        <v>-0.26122448979591839</v>
      </c>
      <c r="E363">
        <v>8</v>
      </c>
      <c r="F363" t="s">
        <v>883</v>
      </c>
      <c r="G363" t="s">
        <v>884</v>
      </c>
      <c r="H363" s="1">
        <f>VLOOKUP(tbl_details5[[#This Row],[Order ID]],Orders!A:F,2,FALSE)</f>
        <v>43302</v>
      </c>
      <c r="I363" s="1" t="str">
        <f>TEXT(tbl_details5[[#This Row],[Order Date]],"mmm-yy")</f>
        <v>Jul-18</v>
      </c>
      <c r="J363" t="str">
        <f>VLOOKUP(tbl_details5[[#This Row],[Order ID]],Table1[],4,FALSE)</f>
        <v>Kiran</v>
      </c>
      <c r="K363" t="str">
        <f>VLOOKUP(tbl_details5[[#This Row],[Order ID]],Table1[],5,FALSE)</f>
        <v>Maharashtra</v>
      </c>
      <c r="L363" t="str">
        <f>VLOOKUP(tbl_details5[[#This Row],[Order ID]],Table1[],6,FALSE)</f>
        <v>Mumbai</v>
      </c>
    </row>
    <row r="364" spans="1:12" x14ac:dyDescent="0.25">
      <c r="A364" t="s">
        <v>287</v>
      </c>
      <c r="B364" s="4">
        <v>57</v>
      </c>
      <c r="C364" s="4">
        <v>-48</v>
      </c>
      <c r="D364" s="5">
        <f>tbl_details5[[#This Row],[Profit]]/tbl_details5[[#This Row],[Revenue]]</f>
        <v>-0.84210526315789469</v>
      </c>
      <c r="E364">
        <v>6</v>
      </c>
      <c r="F364" t="s">
        <v>885</v>
      </c>
      <c r="G364" t="s">
        <v>897</v>
      </c>
      <c r="H364" s="1">
        <f>VLOOKUP(tbl_details5[[#This Row],[Order ID]],Orders!A:F,2,FALSE)</f>
        <v>43303</v>
      </c>
      <c r="I364" s="1" t="str">
        <f>TEXT(tbl_details5[[#This Row],[Order Date]],"mmm-yy")</f>
        <v>Jul-18</v>
      </c>
      <c r="J364" t="str">
        <f>VLOOKUP(tbl_details5[[#This Row],[Order ID]],Table1[],4,FALSE)</f>
        <v>Turumella</v>
      </c>
      <c r="K364" t="str">
        <f>VLOOKUP(tbl_details5[[#This Row],[Order ID]],Table1[],5,FALSE)</f>
        <v>Madhya Pradesh</v>
      </c>
      <c r="L364" t="str">
        <f>VLOOKUP(tbl_details5[[#This Row],[Order ID]],Table1[],6,FALSE)</f>
        <v>Indore</v>
      </c>
    </row>
    <row r="365" spans="1:12" x14ac:dyDescent="0.25">
      <c r="A365" t="s">
        <v>287</v>
      </c>
      <c r="B365" s="4">
        <v>327</v>
      </c>
      <c r="C365" s="4">
        <v>114</v>
      </c>
      <c r="D365" s="5">
        <f>tbl_details5[[#This Row],[Profit]]/tbl_details5[[#This Row],[Revenue]]</f>
        <v>0.34862385321100919</v>
      </c>
      <c r="E365">
        <v>4</v>
      </c>
      <c r="F365" t="s">
        <v>885</v>
      </c>
      <c r="G365" t="s">
        <v>892</v>
      </c>
      <c r="H365" s="1">
        <f>VLOOKUP(tbl_details5[[#This Row],[Order ID]],Orders!A:F,2,FALSE)</f>
        <v>43303</v>
      </c>
      <c r="I365" s="1" t="str">
        <f>TEXT(tbl_details5[[#This Row],[Order Date]],"mmm-yy")</f>
        <v>Jul-18</v>
      </c>
      <c r="J365" t="str">
        <f>VLOOKUP(tbl_details5[[#This Row],[Order ID]],Table1[],4,FALSE)</f>
        <v>Turumella</v>
      </c>
      <c r="K365" t="str">
        <f>VLOOKUP(tbl_details5[[#This Row],[Order ID]],Table1[],5,FALSE)</f>
        <v>Madhya Pradesh</v>
      </c>
      <c r="L365" t="str">
        <f>VLOOKUP(tbl_details5[[#This Row],[Order ID]],Table1[],6,FALSE)</f>
        <v>Indore</v>
      </c>
    </row>
    <row r="366" spans="1:12" x14ac:dyDescent="0.25">
      <c r="A366" t="s">
        <v>289</v>
      </c>
      <c r="B366" s="4">
        <v>1055</v>
      </c>
      <c r="C366" s="4">
        <v>264</v>
      </c>
      <c r="D366" s="5">
        <f>tbl_details5[[#This Row],[Profit]]/tbl_details5[[#This Row],[Revenue]]</f>
        <v>0.25023696682464452</v>
      </c>
      <c r="E366">
        <v>4</v>
      </c>
      <c r="F366" t="s">
        <v>888</v>
      </c>
      <c r="G366" t="s">
        <v>899</v>
      </c>
      <c r="H366" s="1">
        <f>VLOOKUP(tbl_details5[[#This Row],[Order ID]],Orders!A:F,2,FALSE)</f>
        <v>43303</v>
      </c>
      <c r="I366" s="1" t="str">
        <f>TEXT(tbl_details5[[#This Row],[Order Date]],"mmm-yy")</f>
        <v>Jul-18</v>
      </c>
      <c r="J366" t="str">
        <f>VLOOKUP(tbl_details5[[#This Row],[Order ID]],Table1[],4,FALSE)</f>
        <v>Ameesha</v>
      </c>
      <c r="K366" t="str">
        <f>VLOOKUP(tbl_details5[[#This Row],[Order ID]],Table1[],5,FALSE)</f>
        <v>Maharashtra</v>
      </c>
      <c r="L366" t="str">
        <f>VLOOKUP(tbl_details5[[#This Row],[Order ID]],Table1[],6,FALSE)</f>
        <v>Pune</v>
      </c>
    </row>
    <row r="367" spans="1:12" x14ac:dyDescent="0.25">
      <c r="A367" t="s">
        <v>289</v>
      </c>
      <c r="B367" s="4">
        <v>771</v>
      </c>
      <c r="C367" s="4">
        <v>-424</v>
      </c>
      <c r="D367" s="5">
        <f>tbl_details5[[#This Row],[Profit]]/tbl_details5[[#This Row],[Revenue]]</f>
        <v>-0.54993514915693908</v>
      </c>
      <c r="E367">
        <v>2</v>
      </c>
      <c r="F367" t="s">
        <v>888</v>
      </c>
      <c r="G367" t="s">
        <v>890</v>
      </c>
      <c r="H367" s="1">
        <f>VLOOKUP(tbl_details5[[#This Row],[Order ID]],Orders!A:F,2,FALSE)</f>
        <v>43303</v>
      </c>
      <c r="I367" s="1" t="str">
        <f>TEXT(tbl_details5[[#This Row],[Order Date]],"mmm-yy")</f>
        <v>Jul-18</v>
      </c>
      <c r="J367" t="str">
        <f>VLOOKUP(tbl_details5[[#This Row],[Order ID]],Table1[],4,FALSE)</f>
        <v>Ameesha</v>
      </c>
      <c r="K367" t="str">
        <f>VLOOKUP(tbl_details5[[#This Row],[Order ID]],Table1[],5,FALSE)</f>
        <v>Maharashtra</v>
      </c>
      <c r="L367" t="str">
        <f>VLOOKUP(tbl_details5[[#This Row],[Order ID]],Table1[],6,FALSE)</f>
        <v>Pune</v>
      </c>
    </row>
    <row r="368" spans="1:12" x14ac:dyDescent="0.25">
      <c r="A368" t="s">
        <v>289</v>
      </c>
      <c r="B368" s="4">
        <v>322</v>
      </c>
      <c r="C368" s="4">
        <v>-113</v>
      </c>
      <c r="D368" s="5">
        <f>tbl_details5[[#This Row],[Profit]]/tbl_details5[[#This Row],[Revenue]]</f>
        <v>-0.35093167701863354</v>
      </c>
      <c r="E368">
        <v>4</v>
      </c>
      <c r="F368" t="s">
        <v>885</v>
      </c>
      <c r="G368" t="s">
        <v>891</v>
      </c>
      <c r="H368" s="1">
        <f>VLOOKUP(tbl_details5[[#This Row],[Order ID]],Orders!A:F,2,FALSE)</f>
        <v>43303</v>
      </c>
      <c r="I368" s="1" t="str">
        <f>TEXT(tbl_details5[[#This Row],[Order Date]],"mmm-yy")</f>
        <v>Jul-18</v>
      </c>
      <c r="J368" t="str">
        <f>VLOOKUP(tbl_details5[[#This Row],[Order ID]],Table1[],4,FALSE)</f>
        <v>Ameesha</v>
      </c>
      <c r="K368" t="str">
        <f>VLOOKUP(tbl_details5[[#This Row],[Order ID]],Table1[],5,FALSE)</f>
        <v>Maharashtra</v>
      </c>
      <c r="L368" t="str">
        <f>VLOOKUP(tbl_details5[[#This Row],[Order ID]],Table1[],6,FALSE)</f>
        <v>Pune</v>
      </c>
    </row>
    <row r="369" spans="1:12" x14ac:dyDescent="0.25">
      <c r="A369" t="s">
        <v>291</v>
      </c>
      <c r="B369" s="4">
        <v>1549</v>
      </c>
      <c r="C369" s="4">
        <v>-439</v>
      </c>
      <c r="D369" s="5">
        <f>tbl_details5[[#This Row],[Profit]]/tbl_details5[[#This Row],[Revenue]]</f>
        <v>-0.28340865074241445</v>
      </c>
      <c r="E369">
        <v>4</v>
      </c>
      <c r="F369" t="s">
        <v>888</v>
      </c>
      <c r="G369" t="s">
        <v>890</v>
      </c>
      <c r="H369" s="1">
        <f>VLOOKUP(tbl_details5[[#This Row],[Order ID]],Orders!A:F,2,FALSE)</f>
        <v>43303</v>
      </c>
      <c r="I369" s="1" t="str">
        <f>TEXT(tbl_details5[[#This Row],[Order Date]],"mmm-yy")</f>
        <v>Jul-18</v>
      </c>
      <c r="J369" t="str">
        <f>VLOOKUP(tbl_details5[[#This Row],[Order ID]],Table1[],4,FALSE)</f>
        <v>Madhulika</v>
      </c>
      <c r="K369" t="str">
        <f>VLOOKUP(tbl_details5[[#This Row],[Order ID]],Table1[],5,FALSE)</f>
        <v>Madhya Pradesh</v>
      </c>
      <c r="L369" t="str">
        <f>VLOOKUP(tbl_details5[[#This Row],[Order ID]],Table1[],6,FALSE)</f>
        <v>Bhopal</v>
      </c>
    </row>
    <row r="370" spans="1:12" x14ac:dyDescent="0.25">
      <c r="A370" t="s">
        <v>293</v>
      </c>
      <c r="B370" s="4">
        <v>1145</v>
      </c>
      <c r="C370" s="4">
        <v>-706</v>
      </c>
      <c r="D370" s="5">
        <f>tbl_details5[[#This Row],[Profit]]/tbl_details5[[#This Row],[Revenue]]</f>
        <v>-0.61659388646288205</v>
      </c>
      <c r="E370">
        <v>3</v>
      </c>
      <c r="F370" t="s">
        <v>888</v>
      </c>
      <c r="G370" t="s">
        <v>890</v>
      </c>
      <c r="H370" s="1">
        <f>VLOOKUP(tbl_details5[[#This Row],[Order ID]],Orders!A:F,2,FALSE)</f>
        <v>43303</v>
      </c>
      <c r="I370" s="1" t="str">
        <f>TEXT(tbl_details5[[#This Row],[Order Date]],"mmm-yy")</f>
        <v>Jul-18</v>
      </c>
      <c r="J370" t="str">
        <f>VLOOKUP(tbl_details5[[#This Row],[Order ID]],Table1[],4,FALSE)</f>
        <v>Rishabh</v>
      </c>
      <c r="K370" t="str">
        <f>VLOOKUP(tbl_details5[[#This Row],[Order ID]],Table1[],5,FALSE)</f>
        <v>Rajasthan</v>
      </c>
      <c r="L370" t="str">
        <f>VLOOKUP(tbl_details5[[#This Row],[Order ID]],Table1[],6,FALSE)</f>
        <v>Jaipur</v>
      </c>
    </row>
    <row r="371" spans="1:12" x14ac:dyDescent="0.25">
      <c r="A371" t="s">
        <v>293</v>
      </c>
      <c r="B371" s="4">
        <v>473</v>
      </c>
      <c r="C371" s="4">
        <v>42</v>
      </c>
      <c r="D371" s="5">
        <f>tbl_details5[[#This Row],[Profit]]/tbl_details5[[#This Row],[Revenue]]</f>
        <v>8.8794926004228336E-2</v>
      </c>
      <c r="E371">
        <v>4</v>
      </c>
      <c r="F371" t="s">
        <v>883</v>
      </c>
      <c r="G371" t="s">
        <v>893</v>
      </c>
      <c r="H371" s="1">
        <f>VLOOKUP(tbl_details5[[#This Row],[Order ID]],Orders!A:F,2,FALSE)</f>
        <v>43303</v>
      </c>
      <c r="I371" s="1" t="str">
        <f>TEXT(tbl_details5[[#This Row],[Order Date]],"mmm-yy")</f>
        <v>Jul-18</v>
      </c>
      <c r="J371" t="str">
        <f>VLOOKUP(tbl_details5[[#This Row],[Order ID]],Table1[],4,FALSE)</f>
        <v>Rishabh</v>
      </c>
      <c r="K371" t="str">
        <f>VLOOKUP(tbl_details5[[#This Row],[Order ID]],Table1[],5,FALSE)</f>
        <v>Rajasthan</v>
      </c>
      <c r="L371" t="str">
        <f>VLOOKUP(tbl_details5[[#This Row],[Order ID]],Table1[],6,FALSE)</f>
        <v>Jaipur</v>
      </c>
    </row>
    <row r="372" spans="1:12" x14ac:dyDescent="0.25">
      <c r="A372" t="s">
        <v>293</v>
      </c>
      <c r="B372" s="4">
        <v>96</v>
      </c>
      <c r="C372" s="4">
        <v>22</v>
      </c>
      <c r="D372" s="5">
        <f>tbl_details5[[#This Row],[Profit]]/tbl_details5[[#This Row],[Revenue]]</f>
        <v>0.22916666666666666</v>
      </c>
      <c r="E372">
        <v>5</v>
      </c>
      <c r="F372" t="s">
        <v>885</v>
      </c>
      <c r="G372" t="s">
        <v>886</v>
      </c>
      <c r="H372" s="1">
        <f>VLOOKUP(tbl_details5[[#This Row],[Order ID]],Orders!A:F,2,FALSE)</f>
        <v>43303</v>
      </c>
      <c r="I372" s="1" t="str">
        <f>TEXT(tbl_details5[[#This Row],[Order Date]],"mmm-yy")</f>
        <v>Jul-18</v>
      </c>
      <c r="J372" t="str">
        <f>VLOOKUP(tbl_details5[[#This Row],[Order ID]],Table1[],4,FALSE)</f>
        <v>Rishabh</v>
      </c>
      <c r="K372" t="str">
        <f>VLOOKUP(tbl_details5[[#This Row],[Order ID]],Table1[],5,FALSE)</f>
        <v>Rajasthan</v>
      </c>
      <c r="L372" t="str">
        <f>VLOOKUP(tbl_details5[[#This Row],[Order ID]],Table1[],6,FALSE)</f>
        <v>Jaipur</v>
      </c>
    </row>
    <row r="373" spans="1:12" x14ac:dyDescent="0.25">
      <c r="A373" t="s">
        <v>293</v>
      </c>
      <c r="B373" s="4">
        <v>18</v>
      </c>
      <c r="C373" s="4">
        <v>8</v>
      </c>
      <c r="D373" s="5">
        <f>tbl_details5[[#This Row],[Profit]]/tbl_details5[[#This Row],[Revenue]]</f>
        <v>0.44444444444444442</v>
      </c>
      <c r="E373">
        <v>2</v>
      </c>
      <c r="F373" t="s">
        <v>885</v>
      </c>
      <c r="G373" t="s">
        <v>887</v>
      </c>
      <c r="H373" s="1">
        <f>VLOOKUP(tbl_details5[[#This Row],[Order ID]],Orders!A:F,2,FALSE)</f>
        <v>43303</v>
      </c>
      <c r="I373" s="1" t="str">
        <f>TEXT(tbl_details5[[#This Row],[Order Date]],"mmm-yy")</f>
        <v>Jul-18</v>
      </c>
      <c r="J373" t="str">
        <f>VLOOKUP(tbl_details5[[#This Row],[Order ID]],Table1[],4,FALSE)</f>
        <v>Rishabh</v>
      </c>
      <c r="K373" t="str">
        <f>VLOOKUP(tbl_details5[[#This Row],[Order ID]],Table1[],5,FALSE)</f>
        <v>Rajasthan</v>
      </c>
      <c r="L373" t="str">
        <f>VLOOKUP(tbl_details5[[#This Row],[Order ID]],Table1[],6,FALSE)</f>
        <v>Jaipur</v>
      </c>
    </row>
    <row r="374" spans="1:12" x14ac:dyDescent="0.25">
      <c r="A374" t="s">
        <v>293</v>
      </c>
      <c r="B374" s="4">
        <v>187</v>
      </c>
      <c r="C374" s="4">
        <v>30</v>
      </c>
      <c r="D374" s="5">
        <f>tbl_details5[[#This Row],[Profit]]/tbl_details5[[#This Row],[Revenue]]</f>
        <v>0.16042780748663102</v>
      </c>
      <c r="E374">
        <v>4</v>
      </c>
      <c r="F374" t="s">
        <v>888</v>
      </c>
      <c r="G374" t="s">
        <v>900</v>
      </c>
      <c r="H374" s="1">
        <f>VLOOKUP(tbl_details5[[#This Row],[Order ID]],Orders!A:F,2,FALSE)</f>
        <v>43303</v>
      </c>
      <c r="I374" s="1" t="str">
        <f>TEXT(tbl_details5[[#This Row],[Order Date]],"mmm-yy")</f>
        <v>Jul-18</v>
      </c>
      <c r="J374" t="str">
        <f>VLOOKUP(tbl_details5[[#This Row],[Order ID]],Table1[],4,FALSE)</f>
        <v>Rishabh</v>
      </c>
      <c r="K374" t="str">
        <f>VLOOKUP(tbl_details5[[#This Row],[Order ID]],Table1[],5,FALSE)</f>
        <v>Rajasthan</v>
      </c>
      <c r="L374" t="str">
        <f>VLOOKUP(tbl_details5[[#This Row],[Order ID]],Table1[],6,FALSE)</f>
        <v>Jaipur</v>
      </c>
    </row>
    <row r="375" spans="1:12" x14ac:dyDescent="0.25">
      <c r="A375" t="s">
        <v>293</v>
      </c>
      <c r="B375" s="4">
        <v>83</v>
      </c>
      <c r="C375" s="4">
        <v>-81</v>
      </c>
      <c r="D375" s="5">
        <f>tbl_details5[[#This Row],[Profit]]/tbl_details5[[#This Row],[Revenue]]</f>
        <v>-0.97590361445783136</v>
      </c>
      <c r="E375">
        <v>3</v>
      </c>
      <c r="F375" t="s">
        <v>883</v>
      </c>
      <c r="G375" t="s">
        <v>893</v>
      </c>
      <c r="H375" s="1">
        <f>VLOOKUP(tbl_details5[[#This Row],[Order ID]],Orders!A:F,2,FALSE)</f>
        <v>43303</v>
      </c>
      <c r="I375" s="1" t="str">
        <f>TEXT(tbl_details5[[#This Row],[Order Date]],"mmm-yy")</f>
        <v>Jul-18</v>
      </c>
      <c r="J375" t="str">
        <f>VLOOKUP(tbl_details5[[#This Row],[Order ID]],Table1[],4,FALSE)</f>
        <v>Rishabh</v>
      </c>
      <c r="K375" t="str">
        <f>VLOOKUP(tbl_details5[[#This Row],[Order ID]],Table1[],5,FALSE)</f>
        <v>Rajasthan</v>
      </c>
      <c r="L375" t="str">
        <f>VLOOKUP(tbl_details5[[#This Row],[Order ID]],Table1[],6,FALSE)</f>
        <v>Jaipur</v>
      </c>
    </row>
    <row r="376" spans="1:12" x14ac:dyDescent="0.25">
      <c r="A376" t="s">
        <v>295</v>
      </c>
      <c r="B376" s="4">
        <v>131</v>
      </c>
      <c r="C376" s="4">
        <v>-154</v>
      </c>
      <c r="D376" s="5">
        <f>tbl_details5[[#This Row],[Profit]]/tbl_details5[[#This Row],[Revenue]]</f>
        <v>-1.1755725190839694</v>
      </c>
      <c r="E376">
        <v>8</v>
      </c>
      <c r="F376" t="s">
        <v>883</v>
      </c>
      <c r="G376" t="s">
        <v>901</v>
      </c>
      <c r="H376" s="1">
        <f>VLOOKUP(tbl_details5[[#This Row],[Order ID]],Orders!A:F,2,FALSE)</f>
        <v>43307</v>
      </c>
      <c r="I376" s="1" t="str">
        <f>TEXT(tbl_details5[[#This Row],[Order Date]],"mmm-yy")</f>
        <v>Jul-18</v>
      </c>
      <c r="J376" t="str">
        <f>VLOOKUP(tbl_details5[[#This Row],[Order ID]],Table1[],4,FALSE)</f>
        <v>Akash</v>
      </c>
      <c r="K376" t="str">
        <f>VLOOKUP(tbl_details5[[#This Row],[Order ID]],Table1[],5,FALSE)</f>
        <v>West Bengal</v>
      </c>
      <c r="L376" t="str">
        <f>VLOOKUP(tbl_details5[[#This Row],[Order ID]],Table1[],6,FALSE)</f>
        <v>Kolkata</v>
      </c>
    </row>
    <row r="377" spans="1:12" x14ac:dyDescent="0.25">
      <c r="A377" t="s">
        <v>297</v>
      </c>
      <c r="B377" s="4">
        <v>16</v>
      </c>
      <c r="C377" s="4">
        <v>-5</v>
      </c>
      <c r="D377" s="5">
        <f>tbl_details5[[#This Row],[Profit]]/tbl_details5[[#This Row],[Revenue]]</f>
        <v>-0.3125</v>
      </c>
      <c r="E377">
        <v>2</v>
      </c>
      <c r="F377" t="s">
        <v>885</v>
      </c>
      <c r="G377" t="s">
        <v>886</v>
      </c>
      <c r="H377" s="1">
        <f>VLOOKUP(tbl_details5[[#This Row],[Order ID]],Orders!A:F,2,FALSE)</f>
        <v>43308</v>
      </c>
      <c r="I377" s="1" t="str">
        <f>TEXT(tbl_details5[[#This Row],[Order Date]],"mmm-yy")</f>
        <v>Jul-18</v>
      </c>
      <c r="J377" t="str">
        <f>VLOOKUP(tbl_details5[[#This Row],[Order ID]],Table1[],4,FALSE)</f>
        <v>Anubhaw</v>
      </c>
      <c r="K377" t="str">
        <f>VLOOKUP(tbl_details5[[#This Row],[Order ID]],Table1[],5,FALSE)</f>
        <v>Karnataka</v>
      </c>
      <c r="L377" t="str">
        <f>VLOOKUP(tbl_details5[[#This Row],[Order ID]],Table1[],6,FALSE)</f>
        <v>Bangalore</v>
      </c>
    </row>
    <row r="378" spans="1:12" x14ac:dyDescent="0.25">
      <c r="A378" t="s">
        <v>299</v>
      </c>
      <c r="B378" s="4">
        <v>43</v>
      </c>
      <c r="C378" s="4">
        <v>-43</v>
      </c>
      <c r="D378" s="5">
        <f>tbl_details5[[#This Row],[Profit]]/tbl_details5[[#This Row],[Revenue]]</f>
        <v>-1</v>
      </c>
      <c r="E378">
        <v>7</v>
      </c>
      <c r="F378" t="s">
        <v>885</v>
      </c>
      <c r="G378" t="s">
        <v>886</v>
      </c>
      <c r="H378" s="1">
        <f>VLOOKUP(tbl_details5[[#This Row],[Order ID]],Orders!A:F,2,FALSE)</f>
        <v>43309</v>
      </c>
      <c r="I378" s="1" t="str">
        <f>TEXT(tbl_details5[[#This Row],[Order Date]],"mmm-yy")</f>
        <v>Jul-18</v>
      </c>
      <c r="J378" t="str">
        <f>VLOOKUP(tbl_details5[[#This Row],[Order ID]],Table1[],4,FALSE)</f>
        <v>Dhirajendu</v>
      </c>
      <c r="K378" t="str">
        <f>VLOOKUP(tbl_details5[[#This Row],[Order ID]],Table1[],5,FALSE)</f>
        <v>Maharashtra</v>
      </c>
      <c r="L378" t="str">
        <f>VLOOKUP(tbl_details5[[#This Row],[Order ID]],Table1[],6,FALSE)</f>
        <v>Mumbai</v>
      </c>
    </row>
    <row r="379" spans="1:12" x14ac:dyDescent="0.25">
      <c r="A379" t="s">
        <v>299</v>
      </c>
      <c r="B379" s="4">
        <v>30</v>
      </c>
      <c r="C379" s="4">
        <v>-10</v>
      </c>
      <c r="D379" s="5">
        <f>tbl_details5[[#This Row],[Profit]]/tbl_details5[[#This Row],[Revenue]]</f>
        <v>-0.33333333333333331</v>
      </c>
      <c r="E379">
        <v>2</v>
      </c>
      <c r="F379" t="s">
        <v>885</v>
      </c>
      <c r="G379" t="s">
        <v>886</v>
      </c>
      <c r="H379" s="1">
        <f>VLOOKUP(tbl_details5[[#This Row],[Order ID]],Orders!A:F,2,FALSE)</f>
        <v>43309</v>
      </c>
      <c r="I379" s="1" t="str">
        <f>TEXT(tbl_details5[[#This Row],[Order Date]],"mmm-yy")</f>
        <v>Jul-18</v>
      </c>
      <c r="J379" t="str">
        <f>VLOOKUP(tbl_details5[[#This Row],[Order ID]],Table1[],4,FALSE)</f>
        <v>Dhirajendu</v>
      </c>
      <c r="K379" t="str">
        <f>VLOOKUP(tbl_details5[[#This Row],[Order ID]],Table1[],5,FALSE)</f>
        <v>Maharashtra</v>
      </c>
      <c r="L379" t="str">
        <f>VLOOKUP(tbl_details5[[#This Row],[Order ID]],Table1[],6,FALSE)</f>
        <v>Mumbai</v>
      </c>
    </row>
    <row r="380" spans="1:12" x14ac:dyDescent="0.25">
      <c r="A380" t="s">
        <v>299</v>
      </c>
      <c r="B380" s="4">
        <v>23</v>
      </c>
      <c r="C380" s="4">
        <v>-6</v>
      </c>
      <c r="D380" s="5">
        <f>tbl_details5[[#This Row],[Profit]]/tbl_details5[[#This Row],[Revenue]]</f>
        <v>-0.2608695652173913</v>
      </c>
      <c r="E380">
        <v>4</v>
      </c>
      <c r="F380" t="s">
        <v>885</v>
      </c>
      <c r="G380" t="s">
        <v>887</v>
      </c>
      <c r="H380" s="1">
        <f>VLOOKUP(tbl_details5[[#This Row],[Order ID]],Orders!A:F,2,FALSE)</f>
        <v>43309</v>
      </c>
      <c r="I380" s="1" t="str">
        <f>TEXT(tbl_details5[[#This Row],[Order Date]],"mmm-yy")</f>
        <v>Jul-18</v>
      </c>
      <c r="J380" t="str">
        <f>VLOOKUP(tbl_details5[[#This Row],[Order ID]],Table1[],4,FALSE)</f>
        <v>Dhirajendu</v>
      </c>
      <c r="K380" t="str">
        <f>VLOOKUP(tbl_details5[[#This Row],[Order ID]],Table1[],5,FALSE)</f>
        <v>Maharashtra</v>
      </c>
      <c r="L380" t="str">
        <f>VLOOKUP(tbl_details5[[#This Row],[Order ID]],Table1[],6,FALSE)</f>
        <v>Mumbai</v>
      </c>
    </row>
    <row r="381" spans="1:12" x14ac:dyDescent="0.25">
      <c r="A381" t="s">
        <v>301</v>
      </c>
      <c r="B381" s="4">
        <v>108</v>
      </c>
      <c r="C381" s="4">
        <v>-19</v>
      </c>
      <c r="D381" s="5">
        <f>tbl_details5[[#This Row],[Profit]]/tbl_details5[[#This Row],[Revenue]]</f>
        <v>-0.17592592592592593</v>
      </c>
      <c r="E381">
        <v>3</v>
      </c>
      <c r="F381" t="s">
        <v>888</v>
      </c>
      <c r="G381" t="s">
        <v>889</v>
      </c>
      <c r="H381" s="1">
        <f>VLOOKUP(tbl_details5[[#This Row],[Order ID]],Orders!A:F,2,FALSE)</f>
        <v>43310</v>
      </c>
      <c r="I381" s="1" t="str">
        <f>TEXT(tbl_details5[[#This Row],[Order Date]],"mmm-yy")</f>
        <v>Jul-18</v>
      </c>
      <c r="J381" t="str">
        <f>VLOOKUP(tbl_details5[[#This Row],[Order ID]],Table1[],4,FALSE)</f>
        <v>Pranav</v>
      </c>
      <c r="K381" t="str">
        <f>VLOOKUP(tbl_details5[[#This Row],[Order ID]],Table1[],5,FALSE)</f>
        <v>Madhya Pradesh</v>
      </c>
      <c r="L381" t="str">
        <f>VLOOKUP(tbl_details5[[#This Row],[Order ID]],Table1[],6,FALSE)</f>
        <v>Indore</v>
      </c>
    </row>
    <row r="382" spans="1:12" x14ac:dyDescent="0.25">
      <c r="A382" t="s">
        <v>303</v>
      </c>
      <c r="B382" s="4">
        <v>12</v>
      </c>
      <c r="C382" s="4">
        <v>-2</v>
      </c>
      <c r="D382" s="5">
        <f>tbl_details5[[#This Row],[Profit]]/tbl_details5[[#This Row],[Revenue]]</f>
        <v>-0.16666666666666666</v>
      </c>
      <c r="E382">
        <v>3</v>
      </c>
      <c r="F382" t="s">
        <v>885</v>
      </c>
      <c r="G382" t="s">
        <v>887</v>
      </c>
      <c r="H382" s="1">
        <f>VLOOKUP(tbl_details5[[#This Row],[Order ID]],Orders!A:F,2,FALSE)</f>
        <v>43311</v>
      </c>
      <c r="I382" s="1" t="str">
        <f>TEXT(tbl_details5[[#This Row],[Order Date]],"mmm-yy")</f>
        <v>Jul-18</v>
      </c>
      <c r="J382" t="str">
        <f>VLOOKUP(tbl_details5[[#This Row],[Order ID]],Table1[],4,FALSE)</f>
        <v>Arindam</v>
      </c>
      <c r="K382" t="str">
        <f>VLOOKUP(tbl_details5[[#This Row],[Order ID]],Table1[],5,FALSE)</f>
        <v>Uttar Pradesh</v>
      </c>
      <c r="L382" t="str">
        <f>VLOOKUP(tbl_details5[[#This Row],[Order ID]],Table1[],6,FALSE)</f>
        <v>Lucknow</v>
      </c>
    </row>
    <row r="383" spans="1:12" x14ac:dyDescent="0.25">
      <c r="A383" t="s">
        <v>303</v>
      </c>
      <c r="B383" s="4">
        <v>7</v>
      </c>
      <c r="C383" s="4">
        <v>-1</v>
      </c>
      <c r="D383" s="5">
        <f>tbl_details5[[#This Row],[Profit]]/tbl_details5[[#This Row],[Revenue]]</f>
        <v>-0.14285714285714285</v>
      </c>
      <c r="E383">
        <v>2</v>
      </c>
      <c r="F383" t="s">
        <v>885</v>
      </c>
      <c r="G383" t="s">
        <v>902</v>
      </c>
      <c r="H383" s="1">
        <f>VLOOKUP(tbl_details5[[#This Row],[Order ID]],Orders!A:F,2,FALSE)</f>
        <v>43311</v>
      </c>
      <c r="I383" s="1" t="str">
        <f>TEXT(tbl_details5[[#This Row],[Order Date]],"mmm-yy")</f>
        <v>Jul-18</v>
      </c>
      <c r="J383" t="str">
        <f>VLOOKUP(tbl_details5[[#This Row],[Order ID]],Table1[],4,FALSE)</f>
        <v>Arindam</v>
      </c>
      <c r="K383" t="str">
        <f>VLOOKUP(tbl_details5[[#This Row],[Order ID]],Table1[],5,FALSE)</f>
        <v>Uttar Pradesh</v>
      </c>
      <c r="L383" t="str">
        <f>VLOOKUP(tbl_details5[[#This Row],[Order ID]],Table1[],6,FALSE)</f>
        <v>Lucknow</v>
      </c>
    </row>
    <row r="384" spans="1:12" x14ac:dyDescent="0.25">
      <c r="A384" t="s">
        <v>303</v>
      </c>
      <c r="B384" s="4">
        <v>15</v>
      </c>
      <c r="C384" s="4">
        <v>-7</v>
      </c>
      <c r="D384" s="5">
        <f>tbl_details5[[#This Row],[Profit]]/tbl_details5[[#This Row],[Revenue]]</f>
        <v>-0.46666666666666667</v>
      </c>
      <c r="E384">
        <v>1</v>
      </c>
      <c r="F384" t="s">
        <v>885</v>
      </c>
      <c r="G384" t="s">
        <v>887</v>
      </c>
      <c r="H384" s="1">
        <f>VLOOKUP(tbl_details5[[#This Row],[Order ID]],Orders!A:F,2,FALSE)</f>
        <v>43311</v>
      </c>
      <c r="I384" s="1" t="str">
        <f>TEXT(tbl_details5[[#This Row],[Order Date]],"mmm-yy")</f>
        <v>Jul-18</v>
      </c>
      <c r="J384" t="str">
        <f>VLOOKUP(tbl_details5[[#This Row],[Order ID]],Table1[],4,FALSE)</f>
        <v>Arindam</v>
      </c>
      <c r="K384" t="str">
        <f>VLOOKUP(tbl_details5[[#This Row],[Order ID]],Table1[],5,FALSE)</f>
        <v>Uttar Pradesh</v>
      </c>
      <c r="L384" t="str">
        <f>VLOOKUP(tbl_details5[[#This Row],[Order ID]],Table1[],6,FALSE)</f>
        <v>Lucknow</v>
      </c>
    </row>
    <row r="385" spans="1:12" x14ac:dyDescent="0.25">
      <c r="A385" t="s">
        <v>305</v>
      </c>
      <c r="B385" s="4">
        <v>31</v>
      </c>
      <c r="C385" s="4">
        <v>-7</v>
      </c>
      <c r="D385" s="5">
        <f>tbl_details5[[#This Row],[Profit]]/tbl_details5[[#This Row],[Revenue]]</f>
        <v>-0.22580645161290322</v>
      </c>
      <c r="E385">
        <v>5</v>
      </c>
      <c r="F385" t="s">
        <v>885</v>
      </c>
      <c r="G385" t="s">
        <v>902</v>
      </c>
      <c r="H385" s="1">
        <f>VLOOKUP(tbl_details5[[#This Row],[Order ID]],Orders!A:F,2,FALSE)</f>
        <v>43312</v>
      </c>
      <c r="I385" s="1" t="str">
        <f>TEXT(tbl_details5[[#This Row],[Order Date]],"mmm-yy")</f>
        <v>Jul-18</v>
      </c>
      <c r="J385" t="str">
        <f>VLOOKUP(tbl_details5[[#This Row],[Order ID]],Table1[],4,FALSE)</f>
        <v>Akshat</v>
      </c>
      <c r="K385" t="str">
        <f>VLOOKUP(tbl_details5[[#This Row],[Order ID]],Table1[],5,FALSE)</f>
        <v>Maharashtra</v>
      </c>
      <c r="L385" t="str">
        <f>VLOOKUP(tbl_details5[[#This Row],[Order ID]],Table1[],6,FALSE)</f>
        <v>Mumbai</v>
      </c>
    </row>
    <row r="386" spans="1:12" x14ac:dyDescent="0.25">
      <c r="A386" t="s">
        <v>307</v>
      </c>
      <c r="B386" s="4">
        <v>187</v>
      </c>
      <c r="C386" s="4">
        <v>-15</v>
      </c>
      <c r="D386" s="5">
        <f>tbl_details5[[#This Row],[Profit]]/tbl_details5[[#This Row],[Revenue]]</f>
        <v>-8.0213903743315509E-2</v>
      </c>
      <c r="E386">
        <v>3</v>
      </c>
      <c r="F386" t="s">
        <v>885</v>
      </c>
      <c r="G386" t="s">
        <v>892</v>
      </c>
      <c r="H386" s="1">
        <f>VLOOKUP(tbl_details5[[#This Row],[Order ID]],Orders!A:F,2,FALSE)</f>
        <v>43313</v>
      </c>
      <c r="I386" s="1" t="str">
        <f>TEXT(tbl_details5[[#This Row],[Order Date]],"mmm-yy")</f>
        <v>Aug-18</v>
      </c>
      <c r="J386" t="str">
        <f>VLOOKUP(tbl_details5[[#This Row],[Order ID]],Table1[],4,FALSE)</f>
        <v>Shubham</v>
      </c>
      <c r="K386" t="str">
        <f>VLOOKUP(tbl_details5[[#This Row],[Order ID]],Table1[],5,FALSE)</f>
        <v>Madhya Pradesh</v>
      </c>
      <c r="L386" t="str">
        <f>VLOOKUP(tbl_details5[[#This Row],[Order ID]],Table1[],6,FALSE)</f>
        <v>Indore</v>
      </c>
    </row>
    <row r="387" spans="1:12" x14ac:dyDescent="0.25">
      <c r="A387" t="s">
        <v>309</v>
      </c>
      <c r="B387" s="4">
        <v>70</v>
      </c>
      <c r="C387" s="4">
        <v>-14</v>
      </c>
      <c r="D387" s="5">
        <f>tbl_details5[[#This Row],[Profit]]/tbl_details5[[#This Row],[Revenue]]</f>
        <v>-0.2</v>
      </c>
      <c r="E387">
        <v>2</v>
      </c>
      <c r="F387" t="s">
        <v>883</v>
      </c>
      <c r="G387" t="s">
        <v>901</v>
      </c>
      <c r="H387" s="1">
        <f>VLOOKUP(tbl_details5[[#This Row],[Order ID]],Orders!A:F,2,FALSE)</f>
        <v>43314</v>
      </c>
      <c r="I387" s="1" t="str">
        <f>TEXT(tbl_details5[[#This Row],[Order Date]],"mmm-yy")</f>
        <v>Aug-18</v>
      </c>
      <c r="J387" t="str">
        <f>VLOOKUP(tbl_details5[[#This Row],[Order ID]],Table1[],4,FALSE)</f>
        <v>Ayush</v>
      </c>
      <c r="K387" t="str">
        <f>VLOOKUP(tbl_details5[[#This Row],[Order ID]],Table1[],5,FALSE)</f>
        <v>Punjab</v>
      </c>
      <c r="L387" t="str">
        <f>VLOOKUP(tbl_details5[[#This Row],[Order ID]],Table1[],6,FALSE)</f>
        <v>Chandigarh</v>
      </c>
    </row>
    <row r="388" spans="1:12" x14ac:dyDescent="0.25">
      <c r="A388" t="s">
        <v>309</v>
      </c>
      <c r="B388" s="4">
        <v>72</v>
      </c>
      <c r="C388" s="4">
        <v>-6</v>
      </c>
      <c r="D388" s="5">
        <f>tbl_details5[[#This Row],[Profit]]/tbl_details5[[#This Row],[Revenue]]</f>
        <v>-8.3333333333333329E-2</v>
      </c>
      <c r="E388">
        <v>3</v>
      </c>
      <c r="F388" t="s">
        <v>885</v>
      </c>
      <c r="G388" t="s">
        <v>891</v>
      </c>
      <c r="H388" s="1">
        <f>VLOOKUP(tbl_details5[[#This Row],[Order ID]],Orders!A:F,2,FALSE)</f>
        <v>43314</v>
      </c>
      <c r="I388" s="1" t="str">
        <f>TEXT(tbl_details5[[#This Row],[Order Date]],"mmm-yy")</f>
        <v>Aug-18</v>
      </c>
      <c r="J388" t="str">
        <f>VLOOKUP(tbl_details5[[#This Row],[Order ID]],Table1[],4,FALSE)</f>
        <v>Ayush</v>
      </c>
      <c r="K388" t="str">
        <f>VLOOKUP(tbl_details5[[#This Row],[Order ID]],Table1[],5,FALSE)</f>
        <v>Punjab</v>
      </c>
      <c r="L388" t="str">
        <f>VLOOKUP(tbl_details5[[#This Row],[Order ID]],Table1[],6,FALSE)</f>
        <v>Chandigarh</v>
      </c>
    </row>
    <row r="389" spans="1:12" x14ac:dyDescent="0.25">
      <c r="A389" t="s">
        <v>309</v>
      </c>
      <c r="B389" s="4">
        <v>1069</v>
      </c>
      <c r="C389" s="4">
        <v>0</v>
      </c>
      <c r="D389" s="5">
        <f>tbl_details5[[#This Row],[Profit]]/tbl_details5[[#This Row],[Revenue]]</f>
        <v>0</v>
      </c>
      <c r="E389">
        <v>6</v>
      </c>
      <c r="F389" t="s">
        <v>885</v>
      </c>
      <c r="G389" t="s">
        <v>891</v>
      </c>
      <c r="H389" s="1">
        <f>VLOOKUP(tbl_details5[[#This Row],[Order ID]],Orders!A:F,2,FALSE)</f>
        <v>43314</v>
      </c>
      <c r="I389" s="1" t="str">
        <f>TEXT(tbl_details5[[#This Row],[Order Date]],"mmm-yy")</f>
        <v>Aug-18</v>
      </c>
      <c r="J389" t="str">
        <f>VLOOKUP(tbl_details5[[#This Row],[Order ID]],Table1[],4,FALSE)</f>
        <v>Ayush</v>
      </c>
      <c r="K389" t="str">
        <f>VLOOKUP(tbl_details5[[#This Row],[Order ID]],Table1[],5,FALSE)</f>
        <v>Punjab</v>
      </c>
      <c r="L389" t="str">
        <f>VLOOKUP(tbl_details5[[#This Row],[Order ID]],Table1[],6,FALSE)</f>
        <v>Chandigarh</v>
      </c>
    </row>
    <row r="390" spans="1:12" x14ac:dyDescent="0.25">
      <c r="A390" t="s">
        <v>309</v>
      </c>
      <c r="B390" s="4">
        <v>148</v>
      </c>
      <c r="C390" s="4">
        <v>-91</v>
      </c>
      <c r="D390" s="5">
        <f>tbl_details5[[#This Row],[Profit]]/tbl_details5[[#This Row],[Revenue]]</f>
        <v>-0.61486486486486491</v>
      </c>
      <c r="E390">
        <v>2</v>
      </c>
      <c r="F390" t="s">
        <v>888</v>
      </c>
      <c r="G390" t="s">
        <v>890</v>
      </c>
      <c r="H390" s="1">
        <f>VLOOKUP(tbl_details5[[#This Row],[Order ID]],Orders!A:F,2,FALSE)</f>
        <v>43314</v>
      </c>
      <c r="I390" s="1" t="str">
        <f>TEXT(tbl_details5[[#This Row],[Order Date]],"mmm-yy")</f>
        <v>Aug-18</v>
      </c>
      <c r="J390" t="str">
        <f>VLOOKUP(tbl_details5[[#This Row],[Order ID]],Table1[],4,FALSE)</f>
        <v>Ayush</v>
      </c>
      <c r="K390" t="str">
        <f>VLOOKUP(tbl_details5[[#This Row],[Order ID]],Table1[],5,FALSE)</f>
        <v>Punjab</v>
      </c>
      <c r="L390" t="str">
        <f>VLOOKUP(tbl_details5[[#This Row],[Order ID]],Table1[],6,FALSE)</f>
        <v>Chandigarh</v>
      </c>
    </row>
    <row r="391" spans="1:12" x14ac:dyDescent="0.25">
      <c r="A391" t="s">
        <v>311</v>
      </c>
      <c r="B391" s="4">
        <v>133</v>
      </c>
      <c r="C391" s="4">
        <v>-56</v>
      </c>
      <c r="D391" s="5">
        <f>tbl_details5[[#This Row],[Profit]]/tbl_details5[[#This Row],[Revenue]]</f>
        <v>-0.42105263157894735</v>
      </c>
      <c r="E391">
        <v>2</v>
      </c>
      <c r="F391" t="s">
        <v>883</v>
      </c>
      <c r="G391" t="s">
        <v>893</v>
      </c>
      <c r="H391" s="1">
        <f>VLOOKUP(tbl_details5[[#This Row],[Order ID]],Orders!A:F,2,FALSE)</f>
        <v>43315</v>
      </c>
      <c r="I391" s="1" t="str">
        <f>TEXT(tbl_details5[[#This Row],[Order Date]],"mmm-yy")</f>
        <v>Aug-18</v>
      </c>
      <c r="J391" t="str">
        <f>VLOOKUP(tbl_details5[[#This Row],[Order ID]],Table1[],4,FALSE)</f>
        <v>Daksh</v>
      </c>
      <c r="K391" t="str">
        <f>VLOOKUP(tbl_details5[[#This Row],[Order ID]],Table1[],5,FALSE)</f>
        <v>Haryana</v>
      </c>
      <c r="L391" t="str">
        <f>VLOOKUP(tbl_details5[[#This Row],[Order ID]],Table1[],6,FALSE)</f>
        <v>Chandigarh</v>
      </c>
    </row>
    <row r="392" spans="1:12" x14ac:dyDescent="0.25">
      <c r="A392" t="s">
        <v>313</v>
      </c>
      <c r="B392" s="4">
        <v>40</v>
      </c>
      <c r="C392" s="4">
        <v>-37</v>
      </c>
      <c r="D392" s="5">
        <f>tbl_details5[[#This Row],[Profit]]/tbl_details5[[#This Row],[Revenue]]</f>
        <v>-0.92500000000000004</v>
      </c>
      <c r="E392">
        <v>3</v>
      </c>
      <c r="F392" t="s">
        <v>885</v>
      </c>
      <c r="G392" t="s">
        <v>886</v>
      </c>
      <c r="H392" s="1">
        <f>VLOOKUP(tbl_details5[[#This Row],[Order ID]],Orders!A:F,2,FALSE)</f>
        <v>43315</v>
      </c>
      <c r="I392" s="1" t="str">
        <f>TEXT(tbl_details5[[#This Row],[Order Date]],"mmm-yy")</f>
        <v>Aug-18</v>
      </c>
      <c r="J392" t="str">
        <f>VLOOKUP(tbl_details5[[#This Row],[Order ID]],Table1[],4,FALSE)</f>
        <v>Rane</v>
      </c>
      <c r="K392" t="str">
        <f>VLOOKUP(tbl_details5[[#This Row],[Order ID]],Table1[],5,FALSE)</f>
        <v>Maharashtra</v>
      </c>
      <c r="L392" t="str">
        <f>VLOOKUP(tbl_details5[[#This Row],[Order ID]],Table1[],6,FALSE)</f>
        <v>Mumbai</v>
      </c>
    </row>
    <row r="393" spans="1:12" x14ac:dyDescent="0.25">
      <c r="A393" t="s">
        <v>313</v>
      </c>
      <c r="B393" s="4">
        <v>7</v>
      </c>
      <c r="C393" s="4">
        <v>0</v>
      </c>
      <c r="D393" s="5">
        <f>tbl_details5[[#This Row],[Profit]]/tbl_details5[[#This Row],[Revenue]]</f>
        <v>0</v>
      </c>
      <c r="E393">
        <v>2</v>
      </c>
      <c r="F393" t="s">
        <v>885</v>
      </c>
      <c r="G393" t="s">
        <v>902</v>
      </c>
      <c r="H393" s="1">
        <f>VLOOKUP(tbl_details5[[#This Row],[Order ID]],Orders!A:F,2,FALSE)</f>
        <v>43315</v>
      </c>
      <c r="I393" s="1" t="str">
        <f>TEXT(tbl_details5[[#This Row],[Order Date]],"mmm-yy")</f>
        <v>Aug-18</v>
      </c>
      <c r="J393" t="str">
        <f>VLOOKUP(tbl_details5[[#This Row],[Order ID]],Table1[],4,FALSE)</f>
        <v>Rane</v>
      </c>
      <c r="K393" t="str">
        <f>VLOOKUP(tbl_details5[[#This Row],[Order ID]],Table1[],5,FALSE)</f>
        <v>Maharashtra</v>
      </c>
      <c r="L393" t="str">
        <f>VLOOKUP(tbl_details5[[#This Row],[Order ID]],Table1[],6,FALSE)</f>
        <v>Mumbai</v>
      </c>
    </row>
    <row r="394" spans="1:12" x14ac:dyDescent="0.25">
      <c r="A394" t="s">
        <v>313</v>
      </c>
      <c r="B394" s="4">
        <v>58</v>
      </c>
      <c r="C394" s="4">
        <v>-8</v>
      </c>
      <c r="D394" s="5">
        <f>tbl_details5[[#This Row],[Profit]]/tbl_details5[[#This Row],[Revenue]]</f>
        <v>-0.13793103448275862</v>
      </c>
      <c r="E394">
        <v>2</v>
      </c>
      <c r="F394" t="s">
        <v>885</v>
      </c>
      <c r="G394" t="s">
        <v>891</v>
      </c>
      <c r="H394" s="1">
        <f>VLOOKUP(tbl_details5[[#This Row],[Order ID]],Orders!A:F,2,FALSE)</f>
        <v>43315</v>
      </c>
      <c r="I394" s="1" t="str">
        <f>TEXT(tbl_details5[[#This Row],[Order Date]],"mmm-yy")</f>
        <v>Aug-18</v>
      </c>
      <c r="J394" t="str">
        <f>VLOOKUP(tbl_details5[[#This Row],[Order ID]],Table1[],4,FALSE)</f>
        <v>Rane</v>
      </c>
      <c r="K394" t="str">
        <f>VLOOKUP(tbl_details5[[#This Row],[Order ID]],Table1[],5,FALSE)</f>
        <v>Maharashtra</v>
      </c>
      <c r="L394" t="str">
        <f>VLOOKUP(tbl_details5[[#This Row],[Order ID]],Table1[],6,FALSE)</f>
        <v>Mumbai</v>
      </c>
    </row>
    <row r="395" spans="1:12" x14ac:dyDescent="0.25">
      <c r="A395" t="s">
        <v>315</v>
      </c>
      <c r="B395" s="4">
        <v>482</v>
      </c>
      <c r="C395" s="4">
        <v>-6</v>
      </c>
      <c r="D395" s="5">
        <f>tbl_details5[[#This Row],[Profit]]/tbl_details5[[#This Row],[Revenue]]</f>
        <v>-1.2448132780082987E-2</v>
      </c>
      <c r="E395">
        <v>7</v>
      </c>
      <c r="F395" t="s">
        <v>888</v>
      </c>
      <c r="G395" t="s">
        <v>889</v>
      </c>
      <c r="H395" s="1">
        <f>VLOOKUP(tbl_details5[[#This Row],[Order ID]],Orders!A:F,2,FALSE)</f>
        <v>43315</v>
      </c>
      <c r="I395" s="1" t="str">
        <f>TEXT(tbl_details5[[#This Row],[Order Date]],"mmm-yy")</f>
        <v>Aug-18</v>
      </c>
      <c r="J395" t="str">
        <f>VLOOKUP(tbl_details5[[#This Row],[Order ID]],Table1[],4,FALSE)</f>
        <v>Navdeep</v>
      </c>
      <c r="K395" t="str">
        <f>VLOOKUP(tbl_details5[[#This Row],[Order ID]],Table1[],5,FALSE)</f>
        <v>Madhya Pradesh</v>
      </c>
      <c r="L395" t="str">
        <f>VLOOKUP(tbl_details5[[#This Row],[Order ID]],Table1[],6,FALSE)</f>
        <v>Indore</v>
      </c>
    </row>
    <row r="396" spans="1:12" x14ac:dyDescent="0.25">
      <c r="A396" t="s">
        <v>317</v>
      </c>
      <c r="B396" s="4">
        <v>11</v>
      </c>
      <c r="C396" s="4">
        <v>-8</v>
      </c>
      <c r="D396" s="5">
        <f>tbl_details5[[#This Row],[Profit]]/tbl_details5[[#This Row],[Revenue]]</f>
        <v>-0.72727272727272729</v>
      </c>
      <c r="E396">
        <v>2</v>
      </c>
      <c r="F396" t="s">
        <v>885</v>
      </c>
      <c r="G396" t="s">
        <v>902</v>
      </c>
      <c r="H396" s="1">
        <f>VLOOKUP(tbl_details5[[#This Row],[Order ID]],Orders!A:F,2,FALSE)</f>
        <v>43315</v>
      </c>
      <c r="I396" s="1" t="str">
        <f>TEXT(tbl_details5[[#This Row],[Order Date]],"mmm-yy")</f>
        <v>Aug-18</v>
      </c>
      <c r="J396" t="str">
        <f>VLOOKUP(tbl_details5[[#This Row],[Order ID]],Table1[],4,FALSE)</f>
        <v>Ashwin</v>
      </c>
      <c r="K396" t="str">
        <f>VLOOKUP(tbl_details5[[#This Row],[Order ID]],Table1[],5,FALSE)</f>
        <v>Goa</v>
      </c>
      <c r="L396" t="str">
        <f>VLOOKUP(tbl_details5[[#This Row],[Order ID]],Table1[],6,FALSE)</f>
        <v>Goa</v>
      </c>
    </row>
    <row r="397" spans="1:12" x14ac:dyDescent="0.25">
      <c r="A397" t="s">
        <v>319</v>
      </c>
      <c r="B397" s="4">
        <v>143</v>
      </c>
      <c r="C397" s="4">
        <v>-124</v>
      </c>
      <c r="D397" s="5">
        <f>tbl_details5[[#This Row],[Profit]]/tbl_details5[[#This Row],[Revenue]]</f>
        <v>-0.86713286713286708</v>
      </c>
      <c r="E397">
        <v>5</v>
      </c>
      <c r="F397" t="s">
        <v>885</v>
      </c>
      <c r="G397" t="s">
        <v>891</v>
      </c>
      <c r="H397" s="1">
        <f>VLOOKUP(tbl_details5[[#This Row],[Order ID]],Orders!A:F,2,FALSE)</f>
        <v>43319</v>
      </c>
      <c r="I397" s="1" t="str">
        <f>TEXT(tbl_details5[[#This Row],[Order Date]],"mmm-yy")</f>
        <v>Aug-18</v>
      </c>
      <c r="J397" t="str">
        <f>VLOOKUP(tbl_details5[[#This Row],[Order ID]],Table1[],4,FALSE)</f>
        <v>Aman</v>
      </c>
      <c r="K397" t="str">
        <f>VLOOKUP(tbl_details5[[#This Row],[Order ID]],Table1[],5,FALSE)</f>
        <v>Nagaland</v>
      </c>
      <c r="L397" t="str">
        <f>VLOOKUP(tbl_details5[[#This Row],[Order ID]],Table1[],6,FALSE)</f>
        <v>Kohima</v>
      </c>
    </row>
    <row r="398" spans="1:12" x14ac:dyDescent="0.25">
      <c r="A398" t="s">
        <v>319</v>
      </c>
      <c r="B398" s="4">
        <v>9</v>
      </c>
      <c r="C398" s="4">
        <v>-5</v>
      </c>
      <c r="D398" s="5">
        <f>tbl_details5[[#This Row],[Profit]]/tbl_details5[[#This Row],[Revenue]]</f>
        <v>-0.55555555555555558</v>
      </c>
      <c r="E398">
        <v>1</v>
      </c>
      <c r="F398" t="s">
        <v>885</v>
      </c>
      <c r="G398" t="s">
        <v>891</v>
      </c>
      <c r="H398" s="1">
        <f>VLOOKUP(tbl_details5[[#This Row],[Order ID]],Orders!A:F,2,FALSE)</f>
        <v>43319</v>
      </c>
      <c r="I398" s="1" t="str">
        <f>TEXT(tbl_details5[[#This Row],[Order Date]],"mmm-yy")</f>
        <v>Aug-18</v>
      </c>
      <c r="J398" t="str">
        <f>VLOOKUP(tbl_details5[[#This Row],[Order ID]],Table1[],4,FALSE)</f>
        <v>Aman</v>
      </c>
      <c r="K398" t="str">
        <f>VLOOKUP(tbl_details5[[#This Row],[Order ID]],Table1[],5,FALSE)</f>
        <v>Nagaland</v>
      </c>
      <c r="L398" t="str">
        <f>VLOOKUP(tbl_details5[[#This Row],[Order ID]],Table1[],6,FALSE)</f>
        <v>Kohima</v>
      </c>
    </row>
    <row r="399" spans="1:12" x14ac:dyDescent="0.25">
      <c r="A399" t="s">
        <v>319</v>
      </c>
      <c r="B399" s="4">
        <v>503</v>
      </c>
      <c r="C399" s="4">
        <v>-56</v>
      </c>
      <c r="D399" s="5">
        <f>tbl_details5[[#This Row],[Profit]]/tbl_details5[[#This Row],[Revenue]]</f>
        <v>-0.11133200795228629</v>
      </c>
      <c r="E399">
        <v>2</v>
      </c>
      <c r="F399" t="s">
        <v>885</v>
      </c>
      <c r="G399" t="s">
        <v>892</v>
      </c>
      <c r="H399" s="1">
        <f>VLOOKUP(tbl_details5[[#This Row],[Order ID]],Orders!A:F,2,FALSE)</f>
        <v>43319</v>
      </c>
      <c r="I399" s="1" t="str">
        <f>TEXT(tbl_details5[[#This Row],[Order Date]],"mmm-yy")</f>
        <v>Aug-18</v>
      </c>
      <c r="J399" t="str">
        <f>VLOOKUP(tbl_details5[[#This Row],[Order ID]],Table1[],4,FALSE)</f>
        <v>Aman</v>
      </c>
      <c r="K399" t="str">
        <f>VLOOKUP(tbl_details5[[#This Row],[Order ID]],Table1[],5,FALSE)</f>
        <v>Nagaland</v>
      </c>
      <c r="L399" t="str">
        <f>VLOOKUP(tbl_details5[[#This Row],[Order ID]],Table1[],6,FALSE)</f>
        <v>Kohima</v>
      </c>
    </row>
    <row r="400" spans="1:12" x14ac:dyDescent="0.25">
      <c r="A400" t="s">
        <v>319</v>
      </c>
      <c r="B400" s="4">
        <v>74</v>
      </c>
      <c r="C400" s="4">
        <v>-51</v>
      </c>
      <c r="D400" s="5">
        <f>tbl_details5[[#This Row],[Profit]]/tbl_details5[[#This Row],[Revenue]]</f>
        <v>-0.68918918918918914</v>
      </c>
      <c r="E400">
        <v>3</v>
      </c>
      <c r="F400" t="s">
        <v>885</v>
      </c>
      <c r="G400" t="s">
        <v>886</v>
      </c>
      <c r="H400" s="1">
        <f>VLOOKUP(tbl_details5[[#This Row],[Order ID]],Orders!A:F,2,FALSE)</f>
        <v>43319</v>
      </c>
      <c r="I400" s="1" t="str">
        <f>TEXT(tbl_details5[[#This Row],[Order Date]],"mmm-yy")</f>
        <v>Aug-18</v>
      </c>
      <c r="J400" t="str">
        <f>VLOOKUP(tbl_details5[[#This Row],[Order ID]],Table1[],4,FALSE)</f>
        <v>Aman</v>
      </c>
      <c r="K400" t="str">
        <f>VLOOKUP(tbl_details5[[#This Row],[Order ID]],Table1[],5,FALSE)</f>
        <v>Nagaland</v>
      </c>
      <c r="L400" t="str">
        <f>VLOOKUP(tbl_details5[[#This Row],[Order ID]],Table1[],6,FALSE)</f>
        <v>Kohima</v>
      </c>
    </row>
    <row r="401" spans="1:12" x14ac:dyDescent="0.25">
      <c r="A401" t="s">
        <v>319</v>
      </c>
      <c r="B401" s="4">
        <v>56</v>
      </c>
      <c r="C401" s="4">
        <v>0</v>
      </c>
      <c r="D401" s="5">
        <f>tbl_details5[[#This Row],[Profit]]/tbl_details5[[#This Row],[Revenue]]</f>
        <v>0</v>
      </c>
      <c r="E401">
        <v>4</v>
      </c>
      <c r="F401" t="s">
        <v>885</v>
      </c>
      <c r="G401" t="s">
        <v>887</v>
      </c>
      <c r="H401" s="1">
        <f>VLOOKUP(tbl_details5[[#This Row],[Order ID]],Orders!A:F,2,FALSE)</f>
        <v>43319</v>
      </c>
      <c r="I401" s="1" t="str">
        <f>TEXT(tbl_details5[[#This Row],[Order Date]],"mmm-yy")</f>
        <v>Aug-18</v>
      </c>
      <c r="J401" t="str">
        <f>VLOOKUP(tbl_details5[[#This Row],[Order ID]],Table1[],4,FALSE)</f>
        <v>Aman</v>
      </c>
      <c r="K401" t="str">
        <f>VLOOKUP(tbl_details5[[#This Row],[Order ID]],Table1[],5,FALSE)</f>
        <v>Nagaland</v>
      </c>
      <c r="L401" t="str">
        <f>VLOOKUP(tbl_details5[[#This Row],[Order ID]],Table1[],6,FALSE)</f>
        <v>Kohima</v>
      </c>
    </row>
    <row r="402" spans="1:12" x14ac:dyDescent="0.25">
      <c r="A402" t="s">
        <v>321</v>
      </c>
      <c r="B402" s="4">
        <v>373</v>
      </c>
      <c r="C402" s="4">
        <v>-254</v>
      </c>
      <c r="D402" s="5">
        <f>tbl_details5[[#This Row],[Profit]]/tbl_details5[[#This Row],[Revenue]]</f>
        <v>-0.68096514745308312</v>
      </c>
      <c r="E402">
        <v>6</v>
      </c>
      <c r="F402" t="s">
        <v>888</v>
      </c>
      <c r="G402" t="s">
        <v>899</v>
      </c>
      <c r="H402" s="1">
        <f>VLOOKUP(tbl_details5[[#This Row],[Order ID]],Orders!A:F,2,FALSE)</f>
        <v>43320</v>
      </c>
      <c r="I402" s="1" t="str">
        <f>TEXT(tbl_details5[[#This Row],[Order Date]],"mmm-yy")</f>
        <v>Aug-18</v>
      </c>
      <c r="J402" t="str">
        <f>VLOOKUP(tbl_details5[[#This Row],[Order ID]],Table1[],4,FALSE)</f>
        <v>Devendra</v>
      </c>
      <c r="K402" t="str">
        <f>VLOOKUP(tbl_details5[[#This Row],[Order ID]],Table1[],5,FALSE)</f>
        <v>Andhra Pradesh</v>
      </c>
      <c r="L402" t="str">
        <f>VLOOKUP(tbl_details5[[#This Row],[Order ID]],Table1[],6,FALSE)</f>
        <v>Hyderabad</v>
      </c>
    </row>
    <row r="403" spans="1:12" x14ac:dyDescent="0.25">
      <c r="A403" t="s">
        <v>323</v>
      </c>
      <c r="B403" s="4">
        <v>44</v>
      </c>
      <c r="C403" s="4">
        <v>-8</v>
      </c>
      <c r="D403" s="5">
        <f>tbl_details5[[#This Row],[Profit]]/tbl_details5[[#This Row],[Revenue]]</f>
        <v>-0.18181818181818182</v>
      </c>
      <c r="E403">
        <v>3</v>
      </c>
      <c r="F403" t="s">
        <v>885</v>
      </c>
      <c r="G403" t="s">
        <v>886</v>
      </c>
      <c r="H403" s="1">
        <f>VLOOKUP(tbl_details5[[#This Row],[Order ID]],Orders!A:F,2,FALSE)</f>
        <v>43321</v>
      </c>
      <c r="I403" s="1" t="str">
        <f>TEXT(tbl_details5[[#This Row],[Order Date]],"mmm-yy")</f>
        <v>Aug-18</v>
      </c>
      <c r="J403" t="str">
        <f>VLOOKUP(tbl_details5[[#This Row],[Order ID]],Table1[],4,FALSE)</f>
        <v>Kartik</v>
      </c>
      <c r="K403" t="str">
        <f>VLOOKUP(tbl_details5[[#This Row],[Order ID]],Table1[],5,FALSE)</f>
        <v>Gujarat</v>
      </c>
      <c r="L403" t="str">
        <f>VLOOKUP(tbl_details5[[#This Row],[Order ID]],Table1[],6,FALSE)</f>
        <v>Ahmedabad</v>
      </c>
    </row>
    <row r="404" spans="1:12" x14ac:dyDescent="0.25">
      <c r="A404" t="s">
        <v>323</v>
      </c>
      <c r="B404" s="4">
        <v>296</v>
      </c>
      <c r="C404" s="4">
        <v>-225</v>
      </c>
      <c r="D404" s="5">
        <f>tbl_details5[[#This Row],[Profit]]/tbl_details5[[#This Row],[Revenue]]</f>
        <v>-0.76013513513513509</v>
      </c>
      <c r="E404">
        <v>11</v>
      </c>
      <c r="F404" t="s">
        <v>885</v>
      </c>
      <c r="G404" t="s">
        <v>891</v>
      </c>
      <c r="H404" s="1">
        <f>VLOOKUP(tbl_details5[[#This Row],[Order ID]],Orders!A:F,2,FALSE)</f>
        <v>43321</v>
      </c>
      <c r="I404" s="1" t="str">
        <f>TEXT(tbl_details5[[#This Row],[Order Date]],"mmm-yy")</f>
        <v>Aug-18</v>
      </c>
      <c r="J404" t="str">
        <f>VLOOKUP(tbl_details5[[#This Row],[Order ID]],Table1[],4,FALSE)</f>
        <v>Kartik</v>
      </c>
      <c r="K404" t="str">
        <f>VLOOKUP(tbl_details5[[#This Row],[Order ID]],Table1[],5,FALSE)</f>
        <v>Gujarat</v>
      </c>
      <c r="L404" t="str">
        <f>VLOOKUP(tbl_details5[[#This Row],[Order ID]],Table1[],6,FALSE)</f>
        <v>Ahmedabad</v>
      </c>
    </row>
    <row r="405" spans="1:12" x14ac:dyDescent="0.25">
      <c r="A405" t="s">
        <v>323</v>
      </c>
      <c r="B405" s="4">
        <v>670</v>
      </c>
      <c r="C405" s="4">
        <v>15</v>
      </c>
      <c r="D405" s="5">
        <f>tbl_details5[[#This Row],[Profit]]/tbl_details5[[#This Row],[Revenue]]</f>
        <v>2.2388059701492536E-2</v>
      </c>
      <c r="E405">
        <v>5</v>
      </c>
      <c r="F405" t="s">
        <v>883</v>
      </c>
      <c r="G405" t="s">
        <v>884</v>
      </c>
      <c r="H405" s="1">
        <f>VLOOKUP(tbl_details5[[#This Row],[Order ID]],Orders!A:F,2,FALSE)</f>
        <v>43321</v>
      </c>
      <c r="I405" s="1" t="str">
        <f>TEXT(tbl_details5[[#This Row],[Order Date]],"mmm-yy")</f>
        <v>Aug-18</v>
      </c>
      <c r="J405" t="str">
        <f>VLOOKUP(tbl_details5[[#This Row],[Order ID]],Table1[],4,FALSE)</f>
        <v>Kartik</v>
      </c>
      <c r="K405" t="str">
        <f>VLOOKUP(tbl_details5[[#This Row],[Order ID]],Table1[],5,FALSE)</f>
        <v>Gujarat</v>
      </c>
      <c r="L405" t="str">
        <f>VLOOKUP(tbl_details5[[#This Row],[Order ID]],Table1[],6,FALSE)</f>
        <v>Ahmedabad</v>
      </c>
    </row>
    <row r="406" spans="1:12" x14ac:dyDescent="0.25">
      <c r="A406" t="s">
        <v>323</v>
      </c>
      <c r="B406" s="4">
        <v>132</v>
      </c>
      <c r="C406" s="4">
        <v>-79</v>
      </c>
      <c r="D406" s="5">
        <f>tbl_details5[[#This Row],[Profit]]/tbl_details5[[#This Row],[Revenue]]</f>
        <v>-0.59848484848484851</v>
      </c>
      <c r="E406">
        <v>5</v>
      </c>
      <c r="F406" t="s">
        <v>883</v>
      </c>
      <c r="G406" t="s">
        <v>901</v>
      </c>
      <c r="H406" s="1">
        <f>VLOOKUP(tbl_details5[[#This Row],[Order ID]],Orders!A:F,2,FALSE)</f>
        <v>43321</v>
      </c>
      <c r="I406" s="1" t="str">
        <f>TEXT(tbl_details5[[#This Row],[Order Date]],"mmm-yy")</f>
        <v>Aug-18</v>
      </c>
      <c r="J406" t="str">
        <f>VLOOKUP(tbl_details5[[#This Row],[Order ID]],Table1[],4,FALSE)</f>
        <v>Kartik</v>
      </c>
      <c r="K406" t="str">
        <f>VLOOKUP(tbl_details5[[#This Row],[Order ID]],Table1[],5,FALSE)</f>
        <v>Gujarat</v>
      </c>
      <c r="L406" t="str">
        <f>VLOOKUP(tbl_details5[[#This Row],[Order ID]],Table1[],6,FALSE)</f>
        <v>Ahmedabad</v>
      </c>
    </row>
    <row r="407" spans="1:12" x14ac:dyDescent="0.25">
      <c r="A407" t="s">
        <v>325</v>
      </c>
      <c r="B407" s="4">
        <v>87</v>
      </c>
      <c r="C407" s="4">
        <v>16</v>
      </c>
      <c r="D407" s="5">
        <f>tbl_details5[[#This Row],[Profit]]/tbl_details5[[#This Row],[Revenue]]</f>
        <v>0.18390804597701149</v>
      </c>
      <c r="E407">
        <v>2</v>
      </c>
      <c r="F407" t="s">
        <v>885</v>
      </c>
      <c r="G407" t="s">
        <v>891</v>
      </c>
      <c r="H407" s="1">
        <f>VLOOKUP(tbl_details5[[#This Row],[Order ID]],Orders!A:F,2,FALSE)</f>
        <v>43322</v>
      </c>
      <c r="I407" s="1" t="str">
        <f>TEXT(tbl_details5[[#This Row],[Order Date]],"mmm-yy")</f>
        <v>Aug-18</v>
      </c>
      <c r="J407" t="str">
        <f>VLOOKUP(tbl_details5[[#This Row],[Order ID]],Table1[],4,FALSE)</f>
        <v>Shivam</v>
      </c>
      <c r="K407" t="str">
        <f>VLOOKUP(tbl_details5[[#This Row],[Order ID]],Table1[],5,FALSE)</f>
        <v>Maharashtra</v>
      </c>
      <c r="L407" t="str">
        <f>VLOOKUP(tbl_details5[[#This Row],[Order ID]],Table1[],6,FALSE)</f>
        <v>Pune</v>
      </c>
    </row>
    <row r="408" spans="1:12" x14ac:dyDescent="0.25">
      <c r="A408" t="s">
        <v>327</v>
      </c>
      <c r="B408" s="4">
        <v>877</v>
      </c>
      <c r="C408" s="4">
        <v>395</v>
      </c>
      <c r="D408" s="5">
        <f>tbl_details5[[#This Row],[Profit]]/tbl_details5[[#This Row],[Revenue]]</f>
        <v>0.45039908779931587</v>
      </c>
      <c r="E408">
        <v>2</v>
      </c>
      <c r="F408" t="s">
        <v>883</v>
      </c>
      <c r="G408" t="s">
        <v>884</v>
      </c>
      <c r="H408" s="1">
        <f>VLOOKUP(tbl_details5[[#This Row],[Order ID]],Orders!A:F,2,FALSE)</f>
        <v>43323</v>
      </c>
      <c r="I408" s="1" t="str">
        <f>TEXT(tbl_details5[[#This Row],[Order Date]],"mmm-yy")</f>
        <v>Aug-18</v>
      </c>
      <c r="J408" t="str">
        <f>VLOOKUP(tbl_details5[[#This Row],[Order ID]],Table1[],4,FALSE)</f>
        <v>Harsh</v>
      </c>
      <c r="K408" t="str">
        <f>VLOOKUP(tbl_details5[[#This Row],[Order ID]],Table1[],5,FALSE)</f>
        <v>Madhya Pradesh</v>
      </c>
      <c r="L408" t="str">
        <f>VLOOKUP(tbl_details5[[#This Row],[Order ID]],Table1[],6,FALSE)</f>
        <v>Bhopal</v>
      </c>
    </row>
    <row r="409" spans="1:12" x14ac:dyDescent="0.25">
      <c r="A409" t="s">
        <v>329</v>
      </c>
      <c r="B409" s="4">
        <v>141</v>
      </c>
      <c r="C409" s="4">
        <v>10</v>
      </c>
      <c r="D409" s="5">
        <f>tbl_details5[[#This Row],[Profit]]/tbl_details5[[#This Row],[Revenue]]</f>
        <v>7.0921985815602842E-2</v>
      </c>
      <c r="E409">
        <v>4</v>
      </c>
      <c r="F409" t="s">
        <v>885</v>
      </c>
      <c r="G409" t="s">
        <v>896</v>
      </c>
      <c r="H409" s="1">
        <f>VLOOKUP(tbl_details5[[#This Row],[Order ID]],Orders!A:F,2,FALSE)</f>
        <v>43324</v>
      </c>
      <c r="I409" s="1" t="str">
        <f>TEXT(tbl_details5[[#This Row],[Order Date]],"mmm-yy")</f>
        <v>Aug-18</v>
      </c>
      <c r="J409" t="str">
        <f>VLOOKUP(tbl_details5[[#This Row],[Order ID]],Table1[],4,FALSE)</f>
        <v>Nitant</v>
      </c>
      <c r="K409" t="str">
        <f>VLOOKUP(tbl_details5[[#This Row],[Order ID]],Table1[],5,FALSE)</f>
        <v>Rajasthan</v>
      </c>
      <c r="L409" t="str">
        <f>VLOOKUP(tbl_details5[[#This Row],[Order ID]],Table1[],6,FALSE)</f>
        <v>Jaipur</v>
      </c>
    </row>
    <row r="410" spans="1:12" x14ac:dyDescent="0.25">
      <c r="A410" t="s">
        <v>329</v>
      </c>
      <c r="B410" s="4">
        <v>224</v>
      </c>
      <c r="C410" s="4">
        <v>58</v>
      </c>
      <c r="D410" s="5">
        <f>tbl_details5[[#This Row],[Profit]]/tbl_details5[[#This Row],[Revenue]]</f>
        <v>0.25892857142857145</v>
      </c>
      <c r="E410">
        <v>3</v>
      </c>
      <c r="F410" t="s">
        <v>888</v>
      </c>
      <c r="G410" t="s">
        <v>890</v>
      </c>
      <c r="H410" s="1">
        <f>VLOOKUP(tbl_details5[[#This Row],[Order ID]],Orders!A:F,2,FALSE)</f>
        <v>43324</v>
      </c>
      <c r="I410" s="1" t="str">
        <f>TEXT(tbl_details5[[#This Row],[Order Date]],"mmm-yy")</f>
        <v>Aug-18</v>
      </c>
      <c r="J410" t="str">
        <f>VLOOKUP(tbl_details5[[#This Row],[Order ID]],Table1[],4,FALSE)</f>
        <v>Nitant</v>
      </c>
      <c r="K410" t="str">
        <f>VLOOKUP(tbl_details5[[#This Row],[Order ID]],Table1[],5,FALSE)</f>
        <v>Rajasthan</v>
      </c>
      <c r="L410" t="str">
        <f>VLOOKUP(tbl_details5[[#This Row],[Order ID]],Table1[],6,FALSE)</f>
        <v>Jaipur</v>
      </c>
    </row>
    <row r="411" spans="1:12" x14ac:dyDescent="0.25">
      <c r="A411" t="s">
        <v>329</v>
      </c>
      <c r="B411" s="4">
        <v>8</v>
      </c>
      <c r="C411" s="4">
        <v>-1</v>
      </c>
      <c r="D411" s="5">
        <f>tbl_details5[[#This Row],[Profit]]/tbl_details5[[#This Row],[Revenue]]</f>
        <v>-0.125</v>
      </c>
      <c r="E411">
        <v>2</v>
      </c>
      <c r="F411" t="s">
        <v>885</v>
      </c>
      <c r="G411" t="s">
        <v>897</v>
      </c>
      <c r="H411" s="1">
        <f>VLOOKUP(tbl_details5[[#This Row],[Order ID]],Orders!A:F,2,FALSE)</f>
        <v>43324</v>
      </c>
      <c r="I411" s="1" t="str">
        <f>TEXT(tbl_details5[[#This Row],[Order Date]],"mmm-yy")</f>
        <v>Aug-18</v>
      </c>
      <c r="J411" t="str">
        <f>VLOOKUP(tbl_details5[[#This Row],[Order ID]],Table1[],4,FALSE)</f>
        <v>Nitant</v>
      </c>
      <c r="K411" t="str">
        <f>VLOOKUP(tbl_details5[[#This Row],[Order ID]],Table1[],5,FALSE)</f>
        <v>Rajasthan</v>
      </c>
      <c r="L411" t="str">
        <f>VLOOKUP(tbl_details5[[#This Row],[Order ID]],Table1[],6,FALSE)</f>
        <v>Jaipur</v>
      </c>
    </row>
    <row r="412" spans="1:12" x14ac:dyDescent="0.25">
      <c r="A412" t="s">
        <v>329</v>
      </c>
      <c r="B412" s="4">
        <v>47</v>
      </c>
      <c r="C412" s="4">
        <v>-21</v>
      </c>
      <c r="D412" s="5">
        <f>tbl_details5[[#This Row],[Profit]]/tbl_details5[[#This Row],[Revenue]]</f>
        <v>-0.44680851063829785</v>
      </c>
      <c r="E412">
        <v>2</v>
      </c>
      <c r="F412" t="s">
        <v>888</v>
      </c>
      <c r="G412" t="s">
        <v>889</v>
      </c>
      <c r="H412" s="1">
        <f>VLOOKUP(tbl_details5[[#This Row],[Order ID]],Orders!A:F,2,FALSE)</f>
        <v>43324</v>
      </c>
      <c r="I412" s="1" t="str">
        <f>TEXT(tbl_details5[[#This Row],[Order Date]],"mmm-yy")</f>
        <v>Aug-18</v>
      </c>
      <c r="J412" t="str">
        <f>VLOOKUP(tbl_details5[[#This Row],[Order ID]],Table1[],4,FALSE)</f>
        <v>Nitant</v>
      </c>
      <c r="K412" t="str">
        <f>VLOOKUP(tbl_details5[[#This Row],[Order ID]],Table1[],5,FALSE)</f>
        <v>Rajasthan</v>
      </c>
      <c r="L412" t="str">
        <f>VLOOKUP(tbl_details5[[#This Row],[Order ID]],Table1[],6,FALSE)</f>
        <v>Jaipur</v>
      </c>
    </row>
    <row r="413" spans="1:12" x14ac:dyDescent="0.25">
      <c r="A413" t="s">
        <v>331</v>
      </c>
      <c r="B413" s="4">
        <v>1052</v>
      </c>
      <c r="C413" s="4">
        <v>-82</v>
      </c>
      <c r="D413" s="5">
        <f>tbl_details5[[#This Row],[Profit]]/tbl_details5[[#This Row],[Revenue]]</f>
        <v>-7.7946768060836502E-2</v>
      </c>
      <c r="E413">
        <v>3</v>
      </c>
      <c r="F413" t="s">
        <v>883</v>
      </c>
      <c r="G413" t="s">
        <v>884</v>
      </c>
      <c r="H413" s="1">
        <f>VLOOKUP(tbl_details5[[#This Row],[Order ID]],Orders!A:F,2,FALSE)</f>
        <v>43325</v>
      </c>
      <c r="I413" s="1" t="str">
        <f>TEXT(tbl_details5[[#This Row],[Order Date]],"mmm-yy")</f>
        <v>Aug-18</v>
      </c>
      <c r="J413" t="str">
        <f>VLOOKUP(tbl_details5[[#This Row],[Order ID]],Table1[],4,FALSE)</f>
        <v>Ayush</v>
      </c>
      <c r="K413" t="str">
        <f>VLOOKUP(tbl_details5[[#This Row],[Order ID]],Table1[],5,FALSE)</f>
        <v>Maharashtra</v>
      </c>
      <c r="L413" t="str">
        <f>VLOOKUP(tbl_details5[[#This Row],[Order ID]],Table1[],6,FALSE)</f>
        <v>Mumbai</v>
      </c>
    </row>
    <row r="414" spans="1:12" x14ac:dyDescent="0.25">
      <c r="A414" t="s">
        <v>332</v>
      </c>
      <c r="B414" s="4">
        <v>212</v>
      </c>
      <c r="C414" s="4">
        <v>-24</v>
      </c>
      <c r="D414" s="5">
        <f>tbl_details5[[#This Row],[Profit]]/tbl_details5[[#This Row],[Revenue]]</f>
        <v>-0.11320754716981132</v>
      </c>
      <c r="E414">
        <v>2</v>
      </c>
      <c r="F414" t="s">
        <v>883</v>
      </c>
      <c r="G414" t="s">
        <v>893</v>
      </c>
      <c r="H414" s="1">
        <f>VLOOKUP(tbl_details5[[#This Row],[Order ID]],Orders!A:F,2,FALSE)</f>
        <v>43326</v>
      </c>
      <c r="I414" s="1" t="str">
        <f>TEXT(tbl_details5[[#This Row],[Order Date]],"mmm-yy")</f>
        <v>Aug-18</v>
      </c>
      <c r="J414" t="str">
        <f>VLOOKUP(tbl_details5[[#This Row],[Order ID]],Table1[],4,FALSE)</f>
        <v>Priyanshu</v>
      </c>
      <c r="K414" t="str">
        <f>VLOOKUP(tbl_details5[[#This Row],[Order ID]],Table1[],5,FALSE)</f>
        <v>Madhya Pradesh</v>
      </c>
      <c r="L414" t="str">
        <f>VLOOKUP(tbl_details5[[#This Row],[Order ID]],Table1[],6,FALSE)</f>
        <v>Indore</v>
      </c>
    </row>
    <row r="415" spans="1:12" x14ac:dyDescent="0.25">
      <c r="A415" t="s">
        <v>332</v>
      </c>
      <c r="B415" s="4">
        <v>42</v>
      </c>
      <c r="C415" s="4">
        <v>-15</v>
      </c>
      <c r="D415" s="5">
        <f>tbl_details5[[#This Row],[Profit]]/tbl_details5[[#This Row],[Revenue]]</f>
        <v>-0.35714285714285715</v>
      </c>
      <c r="E415">
        <v>12</v>
      </c>
      <c r="F415" t="s">
        <v>885</v>
      </c>
      <c r="G415" t="s">
        <v>902</v>
      </c>
      <c r="H415" s="1">
        <f>VLOOKUP(tbl_details5[[#This Row],[Order ID]],Orders!A:F,2,FALSE)</f>
        <v>43326</v>
      </c>
      <c r="I415" s="1" t="str">
        <f>TEXT(tbl_details5[[#This Row],[Order Date]],"mmm-yy")</f>
        <v>Aug-18</v>
      </c>
      <c r="J415" t="str">
        <f>VLOOKUP(tbl_details5[[#This Row],[Order ID]],Table1[],4,FALSE)</f>
        <v>Priyanshu</v>
      </c>
      <c r="K415" t="str">
        <f>VLOOKUP(tbl_details5[[#This Row],[Order ID]],Table1[],5,FALSE)</f>
        <v>Madhya Pradesh</v>
      </c>
      <c r="L415" t="str">
        <f>VLOOKUP(tbl_details5[[#This Row],[Order ID]],Table1[],6,FALSE)</f>
        <v>Indore</v>
      </c>
    </row>
    <row r="416" spans="1:12" x14ac:dyDescent="0.25">
      <c r="A416" t="s">
        <v>332</v>
      </c>
      <c r="B416" s="4">
        <v>208</v>
      </c>
      <c r="C416" s="4">
        <v>-25</v>
      </c>
      <c r="D416" s="5">
        <f>tbl_details5[[#This Row],[Profit]]/tbl_details5[[#This Row],[Revenue]]</f>
        <v>-0.1201923076923077</v>
      </c>
      <c r="E416">
        <v>2</v>
      </c>
      <c r="F416" t="s">
        <v>885</v>
      </c>
      <c r="G416" t="s">
        <v>891</v>
      </c>
      <c r="H416" s="1">
        <f>VLOOKUP(tbl_details5[[#This Row],[Order ID]],Orders!A:F,2,FALSE)</f>
        <v>43326</v>
      </c>
      <c r="I416" s="1" t="str">
        <f>TEXT(tbl_details5[[#This Row],[Order Date]],"mmm-yy")</f>
        <v>Aug-18</v>
      </c>
      <c r="J416" t="str">
        <f>VLOOKUP(tbl_details5[[#This Row],[Order ID]],Table1[],4,FALSE)</f>
        <v>Priyanshu</v>
      </c>
      <c r="K416" t="str">
        <f>VLOOKUP(tbl_details5[[#This Row],[Order ID]],Table1[],5,FALSE)</f>
        <v>Madhya Pradesh</v>
      </c>
      <c r="L416" t="str">
        <f>VLOOKUP(tbl_details5[[#This Row],[Order ID]],Table1[],6,FALSE)</f>
        <v>Indore</v>
      </c>
    </row>
    <row r="417" spans="1:12" x14ac:dyDescent="0.25">
      <c r="A417" t="s">
        <v>332</v>
      </c>
      <c r="B417" s="4">
        <v>22</v>
      </c>
      <c r="C417" s="4">
        <v>-12</v>
      </c>
      <c r="D417" s="5">
        <f>tbl_details5[[#This Row],[Profit]]/tbl_details5[[#This Row],[Revenue]]</f>
        <v>-0.54545454545454541</v>
      </c>
      <c r="E417">
        <v>3</v>
      </c>
      <c r="F417" t="s">
        <v>885</v>
      </c>
      <c r="G417" t="s">
        <v>886</v>
      </c>
      <c r="H417" s="1">
        <f>VLOOKUP(tbl_details5[[#This Row],[Order ID]],Orders!A:F,2,FALSE)</f>
        <v>43326</v>
      </c>
      <c r="I417" s="1" t="str">
        <f>TEXT(tbl_details5[[#This Row],[Order Date]],"mmm-yy")</f>
        <v>Aug-18</v>
      </c>
      <c r="J417" t="str">
        <f>VLOOKUP(tbl_details5[[#This Row],[Order ID]],Table1[],4,FALSE)</f>
        <v>Priyanshu</v>
      </c>
      <c r="K417" t="str">
        <f>VLOOKUP(tbl_details5[[#This Row],[Order ID]],Table1[],5,FALSE)</f>
        <v>Madhya Pradesh</v>
      </c>
      <c r="L417" t="str">
        <f>VLOOKUP(tbl_details5[[#This Row],[Order ID]],Table1[],6,FALSE)</f>
        <v>Indore</v>
      </c>
    </row>
    <row r="418" spans="1:12" x14ac:dyDescent="0.25">
      <c r="A418" t="s">
        <v>332</v>
      </c>
      <c r="B418" s="4">
        <v>539</v>
      </c>
      <c r="C418" s="4">
        <v>-146</v>
      </c>
      <c r="D418" s="5">
        <f>tbl_details5[[#This Row],[Profit]]/tbl_details5[[#This Row],[Revenue]]</f>
        <v>-0.27087198515769945</v>
      </c>
      <c r="E418">
        <v>7</v>
      </c>
      <c r="F418" t="s">
        <v>883</v>
      </c>
      <c r="G418" t="s">
        <v>901</v>
      </c>
      <c r="H418" s="1">
        <f>VLOOKUP(tbl_details5[[#This Row],[Order ID]],Orders!A:F,2,FALSE)</f>
        <v>43326</v>
      </c>
      <c r="I418" s="1" t="str">
        <f>TEXT(tbl_details5[[#This Row],[Order Date]],"mmm-yy")</f>
        <v>Aug-18</v>
      </c>
      <c r="J418" t="str">
        <f>VLOOKUP(tbl_details5[[#This Row],[Order ID]],Table1[],4,FALSE)</f>
        <v>Priyanshu</v>
      </c>
      <c r="K418" t="str">
        <f>VLOOKUP(tbl_details5[[#This Row],[Order ID]],Table1[],5,FALSE)</f>
        <v>Madhya Pradesh</v>
      </c>
      <c r="L418" t="str">
        <f>VLOOKUP(tbl_details5[[#This Row],[Order ID]],Table1[],6,FALSE)</f>
        <v>Indore</v>
      </c>
    </row>
    <row r="419" spans="1:12" x14ac:dyDescent="0.25">
      <c r="A419" t="s">
        <v>332</v>
      </c>
      <c r="B419" s="4">
        <v>78</v>
      </c>
      <c r="C419" s="4">
        <v>-6</v>
      </c>
      <c r="D419" s="5">
        <f>tbl_details5[[#This Row],[Profit]]/tbl_details5[[#This Row],[Revenue]]</f>
        <v>-7.6923076923076927E-2</v>
      </c>
      <c r="E419">
        <v>2</v>
      </c>
      <c r="F419" t="s">
        <v>883</v>
      </c>
      <c r="G419" t="s">
        <v>901</v>
      </c>
      <c r="H419" s="1">
        <f>VLOOKUP(tbl_details5[[#This Row],[Order ID]],Orders!A:F,2,FALSE)</f>
        <v>43326</v>
      </c>
      <c r="I419" s="1" t="str">
        <f>TEXT(tbl_details5[[#This Row],[Order Date]],"mmm-yy")</f>
        <v>Aug-18</v>
      </c>
      <c r="J419" t="str">
        <f>VLOOKUP(tbl_details5[[#This Row],[Order ID]],Table1[],4,FALSE)</f>
        <v>Priyanshu</v>
      </c>
      <c r="K419" t="str">
        <f>VLOOKUP(tbl_details5[[#This Row],[Order ID]],Table1[],5,FALSE)</f>
        <v>Madhya Pradesh</v>
      </c>
      <c r="L419" t="str">
        <f>VLOOKUP(tbl_details5[[#This Row],[Order ID]],Table1[],6,FALSE)</f>
        <v>Indore</v>
      </c>
    </row>
    <row r="420" spans="1:12" x14ac:dyDescent="0.25">
      <c r="A420" t="s">
        <v>332</v>
      </c>
      <c r="B420" s="4">
        <v>20</v>
      </c>
      <c r="C420" s="4">
        <v>-18</v>
      </c>
      <c r="D420" s="5">
        <f>tbl_details5[[#This Row],[Profit]]/tbl_details5[[#This Row],[Revenue]]</f>
        <v>-0.9</v>
      </c>
      <c r="E420">
        <v>2</v>
      </c>
      <c r="F420" t="s">
        <v>885</v>
      </c>
      <c r="G420" t="s">
        <v>891</v>
      </c>
      <c r="H420" s="1">
        <f>VLOOKUP(tbl_details5[[#This Row],[Order ID]],Orders!A:F,2,FALSE)</f>
        <v>43326</v>
      </c>
      <c r="I420" s="1" t="str">
        <f>TEXT(tbl_details5[[#This Row],[Order Date]],"mmm-yy")</f>
        <v>Aug-18</v>
      </c>
      <c r="J420" t="str">
        <f>VLOOKUP(tbl_details5[[#This Row],[Order ID]],Table1[],4,FALSE)</f>
        <v>Priyanshu</v>
      </c>
      <c r="K420" t="str">
        <f>VLOOKUP(tbl_details5[[#This Row],[Order ID]],Table1[],5,FALSE)</f>
        <v>Madhya Pradesh</v>
      </c>
      <c r="L420" t="str">
        <f>VLOOKUP(tbl_details5[[#This Row],[Order ID]],Table1[],6,FALSE)</f>
        <v>Indore</v>
      </c>
    </row>
    <row r="421" spans="1:12" x14ac:dyDescent="0.25">
      <c r="A421" t="s">
        <v>332</v>
      </c>
      <c r="B421" s="4">
        <v>19</v>
      </c>
      <c r="C421" s="4">
        <v>-1</v>
      </c>
      <c r="D421" s="5">
        <f>tbl_details5[[#This Row],[Profit]]/tbl_details5[[#This Row],[Revenue]]</f>
        <v>-5.2631578947368418E-2</v>
      </c>
      <c r="E421">
        <v>1</v>
      </c>
      <c r="F421" t="s">
        <v>885</v>
      </c>
      <c r="G421" t="s">
        <v>896</v>
      </c>
      <c r="H421" s="1">
        <f>VLOOKUP(tbl_details5[[#This Row],[Order ID]],Orders!A:F,2,FALSE)</f>
        <v>43326</v>
      </c>
      <c r="I421" s="1" t="str">
        <f>TEXT(tbl_details5[[#This Row],[Order Date]],"mmm-yy")</f>
        <v>Aug-18</v>
      </c>
      <c r="J421" t="str">
        <f>VLOOKUP(tbl_details5[[#This Row],[Order ID]],Table1[],4,FALSE)</f>
        <v>Priyanshu</v>
      </c>
      <c r="K421" t="str">
        <f>VLOOKUP(tbl_details5[[#This Row],[Order ID]],Table1[],5,FALSE)</f>
        <v>Madhya Pradesh</v>
      </c>
      <c r="L421" t="str">
        <f>VLOOKUP(tbl_details5[[#This Row],[Order ID]],Table1[],6,FALSE)</f>
        <v>Indore</v>
      </c>
    </row>
    <row r="422" spans="1:12" x14ac:dyDescent="0.25">
      <c r="A422" t="s">
        <v>332</v>
      </c>
      <c r="B422" s="4">
        <v>73</v>
      </c>
      <c r="C422" s="4">
        <v>-31</v>
      </c>
      <c r="D422" s="5">
        <f>tbl_details5[[#This Row],[Profit]]/tbl_details5[[#This Row],[Revenue]]</f>
        <v>-0.42465753424657532</v>
      </c>
      <c r="E422">
        <v>1</v>
      </c>
      <c r="F422" t="s">
        <v>883</v>
      </c>
      <c r="G422" t="s">
        <v>884</v>
      </c>
      <c r="H422" s="1">
        <f>VLOOKUP(tbl_details5[[#This Row],[Order ID]],Orders!A:F,2,FALSE)</f>
        <v>43326</v>
      </c>
      <c r="I422" s="1" t="str">
        <f>TEXT(tbl_details5[[#This Row],[Order Date]],"mmm-yy")</f>
        <v>Aug-18</v>
      </c>
      <c r="J422" t="str">
        <f>VLOOKUP(tbl_details5[[#This Row],[Order ID]],Table1[],4,FALSE)</f>
        <v>Priyanshu</v>
      </c>
      <c r="K422" t="str">
        <f>VLOOKUP(tbl_details5[[#This Row],[Order ID]],Table1[],5,FALSE)</f>
        <v>Madhya Pradesh</v>
      </c>
      <c r="L422" t="str">
        <f>VLOOKUP(tbl_details5[[#This Row],[Order ID]],Table1[],6,FALSE)</f>
        <v>Indore</v>
      </c>
    </row>
    <row r="423" spans="1:12" x14ac:dyDescent="0.25">
      <c r="A423" t="s">
        <v>334</v>
      </c>
      <c r="B423" s="4">
        <v>10</v>
      </c>
      <c r="C423" s="4">
        <v>-8</v>
      </c>
      <c r="D423" s="5">
        <f>tbl_details5[[#This Row],[Profit]]/tbl_details5[[#This Row],[Revenue]]</f>
        <v>-0.8</v>
      </c>
      <c r="E423">
        <v>1</v>
      </c>
      <c r="F423" t="s">
        <v>885</v>
      </c>
      <c r="G423" t="s">
        <v>894</v>
      </c>
      <c r="H423" s="1">
        <f>VLOOKUP(tbl_details5[[#This Row],[Order ID]],Orders!A:F,2,FALSE)</f>
        <v>43326</v>
      </c>
      <c r="I423" s="1" t="str">
        <f>TEXT(tbl_details5[[#This Row],[Order Date]],"mmm-yy")</f>
        <v>Aug-18</v>
      </c>
      <c r="J423" t="str">
        <f>VLOOKUP(tbl_details5[[#This Row],[Order ID]],Table1[],4,FALSE)</f>
        <v>Nishant</v>
      </c>
      <c r="K423" t="str">
        <f>VLOOKUP(tbl_details5[[#This Row],[Order ID]],Table1[],5,FALSE)</f>
        <v>Maharashtra</v>
      </c>
      <c r="L423" t="str">
        <f>VLOOKUP(tbl_details5[[#This Row],[Order ID]],Table1[],6,FALSE)</f>
        <v>Mumbai</v>
      </c>
    </row>
    <row r="424" spans="1:12" x14ac:dyDescent="0.25">
      <c r="A424" t="s">
        <v>334</v>
      </c>
      <c r="B424" s="4">
        <v>14</v>
      </c>
      <c r="C424" s="4">
        <v>-3</v>
      </c>
      <c r="D424" s="5">
        <f>tbl_details5[[#This Row],[Profit]]/tbl_details5[[#This Row],[Revenue]]</f>
        <v>-0.21428571428571427</v>
      </c>
      <c r="E424">
        <v>2</v>
      </c>
      <c r="F424" t="s">
        <v>885</v>
      </c>
      <c r="G424" t="s">
        <v>897</v>
      </c>
      <c r="H424" s="1">
        <f>VLOOKUP(tbl_details5[[#This Row],[Order ID]],Orders!A:F,2,FALSE)</f>
        <v>43326</v>
      </c>
      <c r="I424" s="1" t="str">
        <f>TEXT(tbl_details5[[#This Row],[Order Date]],"mmm-yy")</f>
        <v>Aug-18</v>
      </c>
      <c r="J424" t="str">
        <f>VLOOKUP(tbl_details5[[#This Row],[Order ID]],Table1[],4,FALSE)</f>
        <v>Nishant</v>
      </c>
      <c r="K424" t="str">
        <f>VLOOKUP(tbl_details5[[#This Row],[Order ID]],Table1[],5,FALSE)</f>
        <v>Maharashtra</v>
      </c>
      <c r="L424" t="str">
        <f>VLOOKUP(tbl_details5[[#This Row],[Order ID]],Table1[],6,FALSE)</f>
        <v>Mumbai</v>
      </c>
    </row>
    <row r="425" spans="1:12" x14ac:dyDescent="0.25">
      <c r="A425" t="s">
        <v>334</v>
      </c>
      <c r="B425" s="4">
        <v>68</v>
      </c>
      <c r="C425" s="4">
        <v>-56</v>
      </c>
      <c r="D425" s="5">
        <f>tbl_details5[[#This Row],[Profit]]/tbl_details5[[#This Row],[Revenue]]</f>
        <v>-0.82352941176470584</v>
      </c>
      <c r="E425">
        <v>2</v>
      </c>
      <c r="F425" t="s">
        <v>888</v>
      </c>
      <c r="G425" t="s">
        <v>890</v>
      </c>
      <c r="H425" s="1">
        <f>VLOOKUP(tbl_details5[[#This Row],[Order ID]],Orders!A:F,2,FALSE)</f>
        <v>43326</v>
      </c>
      <c r="I425" s="1" t="str">
        <f>TEXT(tbl_details5[[#This Row],[Order Date]],"mmm-yy")</f>
        <v>Aug-18</v>
      </c>
      <c r="J425" t="str">
        <f>VLOOKUP(tbl_details5[[#This Row],[Order ID]],Table1[],4,FALSE)</f>
        <v>Nishant</v>
      </c>
      <c r="K425" t="str">
        <f>VLOOKUP(tbl_details5[[#This Row],[Order ID]],Table1[],5,FALSE)</f>
        <v>Maharashtra</v>
      </c>
      <c r="L425" t="str">
        <f>VLOOKUP(tbl_details5[[#This Row],[Order ID]],Table1[],6,FALSE)</f>
        <v>Mumbai</v>
      </c>
    </row>
    <row r="426" spans="1:12" x14ac:dyDescent="0.25">
      <c r="A426" t="s">
        <v>334</v>
      </c>
      <c r="B426" s="4">
        <v>106</v>
      </c>
      <c r="C426" s="4">
        <v>0</v>
      </c>
      <c r="D426" s="5">
        <f>tbl_details5[[#This Row],[Profit]]/tbl_details5[[#This Row],[Revenue]]</f>
        <v>0</v>
      </c>
      <c r="E426">
        <v>2</v>
      </c>
      <c r="F426" t="s">
        <v>888</v>
      </c>
      <c r="G426" t="s">
        <v>890</v>
      </c>
      <c r="H426" s="1">
        <f>VLOOKUP(tbl_details5[[#This Row],[Order ID]],Orders!A:F,2,FALSE)</f>
        <v>43326</v>
      </c>
      <c r="I426" s="1" t="str">
        <f>TEXT(tbl_details5[[#This Row],[Order Date]],"mmm-yy")</f>
        <v>Aug-18</v>
      </c>
      <c r="J426" t="str">
        <f>VLOOKUP(tbl_details5[[#This Row],[Order ID]],Table1[],4,FALSE)</f>
        <v>Nishant</v>
      </c>
      <c r="K426" t="str">
        <f>VLOOKUP(tbl_details5[[#This Row],[Order ID]],Table1[],5,FALSE)</f>
        <v>Maharashtra</v>
      </c>
      <c r="L426" t="str">
        <f>VLOOKUP(tbl_details5[[#This Row],[Order ID]],Table1[],6,FALSE)</f>
        <v>Mumbai</v>
      </c>
    </row>
    <row r="427" spans="1:12" x14ac:dyDescent="0.25">
      <c r="A427" t="s">
        <v>334</v>
      </c>
      <c r="B427" s="4">
        <v>43</v>
      </c>
      <c r="C427" s="4">
        <v>-5</v>
      </c>
      <c r="D427" s="5">
        <f>tbl_details5[[#This Row],[Profit]]/tbl_details5[[#This Row],[Revenue]]</f>
        <v>-0.11627906976744186</v>
      </c>
      <c r="E427">
        <v>2</v>
      </c>
      <c r="F427" t="s">
        <v>885</v>
      </c>
      <c r="G427" t="s">
        <v>891</v>
      </c>
      <c r="H427" s="1">
        <f>VLOOKUP(tbl_details5[[#This Row],[Order ID]],Orders!A:F,2,FALSE)</f>
        <v>43326</v>
      </c>
      <c r="I427" s="1" t="str">
        <f>TEXT(tbl_details5[[#This Row],[Order Date]],"mmm-yy")</f>
        <v>Aug-18</v>
      </c>
      <c r="J427" t="str">
        <f>VLOOKUP(tbl_details5[[#This Row],[Order ID]],Table1[],4,FALSE)</f>
        <v>Nishant</v>
      </c>
      <c r="K427" t="str">
        <f>VLOOKUP(tbl_details5[[#This Row],[Order ID]],Table1[],5,FALSE)</f>
        <v>Maharashtra</v>
      </c>
      <c r="L427" t="str">
        <f>VLOOKUP(tbl_details5[[#This Row],[Order ID]],Table1[],6,FALSE)</f>
        <v>Mumbai</v>
      </c>
    </row>
    <row r="428" spans="1:12" x14ac:dyDescent="0.25">
      <c r="A428" t="s">
        <v>334</v>
      </c>
      <c r="B428" s="4">
        <v>43</v>
      </c>
      <c r="C428" s="4">
        <v>21</v>
      </c>
      <c r="D428" s="5">
        <f>tbl_details5[[#This Row],[Profit]]/tbl_details5[[#This Row],[Revenue]]</f>
        <v>0.48837209302325579</v>
      </c>
      <c r="E428">
        <v>3</v>
      </c>
      <c r="F428" t="s">
        <v>885</v>
      </c>
      <c r="G428" t="s">
        <v>896</v>
      </c>
      <c r="H428" s="1">
        <f>VLOOKUP(tbl_details5[[#This Row],[Order ID]],Orders!A:F,2,FALSE)</f>
        <v>43326</v>
      </c>
      <c r="I428" s="1" t="str">
        <f>TEXT(tbl_details5[[#This Row],[Order Date]],"mmm-yy")</f>
        <v>Aug-18</v>
      </c>
      <c r="J428" t="str">
        <f>VLOOKUP(tbl_details5[[#This Row],[Order ID]],Table1[],4,FALSE)</f>
        <v>Nishant</v>
      </c>
      <c r="K428" t="str">
        <f>VLOOKUP(tbl_details5[[#This Row],[Order ID]],Table1[],5,FALSE)</f>
        <v>Maharashtra</v>
      </c>
      <c r="L428" t="str">
        <f>VLOOKUP(tbl_details5[[#This Row],[Order ID]],Table1[],6,FALSE)</f>
        <v>Mumbai</v>
      </c>
    </row>
    <row r="429" spans="1:12" x14ac:dyDescent="0.25">
      <c r="A429" t="s">
        <v>334</v>
      </c>
      <c r="B429" s="4">
        <v>534</v>
      </c>
      <c r="C429" s="4">
        <v>5</v>
      </c>
      <c r="D429" s="5">
        <f>tbl_details5[[#This Row],[Profit]]/tbl_details5[[#This Row],[Revenue]]</f>
        <v>9.3632958801498131E-3</v>
      </c>
      <c r="E429">
        <v>2</v>
      </c>
      <c r="F429" t="s">
        <v>888</v>
      </c>
      <c r="G429" t="s">
        <v>889</v>
      </c>
      <c r="H429" s="1">
        <f>VLOOKUP(tbl_details5[[#This Row],[Order ID]],Orders!A:F,2,FALSE)</f>
        <v>43326</v>
      </c>
      <c r="I429" s="1" t="str">
        <f>TEXT(tbl_details5[[#This Row],[Order Date]],"mmm-yy")</f>
        <v>Aug-18</v>
      </c>
      <c r="J429" t="str">
        <f>VLOOKUP(tbl_details5[[#This Row],[Order ID]],Table1[],4,FALSE)</f>
        <v>Nishant</v>
      </c>
      <c r="K429" t="str">
        <f>VLOOKUP(tbl_details5[[#This Row],[Order ID]],Table1[],5,FALSE)</f>
        <v>Maharashtra</v>
      </c>
      <c r="L429" t="str">
        <f>VLOOKUP(tbl_details5[[#This Row],[Order ID]],Table1[],6,FALSE)</f>
        <v>Mumbai</v>
      </c>
    </row>
    <row r="430" spans="1:12" x14ac:dyDescent="0.25">
      <c r="A430" t="s">
        <v>334</v>
      </c>
      <c r="B430" s="4">
        <v>32</v>
      </c>
      <c r="C430" s="4">
        <v>7</v>
      </c>
      <c r="D430" s="5">
        <f>tbl_details5[[#This Row],[Profit]]/tbl_details5[[#This Row],[Revenue]]</f>
        <v>0.21875</v>
      </c>
      <c r="E430">
        <v>3</v>
      </c>
      <c r="F430" t="s">
        <v>885</v>
      </c>
      <c r="G430" t="s">
        <v>887</v>
      </c>
      <c r="H430" s="1">
        <f>VLOOKUP(tbl_details5[[#This Row],[Order ID]],Orders!A:F,2,FALSE)</f>
        <v>43326</v>
      </c>
      <c r="I430" s="1" t="str">
        <f>TEXT(tbl_details5[[#This Row],[Order Date]],"mmm-yy")</f>
        <v>Aug-18</v>
      </c>
      <c r="J430" t="str">
        <f>VLOOKUP(tbl_details5[[#This Row],[Order ID]],Table1[],4,FALSE)</f>
        <v>Nishant</v>
      </c>
      <c r="K430" t="str">
        <f>VLOOKUP(tbl_details5[[#This Row],[Order ID]],Table1[],5,FALSE)</f>
        <v>Maharashtra</v>
      </c>
      <c r="L430" t="str">
        <f>VLOOKUP(tbl_details5[[#This Row],[Order ID]],Table1[],6,FALSE)</f>
        <v>Mumbai</v>
      </c>
    </row>
    <row r="431" spans="1:12" x14ac:dyDescent="0.25">
      <c r="A431" t="s">
        <v>334</v>
      </c>
      <c r="B431" s="4">
        <v>65</v>
      </c>
      <c r="C431" s="4">
        <v>-4</v>
      </c>
      <c r="D431" s="5">
        <f>tbl_details5[[#This Row],[Profit]]/tbl_details5[[#This Row],[Revenue]]</f>
        <v>-6.1538461538461542E-2</v>
      </c>
      <c r="E431">
        <v>6</v>
      </c>
      <c r="F431" t="s">
        <v>885</v>
      </c>
      <c r="G431" t="s">
        <v>887</v>
      </c>
      <c r="H431" s="1">
        <f>VLOOKUP(tbl_details5[[#This Row],[Order ID]],Orders!A:F,2,FALSE)</f>
        <v>43326</v>
      </c>
      <c r="I431" s="1" t="str">
        <f>TEXT(tbl_details5[[#This Row],[Order Date]],"mmm-yy")</f>
        <v>Aug-18</v>
      </c>
      <c r="J431" t="str">
        <f>VLOOKUP(tbl_details5[[#This Row],[Order ID]],Table1[],4,FALSE)</f>
        <v>Nishant</v>
      </c>
      <c r="K431" t="str">
        <f>VLOOKUP(tbl_details5[[#This Row],[Order ID]],Table1[],5,FALSE)</f>
        <v>Maharashtra</v>
      </c>
      <c r="L431" t="str">
        <f>VLOOKUP(tbl_details5[[#This Row],[Order ID]],Table1[],6,FALSE)</f>
        <v>Mumbai</v>
      </c>
    </row>
    <row r="432" spans="1:12" x14ac:dyDescent="0.25">
      <c r="A432" t="s">
        <v>334</v>
      </c>
      <c r="B432" s="4">
        <v>221</v>
      </c>
      <c r="C432" s="4">
        <v>-15</v>
      </c>
      <c r="D432" s="5">
        <f>tbl_details5[[#This Row],[Profit]]/tbl_details5[[#This Row],[Revenue]]</f>
        <v>-6.7873303167420809E-2</v>
      </c>
      <c r="E432">
        <v>2</v>
      </c>
      <c r="F432" t="s">
        <v>888</v>
      </c>
      <c r="G432" t="s">
        <v>889</v>
      </c>
      <c r="H432" s="1">
        <f>VLOOKUP(tbl_details5[[#This Row],[Order ID]],Orders!A:F,2,FALSE)</f>
        <v>43326</v>
      </c>
      <c r="I432" s="1" t="str">
        <f>TEXT(tbl_details5[[#This Row],[Order Date]],"mmm-yy")</f>
        <v>Aug-18</v>
      </c>
      <c r="J432" t="str">
        <f>VLOOKUP(tbl_details5[[#This Row],[Order ID]],Table1[],4,FALSE)</f>
        <v>Nishant</v>
      </c>
      <c r="K432" t="str">
        <f>VLOOKUP(tbl_details5[[#This Row],[Order ID]],Table1[],5,FALSE)</f>
        <v>Maharashtra</v>
      </c>
      <c r="L432" t="str">
        <f>VLOOKUP(tbl_details5[[#This Row],[Order ID]],Table1[],6,FALSE)</f>
        <v>Mumbai</v>
      </c>
    </row>
    <row r="433" spans="1:12" x14ac:dyDescent="0.25">
      <c r="A433" t="s">
        <v>336</v>
      </c>
      <c r="B433" s="4">
        <v>1361</v>
      </c>
      <c r="C433" s="4">
        <v>197</v>
      </c>
      <c r="D433" s="5">
        <f>tbl_details5[[#This Row],[Profit]]/tbl_details5[[#This Row],[Revenue]]</f>
        <v>0.14474650991917706</v>
      </c>
      <c r="E433">
        <v>9</v>
      </c>
      <c r="F433" t="s">
        <v>883</v>
      </c>
      <c r="G433" t="s">
        <v>884</v>
      </c>
      <c r="H433" s="1">
        <f>VLOOKUP(tbl_details5[[#This Row],[Order ID]],Orders!A:F,2,FALSE)</f>
        <v>43326</v>
      </c>
      <c r="I433" s="1" t="str">
        <f>TEXT(tbl_details5[[#This Row],[Order Date]],"mmm-yy")</f>
        <v>Aug-18</v>
      </c>
      <c r="J433" t="str">
        <f>VLOOKUP(tbl_details5[[#This Row],[Order ID]],Table1[],4,FALSE)</f>
        <v>Vaibhav</v>
      </c>
      <c r="K433" t="str">
        <f>VLOOKUP(tbl_details5[[#This Row],[Order ID]],Table1[],5,FALSE)</f>
        <v>Madhya Pradesh</v>
      </c>
      <c r="L433" t="str">
        <f>VLOOKUP(tbl_details5[[#This Row],[Order ID]],Table1[],6,FALSE)</f>
        <v>Indore</v>
      </c>
    </row>
    <row r="434" spans="1:12" x14ac:dyDescent="0.25">
      <c r="A434" t="s">
        <v>336</v>
      </c>
      <c r="B434" s="4">
        <v>761</v>
      </c>
      <c r="C434" s="4">
        <v>266</v>
      </c>
      <c r="D434" s="5">
        <f>tbl_details5[[#This Row],[Profit]]/tbl_details5[[#This Row],[Revenue]]</f>
        <v>0.34954007884362681</v>
      </c>
      <c r="E434">
        <v>9</v>
      </c>
      <c r="F434" t="s">
        <v>888</v>
      </c>
      <c r="G434" t="s">
        <v>889</v>
      </c>
      <c r="H434" s="1">
        <f>VLOOKUP(tbl_details5[[#This Row],[Order ID]],Orders!A:F,2,FALSE)</f>
        <v>43326</v>
      </c>
      <c r="I434" s="1" t="str">
        <f>TEXT(tbl_details5[[#This Row],[Order Date]],"mmm-yy")</f>
        <v>Aug-18</v>
      </c>
      <c r="J434" t="str">
        <f>VLOOKUP(tbl_details5[[#This Row],[Order ID]],Table1[],4,FALSE)</f>
        <v>Vaibhav</v>
      </c>
      <c r="K434" t="str">
        <f>VLOOKUP(tbl_details5[[#This Row],[Order ID]],Table1[],5,FALSE)</f>
        <v>Madhya Pradesh</v>
      </c>
      <c r="L434" t="str">
        <f>VLOOKUP(tbl_details5[[#This Row],[Order ID]],Table1[],6,FALSE)</f>
        <v>Indore</v>
      </c>
    </row>
    <row r="435" spans="1:12" x14ac:dyDescent="0.25">
      <c r="A435" t="s">
        <v>336</v>
      </c>
      <c r="B435" s="4">
        <v>76</v>
      </c>
      <c r="C435" s="4">
        <v>27</v>
      </c>
      <c r="D435" s="5">
        <f>tbl_details5[[#This Row],[Profit]]/tbl_details5[[#This Row],[Revenue]]</f>
        <v>0.35526315789473684</v>
      </c>
      <c r="E435">
        <v>5</v>
      </c>
      <c r="F435" t="s">
        <v>885</v>
      </c>
      <c r="G435" t="s">
        <v>886</v>
      </c>
      <c r="H435" s="1">
        <f>VLOOKUP(tbl_details5[[#This Row],[Order ID]],Orders!A:F,2,FALSE)</f>
        <v>43326</v>
      </c>
      <c r="I435" s="1" t="str">
        <f>TEXT(tbl_details5[[#This Row],[Order Date]],"mmm-yy")</f>
        <v>Aug-18</v>
      </c>
      <c r="J435" t="str">
        <f>VLOOKUP(tbl_details5[[#This Row],[Order ID]],Table1[],4,FALSE)</f>
        <v>Vaibhav</v>
      </c>
      <c r="K435" t="str">
        <f>VLOOKUP(tbl_details5[[#This Row],[Order ID]],Table1[],5,FALSE)</f>
        <v>Madhya Pradesh</v>
      </c>
      <c r="L435" t="str">
        <f>VLOOKUP(tbl_details5[[#This Row],[Order ID]],Table1[],6,FALSE)</f>
        <v>Indore</v>
      </c>
    </row>
    <row r="436" spans="1:12" x14ac:dyDescent="0.25">
      <c r="A436" t="s">
        <v>336</v>
      </c>
      <c r="B436" s="4">
        <v>91</v>
      </c>
      <c r="C436" s="4">
        <v>15</v>
      </c>
      <c r="D436" s="5">
        <f>tbl_details5[[#This Row],[Profit]]/tbl_details5[[#This Row],[Revenue]]</f>
        <v>0.16483516483516483</v>
      </c>
      <c r="E436">
        <v>6</v>
      </c>
      <c r="F436" t="s">
        <v>885</v>
      </c>
      <c r="G436" t="s">
        <v>895</v>
      </c>
      <c r="H436" s="1">
        <f>VLOOKUP(tbl_details5[[#This Row],[Order ID]],Orders!A:F,2,FALSE)</f>
        <v>43326</v>
      </c>
      <c r="I436" s="1" t="str">
        <f>TEXT(tbl_details5[[#This Row],[Order Date]],"mmm-yy")</f>
        <v>Aug-18</v>
      </c>
      <c r="J436" t="str">
        <f>VLOOKUP(tbl_details5[[#This Row],[Order ID]],Table1[],4,FALSE)</f>
        <v>Vaibhav</v>
      </c>
      <c r="K436" t="str">
        <f>VLOOKUP(tbl_details5[[#This Row],[Order ID]],Table1[],5,FALSE)</f>
        <v>Madhya Pradesh</v>
      </c>
      <c r="L436" t="str">
        <f>VLOOKUP(tbl_details5[[#This Row],[Order ID]],Table1[],6,FALSE)</f>
        <v>Indore</v>
      </c>
    </row>
    <row r="437" spans="1:12" x14ac:dyDescent="0.25">
      <c r="A437" t="s">
        <v>336</v>
      </c>
      <c r="B437" s="4">
        <v>8</v>
      </c>
      <c r="C437" s="4">
        <v>-2</v>
      </c>
      <c r="D437" s="5">
        <f>tbl_details5[[#This Row],[Profit]]/tbl_details5[[#This Row],[Revenue]]</f>
        <v>-0.25</v>
      </c>
      <c r="E437">
        <v>2</v>
      </c>
      <c r="F437" t="s">
        <v>885</v>
      </c>
      <c r="G437" t="s">
        <v>887</v>
      </c>
      <c r="H437" s="1">
        <f>VLOOKUP(tbl_details5[[#This Row],[Order ID]],Orders!A:F,2,FALSE)</f>
        <v>43326</v>
      </c>
      <c r="I437" s="1" t="str">
        <f>TEXT(tbl_details5[[#This Row],[Order Date]],"mmm-yy")</f>
        <v>Aug-18</v>
      </c>
      <c r="J437" t="str">
        <f>VLOOKUP(tbl_details5[[#This Row],[Order ID]],Table1[],4,FALSE)</f>
        <v>Vaibhav</v>
      </c>
      <c r="K437" t="str">
        <f>VLOOKUP(tbl_details5[[#This Row],[Order ID]],Table1[],5,FALSE)</f>
        <v>Madhya Pradesh</v>
      </c>
      <c r="L437" t="str">
        <f>VLOOKUP(tbl_details5[[#This Row],[Order ID]],Table1[],6,FALSE)</f>
        <v>Indore</v>
      </c>
    </row>
    <row r="438" spans="1:12" x14ac:dyDescent="0.25">
      <c r="A438" t="s">
        <v>336</v>
      </c>
      <c r="B438" s="4">
        <v>735</v>
      </c>
      <c r="C438" s="4">
        <v>-235</v>
      </c>
      <c r="D438" s="5">
        <f>tbl_details5[[#This Row],[Profit]]/tbl_details5[[#This Row],[Revenue]]</f>
        <v>-0.31972789115646261</v>
      </c>
      <c r="E438">
        <v>6</v>
      </c>
      <c r="F438" t="s">
        <v>888</v>
      </c>
      <c r="G438" t="s">
        <v>899</v>
      </c>
      <c r="H438" s="1">
        <f>VLOOKUP(tbl_details5[[#This Row],[Order ID]],Orders!A:F,2,FALSE)</f>
        <v>43326</v>
      </c>
      <c r="I438" s="1" t="str">
        <f>TEXT(tbl_details5[[#This Row],[Order Date]],"mmm-yy")</f>
        <v>Aug-18</v>
      </c>
      <c r="J438" t="str">
        <f>VLOOKUP(tbl_details5[[#This Row],[Order ID]],Table1[],4,FALSE)</f>
        <v>Vaibhav</v>
      </c>
      <c r="K438" t="str">
        <f>VLOOKUP(tbl_details5[[#This Row],[Order ID]],Table1[],5,FALSE)</f>
        <v>Madhya Pradesh</v>
      </c>
      <c r="L438" t="str">
        <f>VLOOKUP(tbl_details5[[#This Row],[Order ID]],Table1[],6,FALSE)</f>
        <v>Indore</v>
      </c>
    </row>
    <row r="439" spans="1:12" x14ac:dyDescent="0.25">
      <c r="A439" t="s">
        <v>336</v>
      </c>
      <c r="B439" s="4">
        <v>33</v>
      </c>
      <c r="C439" s="4">
        <v>-27</v>
      </c>
      <c r="D439" s="5">
        <f>tbl_details5[[#This Row],[Profit]]/tbl_details5[[#This Row],[Revenue]]</f>
        <v>-0.81818181818181823</v>
      </c>
      <c r="E439">
        <v>1</v>
      </c>
      <c r="F439" t="s">
        <v>883</v>
      </c>
      <c r="G439" t="s">
        <v>893</v>
      </c>
      <c r="H439" s="1">
        <f>VLOOKUP(tbl_details5[[#This Row],[Order ID]],Orders!A:F,2,FALSE)</f>
        <v>43326</v>
      </c>
      <c r="I439" s="1" t="str">
        <f>TEXT(tbl_details5[[#This Row],[Order Date]],"mmm-yy")</f>
        <v>Aug-18</v>
      </c>
      <c r="J439" t="str">
        <f>VLOOKUP(tbl_details5[[#This Row],[Order ID]],Table1[],4,FALSE)</f>
        <v>Vaibhav</v>
      </c>
      <c r="K439" t="str">
        <f>VLOOKUP(tbl_details5[[#This Row],[Order ID]],Table1[],5,FALSE)</f>
        <v>Madhya Pradesh</v>
      </c>
      <c r="L439" t="str">
        <f>VLOOKUP(tbl_details5[[#This Row],[Order ID]],Table1[],6,FALSE)</f>
        <v>Indore</v>
      </c>
    </row>
    <row r="440" spans="1:12" x14ac:dyDescent="0.25">
      <c r="A440" t="s">
        <v>338</v>
      </c>
      <c r="B440" s="4">
        <v>62</v>
      </c>
      <c r="C440" s="4">
        <v>-56</v>
      </c>
      <c r="D440" s="5">
        <f>tbl_details5[[#This Row],[Profit]]/tbl_details5[[#This Row],[Revenue]]</f>
        <v>-0.90322580645161288</v>
      </c>
      <c r="E440">
        <v>5</v>
      </c>
      <c r="F440" t="s">
        <v>885</v>
      </c>
      <c r="G440" t="s">
        <v>894</v>
      </c>
      <c r="H440" s="1">
        <f>VLOOKUP(tbl_details5[[#This Row],[Order ID]],Orders!A:F,2,FALSE)</f>
        <v>43329</v>
      </c>
      <c r="I440" s="1" t="str">
        <f>TEXT(tbl_details5[[#This Row],[Order Date]],"mmm-yy")</f>
        <v>Aug-18</v>
      </c>
      <c r="J440" t="str">
        <f>VLOOKUP(tbl_details5[[#This Row],[Order ID]],Table1[],4,FALSE)</f>
        <v>Shivam</v>
      </c>
      <c r="K440" t="str">
        <f>VLOOKUP(tbl_details5[[#This Row],[Order ID]],Table1[],5,FALSE)</f>
        <v>Uttar Pradesh</v>
      </c>
      <c r="L440" t="str">
        <f>VLOOKUP(tbl_details5[[#This Row],[Order ID]],Table1[],6,FALSE)</f>
        <v>Lucknow</v>
      </c>
    </row>
    <row r="441" spans="1:12" x14ac:dyDescent="0.25">
      <c r="A441" t="s">
        <v>338</v>
      </c>
      <c r="B441" s="4">
        <v>27</v>
      </c>
      <c r="C441" s="4">
        <v>-20</v>
      </c>
      <c r="D441" s="5">
        <f>tbl_details5[[#This Row],[Profit]]/tbl_details5[[#This Row],[Revenue]]</f>
        <v>-0.7407407407407407</v>
      </c>
      <c r="E441">
        <v>2</v>
      </c>
      <c r="F441" t="s">
        <v>885</v>
      </c>
      <c r="G441" t="s">
        <v>887</v>
      </c>
      <c r="H441" s="1">
        <f>VLOOKUP(tbl_details5[[#This Row],[Order ID]],Orders!A:F,2,FALSE)</f>
        <v>43329</v>
      </c>
      <c r="I441" s="1" t="str">
        <f>TEXT(tbl_details5[[#This Row],[Order Date]],"mmm-yy")</f>
        <v>Aug-18</v>
      </c>
      <c r="J441" t="str">
        <f>VLOOKUP(tbl_details5[[#This Row],[Order ID]],Table1[],4,FALSE)</f>
        <v>Shivam</v>
      </c>
      <c r="K441" t="str">
        <f>VLOOKUP(tbl_details5[[#This Row],[Order ID]],Table1[],5,FALSE)</f>
        <v>Uttar Pradesh</v>
      </c>
      <c r="L441" t="str">
        <f>VLOOKUP(tbl_details5[[#This Row],[Order ID]],Table1[],6,FALSE)</f>
        <v>Lucknow</v>
      </c>
    </row>
    <row r="442" spans="1:12" x14ac:dyDescent="0.25">
      <c r="A442" t="s">
        <v>338</v>
      </c>
      <c r="B442" s="4">
        <v>65</v>
      </c>
      <c r="C442" s="4">
        <v>-52</v>
      </c>
      <c r="D442" s="5">
        <f>tbl_details5[[#This Row],[Profit]]/tbl_details5[[#This Row],[Revenue]]</f>
        <v>-0.8</v>
      </c>
      <c r="E442">
        <v>3</v>
      </c>
      <c r="F442" t="s">
        <v>888</v>
      </c>
      <c r="G442" t="s">
        <v>900</v>
      </c>
      <c r="H442" s="1">
        <f>VLOOKUP(tbl_details5[[#This Row],[Order ID]],Orders!A:F,2,FALSE)</f>
        <v>43329</v>
      </c>
      <c r="I442" s="1" t="str">
        <f>TEXT(tbl_details5[[#This Row],[Order Date]],"mmm-yy")</f>
        <v>Aug-18</v>
      </c>
      <c r="J442" t="str">
        <f>VLOOKUP(tbl_details5[[#This Row],[Order ID]],Table1[],4,FALSE)</f>
        <v>Shivam</v>
      </c>
      <c r="K442" t="str">
        <f>VLOOKUP(tbl_details5[[#This Row],[Order ID]],Table1[],5,FALSE)</f>
        <v>Uttar Pradesh</v>
      </c>
      <c r="L442" t="str">
        <f>VLOOKUP(tbl_details5[[#This Row],[Order ID]],Table1[],6,FALSE)</f>
        <v>Lucknow</v>
      </c>
    </row>
    <row r="443" spans="1:12" x14ac:dyDescent="0.25">
      <c r="A443" t="s">
        <v>338</v>
      </c>
      <c r="B443" s="4">
        <v>47</v>
      </c>
      <c r="C443" s="4">
        <v>-114</v>
      </c>
      <c r="D443" s="5">
        <f>tbl_details5[[#This Row],[Profit]]/tbl_details5[[#This Row],[Revenue]]</f>
        <v>-2.4255319148936172</v>
      </c>
      <c r="E443">
        <v>5</v>
      </c>
      <c r="F443" t="s">
        <v>883</v>
      </c>
      <c r="G443" t="s">
        <v>901</v>
      </c>
      <c r="H443" s="1">
        <f>VLOOKUP(tbl_details5[[#This Row],[Order ID]],Orders!A:F,2,FALSE)</f>
        <v>43329</v>
      </c>
      <c r="I443" s="1" t="str">
        <f>TEXT(tbl_details5[[#This Row],[Order Date]],"mmm-yy")</f>
        <v>Aug-18</v>
      </c>
      <c r="J443" t="str">
        <f>VLOOKUP(tbl_details5[[#This Row],[Order ID]],Table1[],4,FALSE)</f>
        <v>Shivam</v>
      </c>
      <c r="K443" t="str">
        <f>VLOOKUP(tbl_details5[[#This Row],[Order ID]],Table1[],5,FALSE)</f>
        <v>Uttar Pradesh</v>
      </c>
      <c r="L443" t="str">
        <f>VLOOKUP(tbl_details5[[#This Row],[Order ID]],Table1[],6,FALSE)</f>
        <v>Lucknow</v>
      </c>
    </row>
    <row r="444" spans="1:12" x14ac:dyDescent="0.25">
      <c r="A444" t="s">
        <v>338</v>
      </c>
      <c r="B444" s="4">
        <v>341</v>
      </c>
      <c r="C444" s="4">
        <v>-85</v>
      </c>
      <c r="D444" s="5">
        <f>tbl_details5[[#This Row],[Profit]]/tbl_details5[[#This Row],[Revenue]]</f>
        <v>-0.24926686217008798</v>
      </c>
      <c r="E444">
        <v>6</v>
      </c>
      <c r="F444" t="s">
        <v>885</v>
      </c>
      <c r="G444" t="s">
        <v>892</v>
      </c>
      <c r="H444" s="1">
        <f>VLOOKUP(tbl_details5[[#This Row],[Order ID]],Orders!A:F,2,FALSE)</f>
        <v>43329</v>
      </c>
      <c r="I444" s="1" t="str">
        <f>TEXT(tbl_details5[[#This Row],[Order Date]],"mmm-yy")</f>
        <v>Aug-18</v>
      </c>
      <c r="J444" t="str">
        <f>VLOOKUP(tbl_details5[[#This Row],[Order ID]],Table1[],4,FALSE)</f>
        <v>Shivam</v>
      </c>
      <c r="K444" t="str">
        <f>VLOOKUP(tbl_details5[[#This Row],[Order ID]],Table1[],5,FALSE)</f>
        <v>Uttar Pradesh</v>
      </c>
      <c r="L444" t="str">
        <f>VLOOKUP(tbl_details5[[#This Row],[Order ID]],Table1[],6,FALSE)</f>
        <v>Lucknow</v>
      </c>
    </row>
    <row r="445" spans="1:12" x14ac:dyDescent="0.25">
      <c r="A445" t="s">
        <v>338</v>
      </c>
      <c r="B445" s="4">
        <v>107</v>
      </c>
      <c r="C445" s="4">
        <v>31</v>
      </c>
      <c r="D445" s="5">
        <f>tbl_details5[[#This Row],[Profit]]/tbl_details5[[#This Row],[Revenue]]</f>
        <v>0.28971962616822428</v>
      </c>
      <c r="E445">
        <v>5</v>
      </c>
      <c r="F445" t="s">
        <v>885</v>
      </c>
      <c r="G445" t="s">
        <v>895</v>
      </c>
      <c r="H445" s="1">
        <f>VLOOKUP(tbl_details5[[#This Row],[Order ID]],Orders!A:F,2,FALSE)</f>
        <v>43329</v>
      </c>
      <c r="I445" s="1" t="str">
        <f>TEXT(tbl_details5[[#This Row],[Order Date]],"mmm-yy")</f>
        <v>Aug-18</v>
      </c>
      <c r="J445" t="str">
        <f>VLOOKUP(tbl_details5[[#This Row],[Order ID]],Table1[],4,FALSE)</f>
        <v>Shivam</v>
      </c>
      <c r="K445" t="str">
        <f>VLOOKUP(tbl_details5[[#This Row],[Order ID]],Table1[],5,FALSE)</f>
        <v>Uttar Pradesh</v>
      </c>
      <c r="L445" t="str">
        <f>VLOOKUP(tbl_details5[[#This Row],[Order ID]],Table1[],6,FALSE)</f>
        <v>Lucknow</v>
      </c>
    </row>
    <row r="446" spans="1:12" x14ac:dyDescent="0.25">
      <c r="A446" t="s">
        <v>338</v>
      </c>
      <c r="B446" s="4">
        <v>154</v>
      </c>
      <c r="C446" s="4">
        <v>22</v>
      </c>
      <c r="D446" s="5">
        <f>tbl_details5[[#This Row],[Profit]]/tbl_details5[[#This Row],[Revenue]]</f>
        <v>0.14285714285714285</v>
      </c>
      <c r="E446">
        <v>7</v>
      </c>
      <c r="F446" t="s">
        <v>885</v>
      </c>
      <c r="G446" t="s">
        <v>895</v>
      </c>
      <c r="H446" s="1">
        <f>VLOOKUP(tbl_details5[[#This Row],[Order ID]],Orders!A:F,2,FALSE)</f>
        <v>43329</v>
      </c>
      <c r="I446" s="1" t="str">
        <f>TEXT(tbl_details5[[#This Row],[Order Date]],"mmm-yy")</f>
        <v>Aug-18</v>
      </c>
      <c r="J446" t="str">
        <f>VLOOKUP(tbl_details5[[#This Row],[Order ID]],Table1[],4,FALSE)</f>
        <v>Shivam</v>
      </c>
      <c r="K446" t="str">
        <f>VLOOKUP(tbl_details5[[#This Row],[Order ID]],Table1[],5,FALSE)</f>
        <v>Uttar Pradesh</v>
      </c>
      <c r="L446" t="str">
        <f>VLOOKUP(tbl_details5[[#This Row],[Order ID]],Table1[],6,FALSE)</f>
        <v>Lucknow</v>
      </c>
    </row>
    <row r="447" spans="1:12" x14ac:dyDescent="0.25">
      <c r="A447" t="s">
        <v>338</v>
      </c>
      <c r="B447" s="4">
        <v>620</v>
      </c>
      <c r="C447" s="4">
        <v>82</v>
      </c>
      <c r="D447" s="5">
        <f>tbl_details5[[#This Row],[Profit]]/tbl_details5[[#This Row],[Revenue]]</f>
        <v>0.13225806451612904</v>
      </c>
      <c r="E447">
        <v>6</v>
      </c>
      <c r="F447" t="s">
        <v>888</v>
      </c>
      <c r="G447" t="s">
        <v>900</v>
      </c>
      <c r="H447" s="1">
        <f>VLOOKUP(tbl_details5[[#This Row],[Order ID]],Orders!A:F,2,FALSE)</f>
        <v>43329</v>
      </c>
      <c r="I447" s="1" t="str">
        <f>TEXT(tbl_details5[[#This Row],[Order Date]],"mmm-yy")</f>
        <v>Aug-18</v>
      </c>
      <c r="J447" t="str">
        <f>VLOOKUP(tbl_details5[[#This Row],[Order ID]],Table1[],4,FALSE)</f>
        <v>Shivam</v>
      </c>
      <c r="K447" t="str">
        <f>VLOOKUP(tbl_details5[[#This Row],[Order ID]],Table1[],5,FALSE)</f>
        <v>Uttar Pradesh</v>
      </c>
      <c r="L447" t="str">
        <f>VLOOKUP(tbl_details5[[#This Row],[Order ID]],Table1[],6,FALSE)</f>
        <v>Lucknow</v>
      </c>
    </row>
    <row r="448" spans="1:12" x14ac:dyDescent="0.25">
      <c r="A448" t="s">
        <v>338</v>
      </c>
      <c r="B448" s="4">
        <v>77</v>
      </c>
      <c r="C448" s="4">
        <v>-43</v>
      </c>
      <c r="D448" s="5">
        <f>tbl_details5[[#This Row],[Profit]]/tbl_details5[[#This Row],[Revenue]]</f>
        <v>-0.55844155844155841</v>
      </c>
      <c r="E448">
        <v>8</v>
      </c>
      <c r="F448" t="s">
        <v>885</v>
      </c>
      <c r="G448" t="s">
        <v>886</v>
      </c>
      <c r="H448" s="1">
        <f>VLOOKUP(tbl_details5[[#This Row],[Order ID]],Orders!A:F,2,FALSE)</f>
        <v>43329</v>
      </c>
      <c r="I448" s="1" t="str">
        <f>TEXT(tbl_details5[[#This Row],[Order Date]],"mmm-yy")</f>
        <v>Aug-18</v>
      </c>
      <c r="J448" t="str">
        <f>VLOOKUP(tbl_details5[[#This Row],[Order ID]],Table1[],4,FALSE)</f>
        <v>Shivam</v>
      </c>
      <c r="K448" t="str">
        <f>VLOOKUP(tbl_details5[[#This Row],[Order ID]],Table1[],5,FALSE)</f>
        <v>Uttar Pradesh</v>
      </c>
      <c r="L448" t="str">
        <f>VLOOKUP(tbl_details5[[#This Row],[Order ID]],Table1[],6,FALSE)</f>
        <v>Lucknow</v>
      </c>
    </row>
    <row r="449" spans="1:12" x14ac:dyDescent="0.25">
      <c r="A449" t="s">
        <v>339</v>
      </c>
      <c r="B449" s="4">
        <v>72</v>
      </c>
      <c r="C449" s="4">
        <v>-46</v>
      </c>
      <c r="D449" s="5">
        <f>tbl_details5[[#This Row],[Profit]]/tbl_details5[[#This Row],[Revenue]]</f>
        <v>-0.63888888888888884</v>
      </c>
      <c r="E449">
        <v>7</v>
      </c>
      <c r="F449" t="s">
        <v>885</v>
      </c>
      <c r="G449" t="s">
        <v>894</v>
      </c>
      <c r="H449" s="1">
        <f>VLOOKUP(tbl_details5[[#This Row],[Order ID]],Orders!A:F,2,FALSE)</f>
        <v>43330</v>
      </c>
      <c r="I449" s="1" t="str">
        <f>TEXT(tbl_details5[[#This Row],[Order Date]],"mmm-yy")</f>
        <v>Aug-18</v>
      </c>
      <c r="J449" t="str">
        <f>VLOOKUP(tbl_details5[[#This Row],[Order ID]],Table1[],4,FALSE)</f>
        <v>Akshay</v>
      </c>
      <c r="K449" t="str">
        <f>VLOOKUP(tbl_details5[[#This Row],[Order ID]],Table1[],5,FALSE)</f>
        <v>Bihar</v>
      </c>
      <c r="L449" t="str">
        <f>VLOOKUP(tbl_details5[[#This Row],[Order ID]],Table1[],6,FALSE)</f>
        <v>Patna</v>
      </c>
    </row>
    <row r="450" spans="1:12" x14ac:dyDescent="0.25">
      <c r="A450" t="s">
        <v>339</v>
      </c>
      <c r="B450" s="4">
        <v>41</v>
      </c>
      <c r="C450" s="4">
        <v>-14</v>
      </c>
      <c r="D450" s="5">
        <f>tbl_details5[[#This Row],[Profit]]/tbl_details5[[#This Row],[Revenue]]</f>
        <v>-0.34146341463414637</v>
      </c>
      <c r="E450">
        <v>5</v>
      </c>
      <c r="F450" t="s">
        <v>885</v>
      </c>
      <c r="G450" t="s">
        <v>897</v>
      </c>
      <c r="H450" s="1">
        <f>VLOOKUP(tbl_details5[[#This Row],[Order ID]],Orders!A:F,2,FALSE)</f>
        <v>43330</v>
      </c>
      <c r="I450" s="1" t="str">
        <f>TEXT(tbl_details5[[#This Row],[Order Date]],"mmm-yy")</f>
        <v>Aug-18</v>
      </c>
      <c r="J450" t="str">
        <f>VLOOKUP(tbl_details5[[#This Row],[Order ID]],Table1[],4,FALSE)</f>
        <v>Akshay</v>
      </c>
      <c r="K450" t="str">
        <f>VLOOKUP(tbl_details5[[#This Row],[Order ID]],Table1[],5,FALSE)</f>
        <v>Bihar</v>
      </c>
      <c r="L450" t="str">
        <f>VLOOKUP(tbl_details5[[#This Row],[Order ID]],Table1[],6,FALSE)</f>
        <v>Patna</v>
      </c>
    </row>
    <row r="451" spans="1:12" x14ac:dyDescent="0.25">
      <c r="A451" t="s">
        <v>339</v>
      </c>
      <c r="B451" s="4">
        <v>30</v>
      </c>
      <c r="C451" s="4">
        <v>-23</v>
      </c>
      <c r="D451" s="5">
        <f>tbl_details5[[#This Row],[Profit]]/tbl_details5[[#This Row],[Revenue]]</f>
        <v>-0.76666666666666672</v>
      </c>
      <c r="E451">
        <v>2</v>
      </c>
      <c r="F451" t="s">
        <v>885</v>
      </c>
      <c r="G451" t="s">
        <v>891</v>
      </c>
      <c r="H451" s="1">
        <f>VLOOKUP(tbl_details5[[#This Row],[Order ID]],Orders!A:F,2,FALSE)</f>
        <v>43330</v>
      </c>
      <c r="I451" s="1" t="str">
        <f>TEXT(tbl_details5[[#This Row],[Order Date]],"mmm-yy")</f>
        <v>Aug-18</v>
      </c>
      <c r="J451" t="str">
        <f>VLOOKUP(tbl_details5[[#This Row],[Order ID]],Table1[],4,FALSE)</f>
        <v>Akshay</v>
      </c>
      <c r="K451" t="str">
        <f>VLOOKUP(tbl_details5[[#This Row],[Order ID]],Table1[],5,FALSE)</f>
        <v>Bihar</v>
      </c>
      <c r="L451" t="str">
        <f>VLOOKUP(tbl_details5[[#This Row],[Order ID]],Table1[],6,FALSE)</f>
        <v>Patna</v>
      </c>
    </row>
    <row r="452" spans="1:12" x14ac:dyDescent="0.25">
      <c r="A452" t="s">
        <v>339</v>
      </c>
      <c r="B452" s="4">
        <v>93</v>
      </c>
      <c r="C452" s="4">
        <v>-65</v>
      </c>
      <c r="D452" s="5">
        <f>tbl_details5[[#This Row],[Profit]]/tbl_details5[[#This Row],[Revenue]]</f>
        <v>-0.69892473118279574</v>
      </c>
      <c r="E452">
        <v>4</v>
      </c>
      <c r="F452" t="s">
        <v>885</v>
      </c>
      <c r="G452" t="s">
        <v>886</v>
      </c>
      <c r="H452" s="1">
        <f>VLOOKUP(tbl_details5[[#This Row],[Order ID]],Orders!A:F,2,FALSE)</f>
        <v>43330</v>
      </c>
      <c r="I452" s="1" t="str">
        <f>TEXT(tbl_details5[[#This Row],[Order Date]],"mmm-yy")</f>
        <v>Aug-18</v>
      </c>
      <c r="J452" t="str">
        <f>VLOOKUP(tbl_details5[[#This Row],[Order ID]],Table1[],4,FALSE)</f>
        <v>Akshay</v>
      </c>
      <c r="K452" t="str">
        <f>VLOOKUP(tbl_details5[[#This Row],[Order ID]],Table1[],5,FALSE)</f>
        <v>Bihar</v>
      </c>
      <c r="L452" t="str">
        <f>VLOOKUP(tbl_details5[[#This Row],[Order ID]],Table1[],6,FALSE)</f>
        <v>Patna</v>
      </c>
    </row>
    <row r="453" spans="1:12" x14ac:dyDescent="0.25">
      <c r="A453" t="s">
        <v>339</v>
      </c>
      <c r="B453" s="4">
        <v>19</v>
      </c>
      <c r="C453" s="4">
        <v>0</v>
      </c>
      <c r="D453" s="5">
        <f>tbl_details5[[#This Row],[Profit]]/tbl_details5[[#This Row],[Revenue]]</f>
        <v>0</v>
      </c>
      <c r="E453">
        <v>3</v>
      </c>
      <c r="F453" t="s">
        <v>885</v>
      </c>
      <c r="G453" t="s">
        <v>902</v>
      </c>
      <c r="H453" s="1">
        <f>VLOOKUP(tbl_details5[[#This Row],[Order ID]],Orders!A:F,2,FALSE)</f>
        <v>43330</v>
      </c>
      <c r="I453" s="1" t="str">
        <f>TEXT(tbl_details5[[#This Row],[Order Date]],"mmm-yy")</f>
        <v>Aug-18</v>
      </c>
      <c r="J453" t="str">
        <f>VLOOKUP(tbl_details5[[#This Row],[Order ID]],Table1[],4,FALSE)</f>
        <v>Akshay</v>
      </c>
      <c r="K453" t="str">
        <f>VLOOKUP(tbl_details5[[#This Row],[Order ID]],Table1[],5,FALSE)</f>
        <v>Bihar</v>
      </c>
      <c r="L453" t="str">
        <f>VLOOKUP(tbl_details5[[#This Row],[Order ID]],Table1[],6,FALSE)</f>
        <v>Patna</v>
      </c>
    </row>
    <row r="454" spans="1:12" x14ac:dyDescent="0.25">
      <c r="A454" t="s">
        <v>339</v>
      </c>
      <c r="B454" s="4">
        <v>9</v>
      </c>
      <c r="C454" s="4">
        <v>-1</v>
      </c>
      <c r="D454" s="5">
        <f>tbl_details5[[#This Row],[Profit]]/tbl_details5[[#This Row],[Revenue]]</f>
        <v>-0.1111111111111111</v>
      </c>
      <c r="E454">
        <v>3</v>
      </c>
      <c r="F454" t="s">
        <v>885</v>
      </c>
      <c r="G454" t="s">
        <v>902</v>
      </c>
      <c r="H454" s="1">
        <f>VLOOKUP(tbl_details5[[#This Row],[Order ID]],Orders!A:F,2,FALSE)</f>
        <v>43330</v>
      </c>
      <c r="I454" s="1" t="str">
        <f>TEXT(tbl_details5[[#This Row],[Order Date]],"mmm-yy")</f>
        <v>Aug-18</v>
      </c>
      <c r="J454" t="str">
        <f>VLOOKUP(tbl_details5[[#This Row],[Order ID]],Table1[],4,FALSE)</f>
        <v>Akshay</v>
      </c>
      <c r="K454" t="str">
        <f>VLOOKUP(tbl_details5[[#This Row],[Order ID]],Table1[],5,FALSE)</f>
        <v>Bihar</v>
      </c>
      <c r="L454" t="str">
        <f>VLOOKUP(tbl_details5[[#This Row],[Order ID]],Table1[],6,FALSE)</f>
        <v>Patna</v>
      </c>
    </row>
    <row r="455" spans="1:12" x14ac:dyDescent="0.25">
      <c r="A455" t="s">
        <v>339</v>
      </c>
      <c r="B455" s="4">
        <v>319</v>
      </c>
      <c r="C455" s="4">
        <v>-312</v>
      </c>
      <c r="D455" s="5">
        <f>tbl_details5[[#This Row],[Profit]]/tbl_details5[[#This Row],[Revenue]]</f>
        <v>-0.9780564263322884</v>
      </c>
      <c r="E455">
        <v>5</v>
      </c>
      <c r="F455" t="s">
        <v>885</v>
      </c>
      <c r="G455" t="s">
        <v>891</v>
      </c>
      <c r="H455" s="1">
        <f>VLOOKUP(tbl_details5[[#This Row],[Order ID]],Orders!A:F,2,FALSE)</f>
        <v>43330</v>
      </c>
      <c r="I455" s="1" t="str">
        <f>TEXT(tbl_details5[[#This Row],[Order Date]],"mmm-yy")</f>
        <v>Aug-18</v>
      </c>
      <c r="J455" t="str">
        <f>VLOOKUP(tbl_details5[[#This Row],[Order ID]],Table1[],4,FALSE)</f>
        <v>Akshay</v>
      </c>
      <c r="K455" t="str">
        <f>VLOOKUP(tbl_details5[[#This Row],[Order ID]],Table1[],5,FALSE)</f>
        <v>Bihar</v>
      </c>
      <c r="L455" t="str">
        <f>VLOOKUP(tbl_details5[[#This Row],[Order ID]],Table1[],6,FALSE)</f>
        <v>Patna</v>
      </c>
    </row>
    <row r="456" spans="1:12" x14ac:dyDescent="0.25">
      <c r="A456" t="s">
        <v>339</v>
      </c>
      <c r="B456" s="4">
        <v>262</v>
      </c>
      <c r="C456" s="4">
        <v>-215</v>
      </c>
      <c r="D456" s="5">
        <f>tbl_details5[[#This Row],[Profit]]/tbl_details5[[#This Row],[Revenue]]</f>
        <v>-0.82061068702290074</v>
      </c>
      <c r="E456">
        <v>2</v>
      </c>
      <c r="F456" t="s">
        <v>888</v>
      </c>
      <c r="G456" t="s">
        <v>899</v>
      </c>
      <c r="H456" s="1">
        <f>VLOOKUP(tbl_details5[[#This Row],[Order ID]],Orders!A:F,2,FALSE)</f>
        <v>43330</v>
      </c>
      <c r="I456" s="1" t="str">
        <f>TEXT(tbl_details5[[#This Row],[Order Date]],"mmm-yy")</f>
        <v>Aug-18</v>
      </c>
      <c r="J456" t="str">
        <f>VLOOKUP(tbl_details5[[#This Row],[Order ID]],Table1[],4,FALSE)</f>
        <v>Akshay</v>
      </c>
      <c r="K456" t="str">
        <f>VLOOKUP(tbl_details5[[#This Row],[Order ID]],Table1[],5,FALSE)</f>
        <v>Bihar</v>
      </c>
      <c r="L456" t="str">
        <f>VLOOKUP(tbl_details5[[#This Row],[Order ID]],Table1[],6,FALSE)</f>
        <v>Patna</v>
      </c>
    </row>
    <row r="457" spans="1:12" x14ac:dyDescent="0.25">
      <c r="A457" t="s">
        <v>341</v>
      </c>
      <c r="B457" s="4">
        <v>37</v>
      </c>
      <c r="C457" s="4">
        <v>-53</v>
      </c>
      <c r="D457" s="5">
        <f>tbl_details5[[#This Row],[Profit]]/tbl_details5[[#This Row],[Revenue]]</f>
        <v>-1.4324324324324325</v>
      </c>
      <c r="E457">
        <v>3</v>
      </c>
      <c r="F457" t="s">
        <v>885</v>
      </c>
      <c r="G457" t="s">
        <v>891</v>
      </c>
      <c r="H457" s="1">
        <f>VLOOKUP(tbl_details5[[#This Row],[Order ID]],Orders!A:F,2,FALSE)</f>
        <v>43331</v>
      </c>
      <c r="I457" s="1" t="str">
        <f>TEXT(tbl_details5[[#This Row],[Order Date]],"mmm-yy")</f>
        <v>Aug-18</v>
      </c>
      <c r="J457" t="str">
        <f>VLOOKUP(tbl_details5[[#This Row],[Order ID]],Table1[],4,FALSE)</f>
        <v>Shourya</v>
      </c>
      <c r="K457" t="str">
        <f>VLOOKUP(tbl_details5[[#This Row],[Order ID]],Table1[],5,FALSE)</f>
        <v xml:space="preserve">Kerala </v>
      </c>
      <c r="L457" t="str">
        <f>VLOOKUP(tbl_details5[[#This Row],[Order ID]],Table1[],6,FALSE)</f>
        <v>Thiruvananthapuram</v>
      </c>
    </row>
    <row r="458" spans="1:12" x14ac:dyDescent="0.25">
      <c r="A458" t="s">
        <v>341</v>
      </c>
      <c r="B458" s="4">
        <v>257</v>
      </c>
      <c r="C458" s="4">
        <v>-3</v>
      </c>
      <c r="D458" s="5">
        <f>tbl_details5[[#This Row],[Profit]]/tbl_details5[[#This Row],[Revenue]]</f>
        <v>-1.1673151750972763E-2</v>
      </c>
      <c r="E458">
        <v>2</v>
      </c>
      <c r="F458" t="s">
        <v>883</v>
      </c>
      <c r="G458" t="s">
        <v>884</v>
      </c>
      <c r="H458" s="1">
        <f>VLOOKUP(tbl_details5[[#This Row],[Order ID]],Orders!A:F,2,FALSE)</f>
        <v>43331</v>
      </c>
      <c r="I458" s="1" t="str">
        <f>TEXT(tbl_details5[[#This Row],[Order Date]],"mmm-yy")</f>
        <v>Aug-18</v>
      </c>
      <c r="J458" t="str">
        <f>VLOOKUP(tbl_details5[[#This Row],[Order ID]],Table1[],4,FALSE)</f>
        <v>Shourya</v>
      </c>
      <c r="K458" t="str">
        <f>VLOOKUP(tbl_details5[[#This Row],[Order ID]],Table1[],5,FALSE)</f>
        <v xml:space="preserve">Kerala </v>
      </c>
      <c r="L458" t="str">
        <f>VLOOKUP(tbl_details5[[#This Row],[Order ID]],Table1[],6,FALSE)</f>
        <v>Thiruvananthapuram</v>
      </c>
    </row>
    <row r="459" spans="1:12" x14ac:dyDescent="0.25">
      <c r="A459" t="s">
        <v>341</v>
      </c>
      <c r="B459" s="4">
        <v>80</v>
      </c>
      <c r="C459" s="4">
        <v>-19</v>
      </c>
      <c r="D459" s="5">
        <f>tbl_details5[[#This Row],[Profit]]/tbl_details5[[#This Row],[Revenue]]</f>
        <v>-0.23749999999999999</v>
      </c>
      <c r="E459">
        <v>5</v>
      </c>
      <c r="F459" t="s">
        <v>885</v>
      </c>
      <c r="G459" t="s">
        <v>886</v>
      </c>
      <c r="H459" s="1">
        <f>VLOOKUP(tbl_details5[[#This Row],[Order ID]],Orders!A:F,2,FALSE)</f>
        <v>43331</v>
      </c>
      <c r="I459" s="1" t="str">
        <f>TEXT(tbl_details5[[#This Row],[Order Date]],"mmm-yy")</f>
        <v>Aug-18</v>
      </c>
      <c r="J459" t="str">
        <f>VLOOKUP(tbl_details5[[#This Row],[Order ID]],Table1[],4,FALSE)</f>
        <v>Shourya</v>
      </c>
      <c r="K459" t="str">
        <f>VLOOKUP(tbl_details5[[#This Row],[Order ID]],Table1[],5,FALSE)</f>
        <v xml:space="preserve">Kerala </v>
      </c>
      <c r="L459" t="str">
        <f>VLOOKUP(tbl_details5[[#This Row],[Order ID]],Table1[],6,FALSE)</f>
        <v>Thiruvananthapuram</v>
      </c>
    </row>
    <row r="460" spans="1:12" x14ac:dyDescent="0.25">
      <c r="A460" t="s">
        <v>341</v>
      </c>
      <c r="B460" s="4">
        <v>321</v>
      </c>
      <c r="C460" s="4">
        <v>-315</v>
      </c>
      <c r="D460" s="5">
        <f>tbl_details5[[#This Row],[Profit]]/tbl_details5[[#This Row],[Revenue]]</f>
        <v>-0.98130841121495327</v>
      </c>
      <c r="E460">
        <v>5</v>
      </c>
      <c r="F460" t="s">
        <v>885</v>
      </c>
      <c r="G460" t="s">
        <v>891</v>
      </c>
      <c r="H460" s="1">
        <f>VLOOKUP(tbl_details5[[#This Row],[Order ID]],Orders!A:F,2,FALSE)</f>
        <v>43331</v>
      </c>
      <c r="I460" s="1" t="str">
        <f>TEXT(tbl_details5[[#This Row],[Order Date]],"mmm-yy")</f>
        <v>Aug-18</v>
      </c>
      <c r="J460" t="str">
        <f>VLOOKUP(tbl_details5[[#This Row],[Order ID]],Table1[],4,FALSE)</f>
        <v>Shourya</v>
      </c>
      <c r="K460" t="str">
        <f>VLOOKUP(tbl_details5[[#This Row],[Order ID]],Table1[],5,FALSE)</f>
        <v xml:space="preserve">Kerala </v>
      </c>
      <c r="L460" t="str">
        <f>VLOOKUP(tbl_details5[[#This Row],[Order ID]],Table1[],6,FALSE)</f>
        <v>Thiruvananthapuram</v>
      </c>
    </row>
    <row r="461" spans="1:12" x14ac:dyDescent="0.25">
      <c r="A461" t="s">
        <v>341</v>
      </c>
      <c r="B461" s="4">
        <v>47</v>
      </c>
      <c r="C461" s="4">
        <v>-3</v>
      </c>
      <c r="D461" s="5">
        <f>tbl_details5[[#This Row],[Profit]]/tbl_details5[[#This Row],[Revenue]]</f>
        <v>-6.3829787234042548E-2</v>
      </c>
      <c r="E461">
        <v>2</v>
      </c>
      <c r="F461" t="s">
        <v>885</v>
      </c>
      <c r="G461" t="s">
        <v>886</v>
      </c>
      <c r="H461" s="1">
        <f>VLOOKUP(tbl_details5[[#This Row],[Order ID]],Orders!A:F,2,FALSE)</f>
        <v>43331</v>
      </c>
      <c r="I461" s="1" t="str">
        <f>TEXT(tbl_details5[[#This Row],[Order Date]],"mmm-yy")</f>
        <v>Aug-18</v>
      </c>
      <c r="J461" t="str">
        <f>VLOOKUP(tbl_details5[[#This Row],[Order ID]],Table1[],4,FALSE)</f>
        <v>Shourya</v>
      </c>
      <c r="K461" t="str">
        <f>VLOOKUP(tbl_details5[[#This Row],[Order ID]],Table1[],5,FALSE)</f>
        <v xml:space="preserve">Kerala </v>
      </c>
      <c r="L461" t="str">
        <f>VLOOKUP(tbl_details5[[#This Row],[Order ID]],Table1[],6,FALSE)</f>
        <v>Thiruvananthapuram</v>
      </c>
    </row>
    <row r="462" spans="1:12" x14ac:dyDescent="0.25">
      <c r="A462" t="s">
        <v>341</v>
      </c>
      <c r="B462" s="4">
        <v>593</v>
      </c>
      <c r="C462" s="4">
        <v>213</v>
      </c>
      <c r="D462" s="5">
        <f>tbl_details5[[#This Row],[Profit]]/tbl_details5[[#This Row],[Revenue]]</f>
        <v>0.35919055649241149</v>
      </c>
      <c r="E462">
        <v>4</v>
      </c>
      <c r="F462" t="s">
        <v>883</v>
      </c>
      <c r="G462" t="s">
        <v>884</v>
      </c>
      <c r="H462" s="1">
        <f>VLOOKUP(tbl_details5[[#This Row],[Order ID]],Orders!A:F,2,FALSE)</f>
        <v>43331</v>
      </c>
      <c r="I462" s="1" t="str">
        <f>TEXT(tbl_details5[[#This Row],[Order Date]],"mmm-yy")</f>
        <v>Aug-18</v>
      </c>
      <c r="J462" t="str">
        <f>VLOOKUP(tbl_details5[[#This Row],[Order ID]],Table1[],4,FALSE)</f>
        <v>Shourya</v>
      </c>
      <c r="K462" t="str">
        <f>VLOOKUP(tbl_details5[[#This Row],[Order ID]],Table1[],5,FALSE)</f>
        <v xml:space="preserve">Kerala </v>
      </c>
      <c r="L462" t="str">
        <f>VLOOKUP(tbl_details5[[#This Row],[Order ID]],Table1[],6,FALSE)</f>
        <v>Thiruvananthapuram</v>
      </c>
    </row>
    <row r="463" spans="1:12" x14ac:dyDescent="0.25">
      <c r="A463" t="s">
        <v>341</v>
      </c>
      <c r="B463" s="4">
        <v>134</v>
      </c>
      <c r="C463" s="4">
        <v>-34</v>
      </c>
      <c r="D463" s="5">
        <f>tbl_details5[[#This Row],[Profit]]/tbl_details5[[#This Row],[Revenue]]</f>
        <v>-0.2537313432835821</v>
      </c>
      <c r="E463">
        <v>2</v>
      </c>
      <c r="F463" t="s">
        <v>883</v>
      </c>
      <c r="G463" t="s">
        <v>893</v>
      </c>
      <c r="H463" s="1">
        <f>VLOOKUP(tbl_details5[[#This Row],[Order ID]],Orders!A:F,2,FALSE)</f>
        <v>43331</v>
      </c>
      <c r="I463" s="1" t="str">
        <f>TEXT(tbl_details5[[#This Row],[Order Date]],"mmm-yy")</f>
        <v>Aug-18</v>
      </c>
      <c r="J463" t="str">
        <f>VLOOKUP(tbl_details5[[#This Row],[Order ID]],Table1[],4,FALSE)</f>
        <v>Shourya</v>
      </c>
      <c r="K463" t="str">
        <f>VLOOKUP(tbl_details5[[#This Row],[Order ID]],Table1[],5,FALSE)</f>
        <v xml:space="preserve">Kerala </v>
      </c>
      <c r="L463" t="str">
        <f>VLOOKUP(tbl_details5[[#This Row],[Order ID]],Table1[],6,FALSE)</f>
        <v>Thiruvananthapuram</v>
      </c>
    </row>
    <row r="464" spans="1:12" x14ac:dyDescent="0.25">
      <c r="A464" t="s">
        <v>341</v>
      </c>
      <c r="B464" s="4">
        <v>1709</v>
      </c>
      <c r="C464" s="4">
        <v>564</v>
      </c>
      <c r="D464" s="5">
        <f>tbl_details5[[#This Row],[Profit]]/tbl_details5[[#This Row],[Revenue]]</f>
        <v>0.33001755412521944</v>
      </c>
      <c r="E464">
        <v>3</v>
      </c>
      <c r="F464" t="s">
        <v>885</v>
      </c>
      <c r="G464" t="s">
        <v>892</v>
      </c>
      <c r="H464" s="1">
        <f>VLOOKUP(tbl_details5[[#This Row],[Order ID]],Orders!A:F,2,FALSE)</f>
        <v>43331</v>
      </c>
      <c r="I464" s="1" t="str">
        <f>TEXT(tbl_details5[[#This Row],[Order Date]],"mmm-yy")</f>
        <v>Aug-18</v>
      </c>
      <c r="J464" t="str">
        <f>VLOOKUP(tbl_details5[[#This Row],[Order ID]],Table1[],4,FALSE)</f>
        <v>Shourya</v>
      </c>
      <c r="K464" t="str">
        <f>VLOOKUP(tbl_details5[[#This Row],[Order ID]],Table1[],5,FALSE)</f>
        <v xml:space="preserve">Kerala </v>
      </c>
      <c r="L464" t="str">
        <f>VLOOKUP(tbl_details5[[#This Row],[Order ID]],Table1[],6,FALSE)</f>
        <v>Thiruvananthapuram</v>
      </c>
    </row>
    <row r="465" spans="1:12" x14ac:dyDescent="0.25">
      <c r="A465" t="s">
        <v>341</v>
      </c>
      <c r="B465" s="4">
        <v>27</v>
      </c>
      <c r="C465" s="4">
        <v>4</v>
      </c>
      <c r="D465" s="5">
        <f>tbl_details5[[#This Row],[Profit]]/tbl_details5[[#This Row],[Revenue]]</f>
        <v>0.14814814814814814</v>
      </c>
      <c r="E465">
        <v>2</v>
      </c>
      <c r="F465" t="s">
        <v>885</v>
      </c>
      <c r="G465" t="s">
        <v>891</v>
      </c>
      <c r="H465" s="1">
        <f>VLOOKUP(tbl_details5[[#This Row],[Order ID]],Orders!A:F,2,FALSE)</f>
        <v>43331</v>
      </c>
      <c r="I465" s="1" t="str">
        <f>TEXT(tbl_details5[[#This Row],[Order Date]],"mmm-yy")</f>
        <v>Aug-18</v>
      </c>
      <c r="J465" t="str">
        <f>VLOOKUP(tbl_details5[[#This Row],[Order ID]],Table1[],4,FALSE)</f>
        <v>Shourya</v>
      </c>
      <c r="K465" t="str">
        <f>VLOOKUP(tbl_details5[[#This Row],[Order ID]],Table1[],5,FALSE)</f>
        <v xml:space="preserve">Kerala </v>
      </c>
      <c r="L465" t="str">
        <f>VLOOKUP(tbl_details5[[#This Row],[Order ID]],Table1[],6,FALSE)</f>
        <v>Thiruvananthapuram</v>
      </c>
    </row>
    <row r="466" spans="1:12" x14ac:dyDescent="0.25">
      <c r="A466" t="s">
        <v>343</v>
      </c>
      <c r="B466" s="4">
        <v>465</v>
      </c>
      <c r="C466" s="4">
        <v>-33</v>
      </c>
      <c r="D466" s="5">
        <f>tbl_details5[[#This Row],[Profit]]/tbl_details5[[#This Row],[Revenue]]</f>
        <v>-7.0967741935483872E-2</v>
      </c>
      <c r="E466">
        <v>4</v>
      </c>
      <c r="F466" t="s">
        <v>888</v>
      </c>
      <c r="G466" t="s">
        <v>890</v>
      </c>
      <c r="H466" s="1">
        <f>VLOOKUP(tbl_details5[[#This Row],[Order ID]],Orders!A:F,2,FALSE)</f>
        <v>43332</v>
      </c>
      <c r="I466" s="1" t="str">
        <f>TEXT(tbl_details5[[#This Row],[Order Date]],"mmm-yy")</f>
        <v>Aug-18</v>
      </c>
      <c r="J466" t="str">
        <f>VLOOKUP(tbl_details5[[#This Row],[Order ID]],Table1[],4,FALSE)</f>
        <v>Mohan</v>
      </c>
      <c r="K466" t="str">
        <f>VLOOKUP(tbl_details5[[#This Row],[Order ID]],Table1[],5,FALSE)</f>
        <v>Maharashtra</v>
      </c>
      <c r="L466" t="str">
        <f>VLOOKUP(tbl_details5[[#This Row],[Order ID]],Table1[],6,FALSE)</f>
        <v>Mumbai</v>
      </c>
    </row>
    <row r="467" spans="1:12" x14ac:dyDescent="0.25">
      <c r="A467" t="s">
        <v>343</v>
      </c>
      <c r="B467" s="4">
        <v>643</v>
      </c>
      <c r="C467" s="4">
        <v>-45</v>
      </c>
      <c r="D467" s="5">
        <f>tbl_details5[[#This Row],[Profit]]/tbl_details5[[#This Row],[Revenue]]</f>
        <v>-6.9984447900466568E-2</v>
      </c>
      <c r="E467">
        <v>2</v>
      </c>
      <c r="F467" t="s">
        <v>888</v>
      </c>
      <c r="G467" t="s">
        <v>899</v>
      </c>
      <c r="H467" s="1">
        <f>VLOOKUP(tbl_details5[[#This Row],[Order ID]],Orders!A:F,2,FALSE)</f>
        <v>43332</v>
      </c>
      <c r="I467" s="1" t="str">
        <f>TEXT(tbl_details5[[#This Row],[Order Date]],"mmm-yy")</f>
        <v>Aug-18</v>
      </c>
      <c r="J467" t="str">
        <f>VLOOKUP(tbl_details5[[#This Row],[Order ID]],Table1[],4,FALSE)</f>
        <v>Mohan</v>
      </c>
      <c r="K467" t="str">
        <f>VLOOKUP(tbl_details5[[#This Row],[Order ID]],Table1[],5,FALSE)</f>
        <v>Maharashtra</v>
      </c>
      <c r="L467" t="str">
        <f>VLOOKUP(tbl_details5[[#This Row],[Order ID]],Table1[],6,FALSE)</f>
        <v>Mumbai</v>
      </c>
    </row>
    <row r="468" spans="1:12" x14ac:dyDescent="0.25">
      <c r="A468" t="s">
        <v>343</v>
      </c>
      <c r="B468" s="4">
        <v>204</v>
      </c>
      <c r="C468" s="4">
        <v>-276</v>
      </c>
      <c r="D468" s="5">
        <f>tbl_details5[[#This Row],[Profit]]/tbl_details5[[#This Row],[Revenue]]</f>
        <v>-1.3529411764705883</v>
      </c>
      <c r="E468">
        <v>3</v>
      </c>
      <c r="F468" t="s">
        <v>883</v>
      </c>
      <c r="G468" t="s">
        <v>884</v>
      </c>
      <c r="H468" s="1">
        <f>VLOOKUP(tbl_details5[[#This Row],[Order ID]],Orders!A:F,2,FALSE)</f>
        <v>43332</v>
      </c>
      <c r="I468" s="1" t="str">
        <f>TEXT(tbl_details5[[#This Row],[Order Date]],"mmm-yy")</f>
        <v>Aug-18</v>
      </c>
      <c r="J468" t="str">
        <f>VLOOKUP(tbl_details5[[#This Row],[Order ID]],Table1[],4,FALSE)</f>
        <v>Mohan</v>
      </c>
      <c r="K468" t="str">
        <f>VLOOKUP(tbl_details5[[#This Row],[Order ID]],Table1[],5,FALSE)</f>
        <v>Maharashtra</v>
      </c>
      <c r="L468" t="str">
        <f>VLOOKUP(tbl_details5[[#This Row],[Order ID]],Table1[],6,FALSE)</f>
        <v>Mumbai</v>
      </c>
    </row>
    <row r="469" spans="1:12" x14ac:dyDescent="0.25">
      <c r="A469" t="s">
        <v>343</v>
      </c>
      <c r="B469" s="4">
        <v>729</v>
      </c>
      <c r="C469" s="4">
        <v>-492</v>
      </c>
      <c r="D469" s="5">
        <f>tbl_details5[[#This Row],[Profit]]/tbl_details5[[#This Row],[Revenue]]</f>
        <v>-0.67489711934156382</v>
      </c>
      <c r="E469">
        <v>5</v>
      </c>
      <c r="F469" t="s">
        <v>883</v>
      </c>
      <c r="G469" t="s">
        <v>884</v>
      </c>
      <c r="H469" s="1">
        <f>VLOOKUP(tbl_details5[[#This Row],[Order ID]],Orders!A:F,2,FALSE)</f>
        <v>43332</v>
      </c>
      <c r="I469" s="1" t="str">
        <f>TEXT(tbl_details5[[#This Row],[Order Date]],"mmm-yy")</f>
        <v>Aug-18</v>
      </c>
      <c r="J469" t="str">
        <f>VLOOKUP(tbl_details5[[#This Row],[Order ID]],Table1[],4,FALSE)</f>
        <v>Mohan</v>
      </c>
      <c r="K469" t="str">
        <f>VLOOKUP(tbl_details5[[#This Row],[Order ID]],Table1[],5,FALSE)</f>
        <v>Maharashtra</v>
      </c>
      <c r="L469" t="str">
        <f>VLOOKUP(tbl_details5[[#This Row],[Order ID]],Table1[],6,FALSE)</f>
        <v>Mumbai</v>
      </c>
    </row>
    <row r="470" spans="1:12" x14ac:dyDescent="0.25">
      <c r="A470" t="s">
        <v>343</v>
      </c>
      <c r="B470" s="4">
        <v>29</v>
      </c>
      <c r="C470" s="4">
        <v>-24</v>
      </c>
      <c r="D470" s="5">
        <f>tbl_details5[[#This Row],[Profit]]/tbl_details5[[#This Row],[Revenue]]</f>
        <v>-0.82758620689655171</v>
      </c>
      <c r="E470">
        <v>4</v>
      </c>
      <c r="F470" t="s">
        <v>885</v>
      </c>
      <c r="G470" t="s">
        <v>897</v>
      </c>
      <c r="H470" s="1">
        <f>VLOOKUP(tbl_details5[[#This Row],[Order ID]],Orders!A:F,2,FALSE)</f>
        <v>43332</v>
      </c>
      <c r="I470" s="1" t="str">
        <f>TEXT(tbl_details5[[#This Row],[Order Date]],"mmm-yy")</f>
        <v>Aug-18</v>
      </c>
      <c r="J470" t="str">
        <f>VLOOKUP(tbl_details5[[#This Row],[Order ID]],Table1[],4,FALSE)</f>
        <v>Mohan</v>
      </c>
      <c r="K470" t="str">
        <f>VLOOKUP(tbl_details5[[#This Row],[Order ID]],Table1[],5,FALSE)</f>
        <v>Maharashtra</v>
      </c>
      <c r="L470" t="str">
        <f>VLOOKUP(tbl_details5[[#This Row],[Order ID]],Table1[],6,FALSE)</f>
        <v>Mumbai</v>
      </c>
    </row>
    <row r="471" spans="1:12" x14ac:dyDescent="0.25">
      <c r="A471" t="s">
        <v>345</v>
      </c>
      <c r="B471" s="4">
        <v>17</v>
      </c>
      <c r="C471" s="4">
        <v>-13</v>
      </c>
      <c r="D471" s="5">
        <f>tbl_details5[[#This Row],[Profit]]/tbl_details5[[#This Row],[Revenue]]</f>
        <v>-0.76470588235294112</v>
      </c>
      <c r="E471">
        <v>4</v>
      </c>
      <c r="F471" t="s">
        <v>885</v>
      </c>
      <c r="G471" t="s">
        <v>902</v>
      </c>
      <c r="H471" s="1">
        <f>VLOOKUP(tbl_details5[[#This Row],[Order ID]],Orders!A:F,2,FALSE)</f>
        <v>43333</v>
      </c>
      <c r="I471" s="1" t="str">
        <f>TEXT(tbl_details5[[#This Row],[Order Date]],"mmm-yy")</f>
        <v>Aug-18</v>
      </c>
      <c r="J471" t="str">
        <f>VLOOKUP(tbl_details5[[#This Row],[Order ID]],Table1[],4,FALSE)</f>
        <v>Mohit</v>
      </c>
      <c r="K471" t="str">
        <f>VLOOKUP(tbl_details5[[#This Row],[Order ID]],Table1[],5,FALSE)</f>
        <v>Madhya Pradesh</v>
      </c>
      <c r="L471" t="str">
        <f>VLOOKUP(tbl_details5[[#This Row],[Order ID]],Table1[],6,FALSE)</f>
        <v>Indore</v>
      </c>
    </row>
    <row r="472" spans="1:12" x14ac:dyDescent="0.25">
      <c r="A472" t="s">
        <v>345</v>
      </c>
      <c r="B472" s="4">
        <v>34</v>
      </c>
      <c r="C472" s="4">
        <v>-11</v>
      </c>
      <c r="D472" s="5">
        <f>tbl_details5[[#This Row],[Profit]]/tbl_details5[[#This Row],[Revenue]]</f>
        <v>-0.3235294117647059</v>
      </c>
      <c r="E472">
        <v>5</v>
      </c>
      <c r="F472" t="s">
        <v>885</v>
      </c>
      <c r="G472" t="s">
        <v>895</v>
      </c>
      <c r="H472" s="1">
        <f>VLOOKUP(tbl_details5[[#This Row],[Order ID]],Orders!A:F,2,FALSE)</f>
        <v>43333</v>
      </c>
      <c r="I472" s="1" t="str">
        <f>TEXT(tbl_details5[[#This Row],[Order Date]],"mmm-yy")</f>
        <v>Aug-18</v>
      </c>
      <c r="J472" t="str">
        <f>VLOOKUP(tbl_details5[[#This Row],[Order ID]],Table1[],4,FALSE)</f>
        <v>Mohit</v>
      </c>
      <c r="K472" t="str">
        <f>VLOOKUP(tbl_details5[[#This Row],[Order ID]],Table1[],5,FALSE)</f>
        <v>Madhya Pradesh</v>
      </c>
      <c r="L472" t="str">
        <f>VLOOKUP(tbl_details5[[#This Row],[Order ID]],Table1[],6,FALSE)</f>
        <v>Indore</v>
      </c>
    </row>
    <row r="473" spans="1:12" x14ac:dyDescent="0.25">
      <c r="A473" t="s">
        <v>345</v>
      </c>
      <c r="B473" s="4">
        <v>98</v>
      </c>
      <c r="C473" s="4">
        <v>9</v>
      </c>
      <c r="D473" s="5">
        <f>tbl_details5[[#This Row],[Profit]]/tbl_details5[[#This Row],[Revenue]]</f>
        <v>9.1836734693877556E-2</v>
      </c>
      <c r="E473">
        <v>2</v>
      </c>
      <c r="F473" t="s">
        <v>883</v>
      </c>
      <c r="G473" t="s">
        <v>901</v>
      </c>
      <c r="H473" s="1">
        <f>VLOOKUP(tbl_details5[[#This Row],[Order ID]],Orders!A:F,2,FALSE)</f>
        <v>43333</v>
      </c>
      <c r="I473" s="1" t="str">
        <f>TEXT(tbl_details5[[#This Row],[Order Date]],"mmm-yy")</f>
        <v>Aug-18</v>
      </c>
      <c r="J473" t="str">
        <f>VLOOKUP(tbl_details5[[#This Row],[Order ID]],Table1[],4,FALSE)</f>
        <v>Mohit</v>
      </c>
      <c r="K473" t="str">
        <f>VLOOKUP(tbl_details5[[#This Row],[Order ID]],Table1[],5,FALSE)</f>
        <v>Madhya Pradesh</v>
      </c>
      <c r="L473" t="str">
        <f>VLOOKUP(tbl_details5[[#This Row],[Order ID]],Table1[],6,FALSE)</f>
        <v>Indore</v>
      </c>
    </row>
    <row r="474" spans="1:12" x14ac:dyDescent="0.25">
      <c r="A474" t="s">
        <v>345</v>
      </c>
      <c r="B474" s="4">
        <v>3151</v>
      </c>
      <c r="C474" s="4">
        <v>-35</v>
      </c>
      <c r="D474" s="5">
        <f>tbl_details5[[#This Row],[Profit]]/tbl_details5[[#This Row],[Revenue]]</f>
        <v>-1.1107584893684545E-2</v>
      </c>
      <c r="E474">
        <v>7</v>
      </c>
      <c r="F474" t="s">
        <v>885</v>
      </c>
      <c r="G474" t="s">
        <v>892</v>
      </c>
      <c r="H474" s="1">
        <f>VLOOKUP(tbl_details5[[#This Row],[Order ID]],Orders!A:F,2,FALSE)</f>
        <v>43333</v>
      </c>
      <c r="I474" s="1" t="str">
        <f>TEXT(tbl_details5[[#This Row],[Order Date]],"mmm-yy")</f>
        <v>Aug-18</v>
      </c>
      <c r="J474" t="str">
        <f>VLOOKUP(tbl_details5[[#This Row],[Order ID]],Table1[],4,FALSE)</f>
        <v>Mohit</v>
      </c>
      <c r="K474" t="str">
        <f>VLOOKUP(tbl_details5[[#This Row],[Order ID]],Table1[],5,FALSE)</f>
        <v>Madhya Pradesh</v>
      </c>
      <c r="L474" t="str">
        <f>VLOOKUP(tbl_details5[[#This Row],[Order ID]],Table1[],6,FALSE)</f>
        <v>Indore</v>
      </c>
    </row>
    <row r="475" spans="1:12" x14ac:dyDescent="0.25">
      <c r="A475" t="s">
        <v>345</v>
      </c>
      <c r="B475" s="4">
        <v>53</v>
      </c>
      <c r="C475" s="4">
        <v>15</v>
      </c>
      <c r="D475" s="5">
        <f>tbl_details5[[#This Row],[Profit]]/tbl_details5[[#This Row],[Revenue]]</f>
        <v>0.28301886792452829</v>
      </c>
      <c r="E475">
        <v>2</v>
      </c>
      <c r="F475" t="s">
        <v>885</v>
      </c>
      <c r="G475" t="s">
        <v>886</v>
      </c>
      <c r="H475" s="1">
        <f>VLOOKUP(tbl_details5[[#This Row],[Order ID]],Orders!A:F,2,FALSE)</f>
        <v>43333</v>
      </c>
      <c r="I475" s="1" t="str">
        <f>TEXT(tbl_details5[[#This Row],[Order Date]],"mmm-yy")</f>
        <v>Aug-18</v>
      </c>
      <c r="J475" t="str">
        <f>VLOOKUP(tbl_details5[[#This Row],[Order ID]],Table1[],4,FALSE)</f>
        <v>Mohit</v>
      </c>
      <c r="K475" t="str">
        <f>VLOOKUP(tbl_details5[[#This Row],[Order ID]],Table1[],5,FALSE)</f>
        <v>Madhya Pradesh</v>
      </c>
      <c r="L475" t="str">
        <f>VLOOKUP(tbl_details5[[#This Row],[Order ID]],Table1[],6,FALSE)</f>
        <v>Indore</v>
      </c>
    </row>
    <row r="476" spans="1:12" x14ac:dyDescent="0.25">
      <c r="A476" t="s">
        <v>345</v>
      </c>
      <c r="B476" s="4">
        <v>165</v>
      </c>
      <c r="C476" s="4">
        <v>30</v>
      </c>
      <c r="D476" s="5">
        <f>tbl_details5[[#This Row],[Profit]]/tbl_details5[[#This Row],[Revenue]]</f>
        <v>0.18181818181818182</v>
      </c>
      <c r="E476">
        <v>3</v>
      </c>
      <c r="F476" t="s">
        <v>885</v>
      </c>
      <c r="G476" t="s">
        <v>886</v>
      </c>
      <c r="H476" s="1">
        <f>VLOOKUP(tbl_details5[[#This Row],[Order ID]],Orders!A:F,2,FALSE)</f>
        <v>43333</v>
      </c>
      <c r="I476" s="1" t="str">
        <f>TEXT(tbl_details5[[#This Row],[Order Date]],"mmm-yy")</f>
        <v>Aug-18</v>
      </c>
      <c r="J476" t="str">
        <f>VLOOKUP(tbl_details5[[#This Row],[Order ID]],Table1[],4,FALSE)</f>
        <v>Mohit</v>
      </c>
      <c r="K476" t="str">
        <f>VLOOKUP(tbl_details5[[#This Row],[Order ID]],Table1[],5,FALSE)</f>
        <v>Madhya Pradesh</v>
      </c>
      <c r="L476" t="str">
        <f>VLOOKUP(tbl_details5[[#This Row],[Order ID]],Table1[],6,FALSE)</f>
        <v>Indore</v>
      </c>
    </row>
    <row r="477" spans="1:12" x14ac:dyDescent="0.25">
      <c r="A477" t="s">
        <v>345</v>
      </c>
      <c r="B477" s="4">
        <v>211</v>
      </c>
      <c r="C477" s="4">
        <v>19</v>
      </c>
      <c r="D477" s="5">
        <f>tbl_details5[[#This Row],[Profit]]/tbl_details5[[#This Row],[Revenue]]</f>
        <v>9.004739336492891E-2</v>
      </c>
      <c r="E477">
        <v>8</v>
      </c>
      <c r="F477" t="s">
        <v>885</v>
      </c>
      <c r="G477" t="s">
        <v>886</v>
      </c>
      <c r="H477" s="1">
        <f>VLOOKUP(tbl_details5[[#This Row],[Order ID]],Orders!A:F,2,FALSE)</f>
        <v>43333</v>
      </c>
      <c r="I477" s="1" t="str">
        <f>TEXT(tbl_details5[[#This Row],[Order Date]],"mmm-yy")</f>
        <v>Aug-18</v>
      </c>
      <c r="J477" t="str">
        <f>VLOOKUP(tbl_details5[[#This Row],[Order ID]],Table1[],4,FALSE)</f>
        <v>Mohit</v>
      </c>
      <c r="K477" t="str">
        <f>VLOOKUP(tbl_details5[[#This Row],[Order ID]],Table1[],5,FALSE)</f>
        <v>Madhya Pradesh</v>
      </c>
      <c r="L477" t="str">
        <f>VLOOKUP(tbl_details5[[#This Row],[Order ID]],Table1[],6,FALSE)</f>
        <v>Indore</v>
      </c>
    </row>
    <row r="478" spans="1:12" x14ac:dyDescent="0.25">
      <c r="A478" t="s">
        <v>345</v>
      </c>
      <c r="B478" s="4">
        <v>106</v>
      </c>
      <c r="C478" s="4">
        <v>15</v>
      </c>
      <c r="D478" s="5">
        <f>tbl_details5[[#This Row],[Profit]]/tbl_details5[[#This Row],[Revenue]]</f>
        <v>0.14150943396226415</v>
      </c>
      <c r="E478">
        <v>7</v>
      </c>
      <c r="F478" t="s">
        <v>885</v>
      </c>
      <c r="G478" t="s">
        <v>887</v>
      </c>
      <c r="H478" s="1">
        <f>VLOOKUP(tbl_details5[[#This Row],[Order ID]],Orders!A:F,2,FALSE)</f>
        <v>43333</v>
      </c>
      <c r="I478" s="1" t="str">
        <f>TEXT(tbl_details5[[#This Row],[Order Date]],"mmm-yy")</f>
        <v>Aug-18</v>
      </c>
      <c r="J478" t="str">
        <f>VLOOKUP(tbl_details5[[#This Row],[Order ID]],Table1[],4,FALSE)</f>
        <v>Mohit</v>
      </c>
      <c r="K478" t="str">
        <f>VLOOKUP(tbl_details5[[#This Row],[Order ID]],Table1[],5,FALSE)</f>
        <v>Madhya Pradesh</v>
      </c>
      <c r="L478" t="str">
        <f>VLOOKUP(tbl_details5[[#This Row],[Order ID]],Table1[],6,FALSE)</f>
        <v>Indore</v>
      </c>
    </row>
    <row r="479" spans="1:12" x14ac:dyDescent="0.25">
      <c r="A479" t="s">
        <v>345</v>
      </c>
      <c r="B479" s="4">
        <v>14</v>
      </c>
      <c r="C479" s="4">
        <v>5</v>
      </c>
      <c r="D479" s="5">
        <f>tbl_details5[[#This Row],[Profit]]/tbl_details5[[#This Row],[Revenue]]</f>
        <v>0.35714285714285715</v>
      </c>
      <c r="E479">
        <v>1</v>
      </c>
      <c r="F479" t="s">
        <v>885</v>
      </c>
      <c r="G479" t="s">
        <v>887</v>
      </c>
      <c r="H479" s="1">
        <f>VLOOKUP(tbl_details5[[#This Row],[Order ID]],Orders!A:F,2,FALSE)</f>
        <v>43333</v>
      </c>
      <c r="I479" s="1" t="str">
        <f>TEXT(tbl_details5[[#This Row],[Order Date]],"mmm-yy")</f>
        <v>Aug-18</v>
      </c>
      <c r="J479" t="str">
        <f>VLOOKUP(tbl_details5[[#This Row],[Order ID]],Table1[],4,FALSE)</f>
        <v>Mohit</v>
      </c>
      <c r="K479" t="str">
        <f>VLOOKUP(tbl_details5[[#This Row],[Order ID]],Table1[],5,FALSE)</f>
        <v>Madhya Pradesh</v>
      </c>
      <c r="L479" t="str">
        <f>VLOOKUP(tbl_details5[[#This Row],[Order ID]],Table1[],6,FALSE)</f>
        <v>Indore</v>
      </c>
    </row>
    <row r="480" spans="1:12" x14ac:dyDescent="0.25">
      <c r="A480" t="s">
        <v>345</v>
      </c>
      <c r="B480" s="4">
        <v>17</v>
      </c>
      <c r="C480" s="4">
        <v>7</v>
      </c>
      <c r="D480" s="5">
        <f>tbl_details5[[#This Row],[Profit]]/tbl_details5[[#This Row],[Revenue]]</f>
        <v>0.41176470588235292</v>
      </c>
      <c r="E480">
        <v>3</v>
      </c>
      <c r="F480" t="s">
        <v>885</v>
      </c>
      <c r="G480" t="s">
        <v>887</v>
      </c>
      <c r="H480" s="1">
        <f>VLOOKUP(tbl_details5[[#This Row],[Order ID]],Orders!A:F,2,FALSE)</f>
        <v>43333</v>
      </c>
      <c r="I480" s="1" t="str">
        <f>TEXT(tbl_details5[[#This Row],[Order Date]],"mmm-yy")</f>
        <v>Aug-18</v>
      </c>
      <c r="J480" t="str">
        <f>VLOOKUP(tbl_details5[[#This Row],[Order ID]],Table1[],4,FALSE)</f>
        <v>Mohit</v>
      </c>
      <c r="K480" t="str">
        <f>VLOOKUP(tbl_details5[[#This Row],[Order ID]],Table1[],5,FALSE)</f>
        <v>Madhya Pradesh</v>
      </c>
      <c r="L480" t="str">
        <f>VLOOKUP(tbl_details5[[#This Row],[Order ID]],Table1[],6,FALSE)</f>
        <v>Indore</v>
      </c>
    </row>
    <row r="481" spans="1:12" x14ac:dyDescent="0.25">
      <c r="A481" t="s">
        <v>345</v>
      </c>
      <c r="B481" s="4">
        <v>46</v>
      </c>
      <c r="C481" s="4">
        <v>14</v>
      </c>
      <c r="D481" s="5">
        <f>tbl_details5[[#This Row],[Profit]]/tbl_details5[[#This Row],[Revenue]]</f>
        <v>0.30434782608695654</v>
      </c>
      <c r="E481">
        <v>5</v>
      </c>
      <c r="F481" t="s">
        <v>885</v>
      </c>
      <c r="G481" t="s">
        <v>902</v>
      </c>
      <c r="H481" s="1">
        <f>VLOOKUP(tbl_details5[[#This Row],[Order ID]],Orders!A:F,2,FALSE)</f>
        <v>43333</v>
      </c>
      <c r="I481" s="1" t="str">
        <f>TEXT(tbl_details5[[#This Row],[Order Date]],"mmm-yy")</f>
        <v>Aug-18</v>
      </c>
      <c r="J481" t="str">
        <f>VLOOKUP(tbl_details5[[#This Row],[Order ID]],Table1[],4,FALSE)</f>
        <v>Mohit</v>
      </c>
      <c r="K481" t="str">
        <f>VLOOKUP(tbl_details5[[#This Row],[Order ID]],Table1[],5,FALSE)</f>
        <v>Madhya Pradesh</v>
      </c>
      <c r="L481" t="str">
        <f>VLOOKUP(tbl_details5[[#This Row],[Order ID]],Table1[],6,FALSE)</f>
        <v>Indore</v>
      </c>
    </row>
    <row r="482" spans="1:12" x14ac:dyDescent="0.25">
      <c r="A482" t="s">
        <v>347</v>
      </c>
      <c r="B482" s="4">
        <v>8</v>
      </c>
      <c r="C482" s="4">
        <v>-2</v>
      </c>
      <c r="D482" s="5">
        <f>tbl_details5[[#This Row],[Profit]]/tbl_details5[[#This Row],[Revenue]]</f>
        <v>-0.25</v>
      </c>
      <c r="E482">
        <v>1</v>
      </c>
      <c r="F482" t="s">
        <v>885</v>
      </c>
      <c r="G482" t="s">
        <v>886</v>
      </c>
      <c r="H482" s="1">
        <f>VLOOKUP(tbl_details5[[#This Row],[Order ID]],Orders!A:F,2,FALSE)</f>
        <v>43334</v>
      </c>
      <c r="I482" s="1" t="str">
        <f>TEXT(tbl_details5[[#This Row],[Order Date]],"mmm-yy")</f>
        <v>Aug-18</v>
      </c>
      <c r="J482" t="str">
        <f>VLOOKUP(tbl_details5[[#This Row],[Order ID]],Table1[],4,FALSE)</f>
        <v>Shubham</v>
      </c>
      <c r="K482" t="str">
        <f>VLOOKUP(tbl_details5[[#This Row],[Order ID]],Table1[],5,FALSE)</f>
        <v>Himachal Pradesh</v>
      </c>
      <c r="L482" t="str">
        <f>VLOOKUP(tbl_details5[[#This Row],[Order ID]],Table1[],6,FALSE)</f>
        <v>Simla</v>
      </c>
    </row>
    <row r="483" spans="1:12" x14ac:dyDescent="0.25">
      <c r="A483" t="s">
        <v>348</v>
      </c>
      <c r="B483" s="4">
        <v>20</v>
      </c>
      <c r="C483" s="4">
        <v>-9</v>
      </c>
      <c r="D483" s="5">
        <f>tbl_details5[[#This Row],[Profit]]/tbl_details5[[#This Row],[Revenue]]</f>
        <v>-0.45</v>
      </c>
      <c r="E483">
        <v>6</v>
      </c>
      <c r="F483" t="s">
        <v>885</v>
      </c>
      <c r="G483" t="s">
        <v>887</v>
      </c>
      <c r="H483" s="1">
        <f>VLOOKUP(tbl_details5[[#This Row],[Order ID]],Orders!A:F,2,FALSE)</f>
        <v>43335</v>
      </c>
      <c r="I483" s="1" t="str">
        <f>TEXT(tbl_details5[[#This Row],[Order Date]],"mmm-yy")</f>
        <v>Aug-18</v>
      </c>
      <c r="J483" t="str">
        <f>VLOOKUP(tbl_details5[[#This Row],[Order ID]],Table1[],4,FALSE)</f>
        <v>Soumya</v>
      </c>
      <c r="K483" t="str">
        <f>VLOOKUP(tbl_details5[[#This Row],[Order ID]],Table1[],5,FALSE)</f>
        <v>Sikkim</v>
      </c>
      <c r="L483" t="str">
        <f>VLOOKUP(tbl_details5[[#This Row],[Order ID]],Table1[],6,FALSE)</f>
        <v>Gangtok</v>
      </c>
    </row>
    <row r="484" spans="1:12" x14ac:dyDescent="0.25">
      <c r="A484" t="s">
        <v>350</v>
      </c>
      <c r="B484" s="4">
        <v>322</v>
      </c>
      <c r="C484" s="4">
        <v>-193</v>
      </c>
      <c r="D484" s="5">
        <f>tbl_details5[[#This Row],[Profit]]/tbl_details5[[#This Row],[Revenue]]</f>
        <v>-0.59937888198757761</v>
      </c>
      <c r="E484">
        <v>5</v>
      </c>
      <c r="F484" t="s">
        <v>888</v>
      </c>
      <c r="G484" t="s">
        <v>899</v>
      </c>
      <c r="H484" s="1">
        <f>VLOOKUP(tbl_details5[[#This Row],[Order ID]],Orders!A:F,2,FALSE)</f>
        <v>43336</v>
      </c>
      <c r="I484" s="1" t="str">
        <f>TEXT(tbl_details5[[#This Row],[Order Date]],"mmm-yy")</f>
        <v>Aug-18</v>
      </c>
      <c r="J484" t="str">
        <f>VLOOKUP(tbl_details5[[#This Row],[Order ID]],Table1[],4,FALSE)</f>
        <v>Pooja</v>
      </c>
      <c r="K484" t="str">
        <f>VLOOKUP(tbl_details5[[#This Row],[Order ID]],Table1[],5,FALSE)</f>
        <v>Goa</v>
      </c>
      <c r="L484" t="str">
        <f>VLOOKUP(tbl_details5[[#This Row],[Order ID]],Table1[],6,FALSE)</f>
        <v>Goa</v>
      </c>
    </row>
    <row r="485" spans="1:12" x14ac:dyDescent="0.25">
      <c r="A485" t="s">
        <v>351</v>
      </c>
      <c r="B485" s="4">
        <v>2188</v>
      </c>
      <c r="C485" s="4">
        <v>1050</v>
      </c>
      <c r="D485" s="5">
        <f>tbl_details5[[#This Row],[Profit]]/tbl_details5[[#This Row],[Revenue]]</f>
        <v>0.47989031078610606</v>
      </c>
      <c r="E485">
        <v>5</v>
      </c>
      <c r="F485" t="s">
        <v>883</v>
      </c>
      <c r="G485" t="s">
        <v>884</v>
      </c>
      <c r="H485" s="1">
        <f>VLOOKUP(tbl_details5[[#This Row],[Order ID]],Orders!A:F,2,FALSE)</f>
        <v>43337</v>
      </c>
      <c r="I485" s="1" t="str">
        <f>TEXT(tbl_details5[[#This Row],[Order Date]],"mmm-yy")</f>
        <v>Aug-18</v>
      </c>
      <c r="J485" t="str">
        <f>VLOOKUP(tbl_details5[[#This Row],[Order ID]],Table1[],4,FALSE)</f>
        <v>Surabhi</v>
      </c>
      <c r="K485" t="str">
        <f>VLOOKUP(tbl_details5[[#This Row],[Order ID]],Table1[],5,FALSE)</f>
        <v>Maharashtra</v>
      </c>
      <c r="L485" t="str">
        <f>VLOOKUP(tbl_details5[[#This Row],[Order ID]],Table1[],6,FALSE)</f>
        <v>Mumbai</v>
      </c>
    </row>
    <row r="486" spans="1:12" x14ac:dyDescent="0.25">
      <c r="A486" t="s">
        <v>351</v>
      </c>
      <c r="B486" s="4">
        <v>328</v>
      </c>
      <c r="C486" s="4">
        <v>-15</v>
      </c>
      <c r="D486" s="5">
        <f>tbl_details5[[#This Row],[Profit]]/tbl_details5[[#This Row],[Revenue]]</f>
        <v>-4.573170731707317E-2</v>
      </c>
      <c r="E486">
        <v>3</v>
      </c>
      <c r="F486" t="s">
        <v>888</v>
      </c>
      <c r="G486" t="s">
        <v>889</v>
      </c>
      <c r="H486" s="1">
        <f>VLOOKUP(tbl_details5[[#This Row],[Order ID]],Orders!A:F,2,FALSE)</f>
        <v>43337</v>
      </c>
      <c r="I486" s="1" t="str">
        <f>TEXT(tbl_details5[[#This Row],[Order Date]],"mmm-yy")</f>
        <v>Aug-18</v>
      </c>
      <c r="J486" t="str">
        <f>VLOOKUP(tbl_details5[[#This Row],[Order ID]],Table1[],4,FALSE)</f>
        <v>Surabhi</v>
      </c>
      <c r="K486" t="str">
        <f>VLOOKUP(tbl_details5[[#This Row],[Order ID]],Table1[],5,FALSE)</f>
        <v>Maharashtra</v>
      </c>
      <c r="L486" t="str">
        <f>VLOOKUP(tbl_details5[[#This Row],[Order ID]],Table1[],6,FALSE)</f>
        <v>Mumbai</v>
      </c>
    </row>
    <row r="487" spans="1:12" x14ac:dyDescent="0.25">
      <c r="A487" t="s">
        <v>351</v>
      </c>
      <c r="B487" s="4">
        <v>418</v>
      </c>
      <c r="C487" s="4">
        <v>70</v>
      </c>
      <c r="D487" s="5">
        <f>tbl_details5[[#This Row],[Profit]]/tbl_details5[[#This Row],[Revenue]]</f>
        <v>0.1674641148325359</v>
      </c>
      <c r="E487">
        <v>7</v>
      </c>
      <c r="F487" t="s">
        <v>888</v>
      </c>
      <c r="G487" t="s">
        <v>890</v>
      </c>
      <c r="H487" s="1">
        <f>VLOOKUP(tbl_details5[[#This Row],[Order ID]],Orders!A:F,2,FALSE)</f>
        <v>43337</v>
      </c>
      <c r="I487" s="1" t="str">
        <f>TEXT(tbl_details5[[#This Row],[Order Date]],"mmm-yy")</f>
        <v>Aug-18</v>
      </c>
      <c r="J487" t="str">
        <f>VLOOKUP(tbl_details5[[#This Row],[Order ID]],Table1[],4,FALSE)</f>
        <v>Surabhi</v>
      </c>
      <c r="K487" t="str">
        <f>VLOOKUP(tbl_details5[[#This Row],[Order ID]],Table1[],5,FALSE)</f>
        <v>Maharashtra</v>
      </c>
      <c r="L487" t="str">
        <f>VLOOKUP(tbl_details5[[#This Row],[Order ID]],Table1[],6,FALSE)</f>
        <v>Mumbai</v>
      </c>
    </row>
    <row r="488" spans="1:12" x14ac:dyDescent="0.25">
      <c r="A488" t="s">
        <v>351</v>
      </c>
      <c r="B488" s="4">
        <v>40</v>
      </c>
      <c r="C488" s="4">
        <v>0</v>
      </c>
      <c r="D488" s="5">
        <f>tbl_details5[[#This Row],[Profit]]/tbl_details5[[#This Row],[Revenue]]</f>
        <v>0</v>
      </c>
      <c r="E488">
        <v>3</v>
      </c>
      <c r="F488" t="s">
        <v>885</v>
      </c>
      <c r="G488" t="s">
        <v>891</v>
      </c>
      <c r="H488" s="1">
        <f>VLOOKUP(tbl_details5[[#This Row],[Order ID]],Orders!A:F,2,FALSE)</f>
        <v>43337</v>
      </c>
      <c r="I488" s="1" t="str">
        <f>TEXT(tbl_details5[[#This Row],[Order Date]],"mmm-yy")</f>
        <v>Aug-18</v>
      </c>
      <c r="J488" t="str">
        <f>VLOOKUP(tbl_details5[[#This Row],[Order ID]],Table1[],4,FALSE)</f>
        <v>Surabhi</v>
      </c>
      <c r="K488" t="str">
        <f>VLOOKUP(tbl_details5[[#This Row],[Order ID]],Table1[],5,FALSE)</f>
        <v>Maharashtra</v>
      </c>
      <c r="L488" t="str">
        <f>VLOOKUP(tbl_details5[[#This Row],[Order ID]],Table1[],6,FALSE)</f>
        <v>Mumbai</v>
      </c>
    </row>
    <row r="489" spans="1:12" x14ac:dyDescent="0.25">
      <c r="A489" t="s">
        <v>351</v>
      </c>
      <c r="B489" s="4">
        <v>102</v>
      </c>
      <c r="C489" s="4">
        <v>-90</v>
      </c>
      <c r="D489" s="5">
        <f>tbl_details5[[#This Row],[Profit]]/tbl_details5[[#This Row],[Revenue]]</f>
        <v>-0.88235294117647056</v>
      </c>
      <c r="E489">
        <v>1</v>
      </c>
      <c r="F489" t="s">
        <v>885</v>
      </c>
      <c r="G489" t="s">
        <v>891</v>
      </c>
      <c r="H489" s="1">
        <f>VLOOKUP(tbl_details5[[#This Row],[Order ID]],Orders!A:F,2,FALSE)</f>
        <v>43337</v>
      </c>
      <c r="I489" s="1" t="str">
        <f>TEXT(tbl_details5[[#This Row],[Order Date]],"mmm-yy")</f>
        <v>Aug-18</v>
      </c>
      <c r="J489" t="str">
        <f>VLOOKUP(tbl_details5[[#This Row],[Order ID]],Table1[],4,FALSE)</f>
        <v>Surabhi</v>
      </c>
      <c r="K489" t="str">
        <f>VLOOKUP(tbl_details5[[#This Row],[Order ID]],Table1[],5,FALSE)</f>
        <v>Maharashtra</v>
      </c>
      <c r="L489" t="str">
        <f>VLOOKUP(tbl_details5[[#This Row],[Order ID]],Table1[],6,FALSE)</f>
        <v>Mumbai</v>
      </c>
    </row>
    <row r="490" spans="1:12" x14ac:dyDescent="0.25">
      <c r="A490" t="s">
        <v>351</v>
      </c>
      <c r="B490" s="4">
        <v>263</v>
      </c>
      <c r="C490" s="4">
        <v>-31</v>
      </c>
      <c r="D490" s="5">
        <f>tbl_details5[[#This Row],[Profit]]/tbl_details5[[#This Row],[Revenue]]</f>
        <v>-0.11787072243346007</v>
      </c>
      <c r="E490">
        <v>9</v>
      </c>
      <c r="F490" t="s">
        <v>888</v>
      </c>
      <c r="G490" t="s">
        <v>889</v>
      </c>
      <c r="H490" s="1">
        <f>VLOOKUP(tbl_details5[[#This Row],[Order ID]],Orders!A:F,2,FALSE)</f>
        <v>43337</v>
      </c>
      <c r="I490" s="1" t="str">
        <f>TEXT(tbl_details5[[#This Row],[Order Date]],"mmm-yy")</f>
        <v>Aug-18</v>
      </c>
      <c r="J490" t="str">
        <f>VLOOKUP(tbl_details5[[#This Row],[Order ID]],Table1[],4,FALSE)</f>
        <v>Surabhi</v>
      </c>
      <c r="K490" t="str">
        <f>VLOOKUP(tbl_details5[[#This Row],[Order ID]],Table1[],5,FALSE)</f>
        <v>Maharashtra</v>
      </c>
      <c r="L490" t="str">
        <f>VLOOKUP(tbl_details5[[#This Row],[Order ID]],Table1[],6,FALSE)</f>
        <v>Mumbai</v>
      </c>
    </row>
    <row r="491" spans="1:12" x14ac:dyDescent="0.25">
      <c r="A491" t="s">
        <v>352</v>
      </c>
      <c r="B491" s="4">
        <v>1316</v>
      </c>
      <c r="C491" s="4">
        <v>-527</v>
      </c>
      <c r="D491" s="5">
        <f>tbl_details5[[#This Row],[Profit]]/tbl_details5[[#This Row],[Revenue]]</f>
        <v>-0.40045592705167171</v>
      </c>
      <c r="E491">
        <v>7</v>
      </c>
      <c r="F491" t="s">
        <v>888</v>
      </c>
      <c r="G491" t="s">
        <v>889</v>
      </c>
      <c r="H491" s="1">
        <f>VLOOKUP(tbl_details5[[#This Row],[Order ID]],Orders!A:F,2,FALSE)</f>
        <v>43338</v>
      </c>
      <c r="I491" s="1" t="str">
        <f>TEXT(tbl_details5[[#This Row],[Order Date]],"mmm-yy")</f>
        <v>Aug-18</v>
      </c>
      <c r="J491" t="str">
        <f>VLOOKUP(tbl_details5[[#This Row],[Order ID]],Table1[],4,FALSE)</f>
        <v>Anudeep</v>
      </c>
      <c r="K491" t="str">
        <f>VLOOKUP(tbl_details5[[#This Row],[Order ID]],Table1[],5,FALSE)</f>
        <v>Madhya Pradesh</v>
      </c>
      <c r="L491" t="str">
        <f>VLOOKUP(tbl_details5[[#This Row],[Order ID]],Table1[],6,FALSE)</f>
        <v>Indore</v>
      </c>
    </row>
    <row r="492" spans="1:12" x14ac:dyDescent="0.25">
      <c r="A492" t="s">
        <v>352</v>
      </c>
      <c r="B492" s="4">
        <v>27</v>
      </c>
      <c r="C492" s="4">
        <v>4</v>
      </c>
      <c r="D492" s="5">
        <f>tbl_details5[[#This Row],[Profit]]/tbl_details5[[#This Row],[Revenue]]</f>
        <v>0.14814814814814814</v>
      </c>
      <c r="E492">
        <v>3</v>
      </c>
      <c r="F492" t="s">
        <v>885</v>
      </c>
      <c r="G492" t="s">
        <v>902</v>
      </c>
      <c r="H492" s="1">
        <f>VLOOKUP(tbl_details5[[#This Row],[Order ID]],Orders!A:F,2,FALSE)</f>
        <v>43338</v>
      </c>
      <c r="I492" s="1" t="str">
        <f>TEXT(tbl_details5[[#This Row],[Order Date]],"mmm-yy")</f>
        <v>Aug-18</v>
      </c>
      <c r="J492" t="str">
        <f>VLOOKUP(tbl_details5[[#This Row],[Order ID]],Table1[],4,FALSE)</f>
        <v>Anudeep</v>
      </c>
      <c r="K492" t="str">
        <f>VLOOKUP(tbl_details5[[#This Row],[Order ID]],Table1[],5,FALSE)</f>
        <v>Madhya Pradesh</v>
      </c>
      <c r="L492" t="str">
        <f>VLOOKUP(tbl_details5[[#This Row],[Order ID]],Table1[],6,FALSE)</f>
        <v>Indore</v>
      </c>
    </row>
    <row r="493" spans="1:12" x14ac:dyDescent="0.25">
      <c r="A493" t="s">
        <v>352</v>
      </c>
      <c r="B493" s="4">
        <v>98</v>
      </c>
      <c r="C493" s="4">
        <v>-5</v>
      </c>
      <c r="D493" s="5">
        <f>tbl_details5[[#This Row],[Profit]]/tbl_details5[[#This Row],[Revenue]]</f>
        <v>-5.1020408163265307E-2</v>
      </c>
      <c r="E493">
        <v>2</v>
      </c>
      <c r="F493" t="s">
        <v>885</v>
      </c>
      <c r="G493" t="s">
        <v>891</v>
      </c>
      <c r="H493" s="1">
        <f>VLOOKUP(tbl_details5[[#This Row],[Order ID]],Orders!A:F,2,FALSE)</f>
        <v>43338</v>
      </c>
      <c r="I493" s="1" t="str">
        <f>TEXT(tbl_details5[[#This Row],[Order Date]],"mmm-yy")</f>
        <v>Aug-18</v>
      </c>
      <c r="J493" t="str">
        <f>VLOOKUP(tbl_details5[[#This Row],[Order ID]],Table1[],4,FALSE)</f>
        <v>Anudeep</v>
      </c>
      <c r="K493" t="str">
        <f>VLOOKUP(tbl_details5[[#This Row],[Order ID]],Table1[],5,FALSE)</f>
        <v>Madhya Pradesh</v>
      </c>
      <c r="L493" t="str">
        <f>VLOOKUP(tbl_details5[[#This Row],[Order ID]],Table1[],6,FALSE)</f>
        <v>Indore</v>
      </c>
    </row>
    <row r="494" spans="1:12" x14ac:dyDescent="0.25">
      <c r="A494" t="s">
        <v>354</v>
      </c>
      <c r="B494" s="4">
        <v>58</v>
      </c>
      <c r="C494" s="4">
        <v>-52</v>
      </c>
      <c r="D494" s="5">
        <f>tbl_details5[[#This Row],[Profit]]/tbl_details5[[#This Row],[Revenue]]</f>
        <v>-0.89655172413793105</v>
      </c>
      <c r="E494">
        <v>3</v>
      </c>
      <c r="F494" t="s">
        <v>883</v>
      </c>
      <c r="G494" t="s">
        <v>893</v>
      </c>
      <c r="H494" s="1">
        <f>VLOOKUP(tbl_details5[[#This Row],[Order ID]],Orders!A:F,2,FALSE)</f>
        <v>43339</v>
      </c>
      <c r="I494" s="1" t="str">
        <f>TEXT(tbl_details5[[#This Row],[Order Date]],"mmm-yy")</f>
        <v>Aug-18</v>
      </c>
      <c r="J494" t="str">
        <f>VLOOKUP(tbl_details5[[#This Row],[Order ID]],Table1[],4,FALSE)</f>
        <v>Noshiba</v>
      </c>
      <c r="K494" t="str">
        <f>VLOOKUP(tbl_details5[[#This Row],[Order ID]],Table1[],5,FALSE)</f>
        <v>Gujarat</v>
      </c>
      <c r="L494" t="str">
        <f>VLOOKUP(tbl_details5[[#This Row],[Order ID]],Table1[],6,FALSE)</f>
        <v>Ahmedabad</v>
      </c>
    </row>
    <row r="495" spans="1:12" x14ac:dyDescent="0.25">
      <c r="A495" t="s">
        <v>356</v>
      </c>
      <c r="B495" s="4">
        <v>119</v>
      </c>
      <c r="C495" s="4">
        <v>43</v>
      </c>
      <c r="D495" s="5">
        <f>tbl_details5[[#This Row],[Profit]]/tbl_details5[[#This Row],[Revenue]]</f>
        <v>0.36134453781512604</v>
      </c>
      <c r="E495">
        <v>5</v>
      </c>
      <c r="F495" t="s">
        <v>885</v>
      </c>
      <c r="G495" t="s">
        <v>895</v>
      </c>
      <c r="H495" s="1">
        <f>VLOOKUP(tbl_details5[[#This Row],[Order ID]],Orders!A:F,2,FALSE)</f>
        <v>43340</v>
      </c>
      <c r="I495" s="1" t="str">
        <f>TEXT(tbl_details5[[#This Row],[Order Date]],"mmm-yy")</f>
        <v>Aug-18</v>
      </c>
      <c r="J495" t="str">
        <f>VLOOKUP(tbl_details5[[#This Row],[Order ID]],Table1[],4,FALSE)</f>
        <v>Sanjova</v>
      </c>
      <c r="K495" t="str">
        <f>VLOOKUP(tbl_details5[[#This Row],[Order ID]],Table1[],5,FALSE)</f>
        <v>Maharashtra</v>
      </c>
      <c r="L495" t="str">
        <f>VLOOKUP(tbl_details5[[#This Row],[Order ID]],Table1[],6,FALSE)</f>
        <v>Pune</v>
      </c>
    </row>
    <row r="496" spans="1:12" x14ac:dyDescent="0.25">
      <c r="A496" t="s">
        <v>356</v>
      </c>
      <c r="B496" s="4">
        <v>765</v>
      </c>
      <c r="C496" s="4">
        <v>-153</v>
      </c>
      <c r="D496" s="5">
        <f>tbl_details5[[#This Row],[Profit]]/tbl_details5[[#This Row],[Revenue]]</f>
        <v>-0.2</v>
      </c>
      <c r="E496">
        <v>2</v>
      </c>
      <c r="F496" t="s">
        <v>888</v>
      </c>
      <c r="G496" t="s">
        <v>890</v>
      </c>
      <c r="H496" s="1">
        <f>VLOOKUP(tbl_details5[[#This Row],[Order ID]],Orders!A:F,2,FALSE)</f>
        <v>43340</v>
      </c>
      <c r="I496" s="1" t="str">
        <f>TEXT(tbl_details5[[#This Row],[Order Date]],"mmm-yy")</f>
        <v>Aug-18</v>
      </c>
      <c r="J496" t="str">
        <f>VLOOKUP(tbl_details5[[#This Row],[Order ID]],Table1[],4,FALSE)</f>
        <v>Sanjova</v>
      </c>
      <c r="K496" t="str">
        <f>VLOOKUP(tbl_details5[[#This Row],[Order ID]],Table1[],5,FALSE)</f>
        <v>Maharashtra</v>
      </c>
      <c r="L496" t="str">
        <f>VLOOKUP(tbl_details5[[#This Row],[Order ID]],Table1[],6,FALSE)</f>
        <v>Pune</v>
      </c>
    </row>
    <row r="497" spans="1:12" x14ac:dyDescent="0.25">
      <c r="A497" t="s">
        <v>356</v>
      </c>
      <c r="B497" s="4">
        <v>26</v>
      </c>
      <c r="C497" s="4">
        <v>0</v>
      </c>
      <c r="D497" s="5">
        <f>tbl_details5[[#This Row],[Profit]]/tbl_details5[[#This Row],[Revenue]]</f>
        <v>0</v>
      </c>
      <c r="E497">
        <v>2</v>
      </c>
      <c r="F497" t="s">
        <v>885</v>
      </c>
      <c r="G497" t="s">
        <v>894</v>
      </c>
      <c r="H497" s="1">
        <f>VLOOKUP(tbl_details5[[#This Row],[Order ID]],Orders!A:F,2,FALSE)</f>
        <v>43340</v>
      </c>
      <c r="I497" s="1" t="str">
        <f>TEXT(tbl_details5[[#This Row],[Order Date]],"mmm-yy")</f>
        <v>Aug-18</v>
      </c>
      <c r="J497" t="str">
        <f>VLOOKUP(tbl_details5[[#This Row],[Order ID]],Table1[],4,FALSE)</f>
        <v>Sanjova</v>
      </c>
      <c r="K497" t="str">
        <f>VLOOKUP(tbl_details5[[#This Row],[Order ID]],Table1[],5,FALSE)</f>
        <v>Maharashtra</v>
      </c>
      <c r="L497" t="str">
        <f>VLOOKUP(tbl_details5[[#This Row],[Order ID]],Table1[],6,FALSE)</f>
        <v>Pune</v>
      </c>
    </row>
    <row r="498" spans="1:12" x14ac:dyDescent="0.25">
      <c r="A498" t="s">
        <v>356</v>
      </c>
      <c r="B498" s="4">
        <v>24</v>
      </c>
      <c r="C498" s="4">
        <v>-24</v>
      </c>
      <c r="D498" s="5">
        <f>tbl_details5[[#This Row],[Profit]]/tbl_details5[[#This Row],[Revenue]]</f>
        <v>-1</v>
      </c>
      <c r="E498">
        <v>2</v>
      </c>
      <c r="F498" t="s">
        <v>885</v>
      </c>
      <c r="G498" t="s">
        <v>891</v>
      </c>
      <c r="H498" s="1">
        <f>VLOOKUP(tbl_details5[[#This Row],[Order ID]],Orders!A:F,2,FALSE)</f>
        <v>43340</v>
      </c>
      <c r="I498" s="1" t="str">
        <f>TEXT(tbl_details5[[#This Row],[Order Date]],"mmm-yy")</f>
        <v>Aug-18</v>
      </c>
      <c r="J498" t="str">
        <f>VLOOKUP(tbl_details5[[#This Row],[Order ID]],Table1[],4,FALSE)</f>
        <v>Sanjova</v>
      </c>
      <c r="K498" t="str">
        <f>VLOOKUP(tbl_details5[[#This Row],[Order ID]],Table1[],5,FALSE)</f>
        <v>Maharashtra</v>
      </c>
      <c r="L498" t="str">
        <f>VLOOKUP(tbl_details5[[#This Row],[Order ID]],Table1[],6,FALSE)</f>
        <v>Pune</v>
      </c>
    </row>
    <row r="499" spans="1:12" x14ac:dyDescent="0.25">
      <c r="A499" t="s">
        <v>358</v>
      </c>
      <c r="B499" s="4">
        <v>139</v>
      </c>
      <c r="C499" s="4">
        <v>14</v>
      </c>
      <c r="D499" s="5">
        <f>tbl_details5[[#This Row],[Profit]]/tbl_details5[[#This Row],[Revenue]]</f>
        <v>0.10071942446043165</v>
      </c>
      <c r="E499">
        <v>3</v>
      </c>
      <c r="F499" t="s">
        <v>885</v>
      </c>
      <c r="G499" t="s">
        <v>886</v>
      </c>
      <c r="H499" s="1">
        <f>VLOOKUP(tbl_details5[[#This Row],[Order ID]],Orders!A:F,2,FALSE)</f>
        <v>43341</v>
      </c>
      <c r="I499" s="1" t="str">
        <f>TEXT(tbl_details5[[#This Row],[Order Date]],"mmm-yy")</f>
        <v>Aug-18</v>
      </c>
      <c r="J499" t="str">
        <f>VLOOKUP(tbl_details5[[#This Row],[Order ID]],Table1[],4,FALSE)</f>
        <v>Meghana</v>
      </c>
      <c r="K499" t="str">
        <f>VLOOKUP(tbl_details5[[#This Row],[Order ID]],Table1[],5,FALSE)</f>
        <v>Madhya Pradesh</v>
      </c>
      <c r="L499" t="str">
        <f>VLOOKUP(tbl_details5[[#This Row],[Order ID]],Table1[],6,FALSE)</f>
        <v>Bhopal</v>
      </c>
    </row>
    <row r="500" spans="1:12" x14ac:dyDescent="0.25">
      <c r="A500" t="s">
        <v>360</v>
      </c>
      <c r="B500" s="4">
        <v>220</v>
      </c>
      <c r="C500" s="4">
        <v>-19</v>
      </c>
      <c r="D500" s="5">
        <f>tbl_details5[[#This Row],[Profit]]/tbl_details5[[#This Row],[Revenue]]</f>
        <v>-8.6363636363636365E-2</v>
      </c>
      <c r="E500">
        <v>2</v>
      </c>
      <c r="F500" t="s">
        <v>885</v>
      </c>
      <c r="G500" t="s">
        <v>891</v>
      </c>
      <c r="H500" s="1">
        <f>VLOOKUP(tbl_details5[[#This Row],[Order ID]],Orders!A:F,2,FALSE)</f>
        <v>43342</v>
      </c>
      <c r="I500" s="1" t="str">
        <f>TEXT(tbl_details5[[#This Row],[Order Date]],"mmm-yy")</f>
        <v>Aug-18</v>
      </c>
      <c r="J500" t="str">
        <f>VLOOKUP(tbl_details5[[#This Row],[Order ID]],Table1[],4,FALSE)</f>
        <v>Surabhi</v>
      </c>
      <c r="K500" t="str">
        <f>VLOOKUP(tbl_details5[[#This Row],[Order ID]],Table1[],5,FALSE)</f>
        <v>Rajasthan</v>
      </c>
      <c r="L500" t="str">
        <f>VLOOKUP(tbl_details5[[#This Row],[Order ID]],Table1[],6,FALSE)</f>
        <v>Jaipur</v>
      </c>
    </row>
    <row r="501" spans="1:12" x14ac:dyDescent="0.25">
      <c r="A501" t="s">
        <v>361</v>
      </c>
      <c r="B501" s="4">
        <v>299</v>
      </c>
      <c r="C501" s="4">
        <v>-28</v>
      </c>
      <c r="D501" s="5">
        <f>tbl_details5[[#This Row],[Profit]]/tbl_details5[[#This Row],[Revenue]]</f>
        <v>-9.3645484949832769E-2</v>
      </c>
      <c r="E501">
        <v>3</v>
      </c>
      <c r="F501" t="s">
        <v>888</v>
      </c>
      <c r="G501" t="s">
        <v>889</v>
      </c>
      <c r="H501" s="1">
        <f>VLOOKUP(tbl_details5[[#This Row],[Order ID]],Orders!A:F,2,FALSE)</f>
        <v>43343</v>
      </c>
      <c r="I501" s="1" t="str">
        <f>TEXT(tbl_details5[[#This Row],[Order Date]],"mmm-yy")</f>
        <v>Aug-18</v>
      </c>
      <c r="J501" t="str">
        <f>VLOOKUP(tbl_details5[[#This Row],[Order ID]],Table1[],4,FALSE)</f>
        <v>Ashmeet</v>
      </c>
      <c r="K501" t="str">
        <f>VLOOKUP(tbl_details5[[#This Row],[Order ID]],Table1[],5,FALSE)</f>
        <v>West Bengal</v>
      </c>
      <c r="L501" t="str">
        <f>VLOOKUP(tbl_details5[[#This Row],[Order ID]],Table1[],6,FALSE)</f>
        <v>Kolkata</v>
      </c>
    </row>
    <row r="502" spans="1:12" x14ac:dyDescent="0.25">
      <c r="A502" t="s">
        <v>361</v>
      </c>
      <c r="B502" s="4">
        <v>9</v>
      </c>
      <c r="C502" s="4">
        <v>-9</v>
      </c>
      <c r="D502" s="5">
        <f>tbl_details5[[#This Row],[Profit]]/tbl_details5[[#This Row],[Revenue]]</f>
        <v>-1</v>
      </c>
      <c r="E502">
        <v>2</v>
      </c>
      <c r="F502" t="s">
        <v>885</v>
      </c>
      <c r="G502" t="s">
        <v>894</v>
      </c>
      <c r="H502" s="1">
        <f>VLOOKUP(tbl_details5[[#This Row],[Order ID]],Orders!A:F,2,FALSE)</f>
        <v>43343</v>
      </c>
      <c r="I502" s="1" t="str">
        <f>TEXT(tbl_details5[[#This Row],[Order Date]],"mmm-yy")</f>
        <v>Aug-18</v>
      </c>
      <c r="J502" t="str">
        <f>VLOOKUP(tbl_details5[[#This Row],[Order ID]],Table1[],4,FALSE)</f>
        <v>Ashmeet</v>
      </c>
      <c r="K502" t="str">
        <f>VLOOKUP(tbl_details5[[#This Row],[Order ID]],Table1[],5,FALSE)</f>
        <v>West Bengal</v>
      </c>
      <c r="L502" t="str">
        <f>VLOOKUP(tbl_details5[[#This Row],[Order ID]],Table1[],6,FALSE)</f>
        <v>Kolkata</v>
      </c>
    </row>
    <row r="503" spans="1:12" x14ac:dyDescent="0.25">
      <c r="A503" t="s">
        <v>361</v>
      </c>
      <c r="B503" s="4">
        <v>74</v>
      </c>
      <c r="C503" s="4">
        <v>-59</v>
      </c>
      <c r="D503" s="5">
        <f>tbl_details5[[#This Row],[Profit]]/tbl_details5[[#This Row],[Revenue]]</f>
        <v>-0.79729729729729726</v>
      </c>
      <c r="E503">
        <v>2</v>
      </c>
      <c r="F503" t="s">
        <v>888</v>
      </c>
      <c r="G503" t="s">
        <v>900</v>
      </c>
      <c r="H503" s="1">
        <f>VLOOKUP(tbl_details5[[#This Row],[Order ID]],Orders!A:F,2,FALSE)</f>
        <v>43343</v>
      </c>
      <c r="I503" s="1" t="str">
        <f>TEXT(tbl_details5[[#This Row],[Order Date]],"mmm-yy")</f>
        <v>Aug-18</v>
      </c>
      <c r="J503" t="str">
        <f>VLOOKUP(tbl_details5[[#This Row],[Order ID]],Table1[],4,FALSE)</f>
        <v>Ashmeet</v>
      </c>
      <c r="K503" t="str">
        <f>VLOOKUP(tbl_details5[[#This Row],[Order ID]],Table1[],5,FALSE)</f>
        <v>West Bengal</v>
      </c>
      <c r="L503" t="str">
        <f>VLOOKUP(tbl_details5[[#This Row],[Order ID]],Table1[],6,FALSE)</f>
        <v>Kolkata</v>
      </c>
    </row>
    <row r="504" spans="1:12" x14ac:dyDescent="0.25">
      <c r="A504" t="s">
        <v>361</v>
      </c>
      <c r="B504" s="4">
        <v>29</v>
      </c>
      <c r="C504" s="4">
        <v>-3</v>
      </c>
      <c r="D504" s="5">
        <f>tbl_details5[[#This Row],[Profit]]/tbl_details5[[#This Row],[Revenue]]</f>
        <v>-0.10344827586206896</v>
      </c>
      <c r="E504">
        <v>3</v>
      </c>
      <c r="F504" t="s">
        <v>885</v>
      </c>
      <c r="G504" t="s">
        <v>891</v>
      </c>
      <c r="H504" s="1">
        <f>VLOOKUP(tbl_details5[[#This Row],[Order ID]],Orders!A:F,2,FALSE)</f>
        <v>43343</v>
      </c>
      <c r="I504" s="1" t="str">
        <f>TEXT(tbl_details5[[#This Row],[Order Date]],"mmm-yy")</f>
        <v>Aug-18</v>
      </c>
      <c r="J504" t="str">
        <f>VLOOKUP(tbl_details5[[#This Row],[Order ID]],Table1[],4,FALSE)</f>
        <v>Ashmeet</v>
      </c>
      <c r="K504" t="str">
        <f>VLOOKUP(tbl_details5[[#This Row],[Order ID]],Table1[],5,FALSE)</f>
        <v>West Bengal</v>
      </c>
      <c r="L504" t="str">
        <f>VLOOKUP(tbl_details5[[#This Row],[Order ID]],Table1[],6,FALSE)</f>
        <v>Kolkata</v>
      </c>
    </row>
    <row r="505" spans="1:12" x14ac:dyDescent="0.25">
      <c r="A505" t="s">
        <v>361</v>
      </c>
      <c r="B505" s="4">
        <v>48</v>
      </c>
      <c r="C505" s="4">
        <v>-22</v>
      </c>
      <c r="D505" s="5">
        <f>tbl_details5[[#This Row],[Profit]]/tbl_details5[[#This Row],[Revenue]]</f>
        <v>-0.45833333333333331</v>
      </c>
      <c r="E505">
        <v>2</v>
      </c>
      <c r="F505" t="s">
        <v>885</v>
      </c>
      <c r="G505" t="s">
        <v>891</v>
      </c>
      <c r="H505" s="1">
        <f>VLOOKUP(tbl_details5[[#This Row],[Order ID]],Orders!A:F,2,FALSE)</f>
        <v>43343</v>
      </c>
      <c r="I505" s="1" t="str">
        <f>TEXT(tbl_details5[[#This Row],[Order Date]],"mmm-yy")</f>
        <v>Aug-18</v>
      </c>
      <c r="J505" t="str">
        <f>VLOOKUP(tbl_details5[[#This Row],[Order ID]],Table1[],4,FALSE)</f>
        <v>Ashmeet</v>
      </c>
      <c r="K505" t="str">
        <f>VLOOKUP(tbl_details5[[#This Row],[Order ID]],Table1[],5,FALSE)</f>
        <v>West Bengal</v>
      </c>
      <c r="L505" t="str">
        <f>VLOOKUP(tbl_details5[[#This Row],[Order ID]],Table1[],6,FALSE)</f>
        <v>Kolkata</v>
      </c>
    </row>
    <row r="506" spans="1:12" x14ac:dyDescent="0.25">
      <c r="A506" t="s">
        <v>363</v>
      </c>
      <c r="B506" s="4">
        <v>1582</v>
      </c>
      <c r="C506" s="4">
        <v>-443</v>
      </c>
      <c r="D506" s="5">
        <f>tbl_details5[[#This Row],[Profit]]/tbl_details5[[#This Row],[Revenue]]</f>
        <v>-0.28002528445006319</v>
      </c>
      <c r="E506">
        <v>6</v>
      </c>
      <c r="F506" t="s">
        <v>885</v>
      </c>
      <c r="G506" t="s">
        <v>892</v>
      </c>
      <c r="H506" s="1">
        <f>VLOOKUP(tbl_details5[[#This Row],[Order ID]],Orders!A:F,2,FALSE)</f>
        <v>43344</v>
      </c>
      <c r="I506" s="1" t="str">
        <f>TEXT(tbl_details5[[#This Row],[Order Date]],"mmm-yy")</f>
        <v>Sep-18</v>
      </c>
      <c r="J506" t="str">
        <f>VLOOKUP(tbl_details5[[#This Row],[Order ID]],Table1[],4,FALSE)</f>
        <v>Shreyoshe</v>
      </c>
      <c r="K506" t="str">
        <f>VLOOKUP(tbl_details5[[#This Row],[Order ID]],Table1[],5,FALSE)</f>
        <v>Karnataka</v>
      </c>
      <c r="L506" t="str">
        <f>VLOOKUP(tbl_details5[[#This Row],[Order ID]],Table1[],6,FALSE)</f>
        <v>Bangalore</v>
      </c>
    </row>
    <row r="507" spans="1:12" x14ac:dyDescent="0.25">
      <c r="A507" t="s">
        <v>365</v>
      </c>
      <c r="B507" s="4">
        <v>355</v>
      </c>
      <c r="C507" s="4">
        <v>-4</v>
      </c>
      <c r="D507" s="5">
        <f>tbl_details5[[#This Row],[Profit]]/tbl_details5[[#This Row],[Revenue]]</f>
        <v>-1.1267605633802818E-2</v>
      </c>
      <c r="E507">
        <v>2</v>
      </c>
      <c r="F507" t="s">
        <v>885</v>
      </c>
      <c r="G507" t="s">
        <v>891</v>
      </c>
      <c r="H507" s="1">
        <f>VLOOKUP(tbl_details5[[#This Row],[Order ID]],Orders!A:F,2,FALSE)</f>
        <v>43345</v>
      </c>
      <c r="I507" s="1" t="str">
        <f>TEXT(tbl_details5[[#This Row],[Order Date]],"mmm-yy")</f>
        <v>Sep-18</v>
      </c>
      <c r="J507" t="str">
        <f>VLOOKUP(tbl_details5[[#This Row],[Order ID]],Table1[],4,FALSE)</f>
        <v>Surbhi</v>
      </c>
      <c r="K507" t="str">
        <f>VLOOKUP(tbl_details5[[#This Row],[Order ID]],Table1[],5,FALSE)</f>
        <v>Maharashtra</v>
      </c>
      <c r="L507" t="str">
        <f>VLOOKUP(tbl_details5[[#This Row],[Order ID]],Table1[],6,FALSE)</f>
        <v>Mumbai</v>
      </c>
    </row>
    <row r="508" spans="1:12" x14ac:dyDescent="0.25">
      <c r="A508" t="s">
        <v>367</v>
      </c>
      <c r="B508" s="4">
        <v>375</v>
      </c>
      <c r="C508" s="4">
        <v>180</v>
      </c>
      <c r="D508" s="5">
        <f>tbl_details5[[#This Row],[Profit]]/tbl_details5[[#This Row],[Revenue]]</f>
        <v>0.48</v>
      </c>
      <c r="E508">
        <v>3</v>
      </c>
      <c r="F508" t="s">
        <v>883</v>
      </c>
      <c r="G508" t="s">
        <v>884</v>
      </c>
      <c r="H508" s="1">
        <f>VLOOKUP(tbl_details5[[#This Row],[Order ID]],Orders!A:F,2,FALSE)</f>
        <v>43345</v>
      </c>
      <c r="I508" s="1" t="str">
        <f>TEXT(tbl_details5[[#This Row],[Order Date]],"mmm-yy")</f>
        <v>Sep-18</v>
      </c>
      <c r="J508" t="str">
        <f>VLOOKUP(tbl_details5[[#This Row],[Order ID]],Table1[],4,FALSE)</f>
        <v>Sakshi</v>
      </c>
      <c r="K508" t="str">
        <f>VLOOKUP(tbl_details5[[#This Row],[Order ID]],Table1[],5,FALSE)</f>
        <v>Madhya Pradesh</v>
      </c>
      <c r="L508" t="str">
        <f>VLOOKUP(tbl_details5[[#This Row],[Order ID]],Table1[],6,FALSE)</f>
        <v>Indore</v>
      </c>
    </row>
    <row r="509" spans="1:12" x14ac:dyDescent="0.25">
      <c r="A509" t="s">
        <v>367</v>
      </c>
      <c r="B509" s="4">
        <v>299</v>
      </c>
      <c r="C509" s="4">
        <v>113</v>
      </c>
      <c r="D509" s="5">
        <f>tbl_details5[[#This Row],[Profit]]/tbl_details5[[#This Row],[Revenue]]</f>
        <v>0.3779264214046823</v>
      </c>
      <c r="E509">
        <v>2</v>
      </c>
      <c r="F509" t="s">
        <v>883</v>
      </c>
      <c r="G509" t="s">
        <v>884</v>
      </c>
      <c r="H509" s="1">
        <f>VLOOKUP(tbl_details5[[#This Row],[Order ID]],Orders!A:F,2,FALSE)</f>
        <v>43345</v>
      </c>
      <c r="I509" s="1" t="str">
        <f>TEXT(tbl_details5[[#This Row],[Order Date]],"mmm-yy")</f>
        <v>Sep-18</v>
      </c>
      <c r="J509" t="str">
        <f>VLOOKUP(tbl_details5[[#This Row],[Order ID]],Table1[],4,FALSE)</f>
        <v>Sakshi</v>
      </c>
      <c r="K509" t="str">
        <f>VLOOKUP(tbl_details5[[#This Row],[Order ID]],Table1[],5,FALSE)</f>
        <v>Madhya Pradesh</v>
      </c>
      <c r="L509" t="str">
        <f>VLOOKUP(tbl_details5[[#This Row],[Order ID]],Table1[],6,FALSE)</f>
        <v>Indore</v>
      </c>
    </row>
    <row r="510" spans="1:12" x14ac:dyDescent="0.25">
      <c r="A510" t="s">
        <v>367</v>
      </c>
      <c r="B510" s="4">
        <v>287</v>
      </c>
      <c r="C510" s="4">
        <v>-280</v>
      </c>
      <c r="D510" s="5">
        <f>tbl_details5[[#This Row],[Profit]]/tbl_details5[[#This Row],[Revenue]]</f>
        <v>-0.97560975609756095</v>
      </c>
      <c r="E510">
        <v>12</v>
      </c>
      <c r="F510" t="s">
        <v>883</v>
      </c>
      <c r="G510" t="s">
        <v>893</v>
      </c>
      <c r="H510" s="1">
        <f>VLOOKUP(tbl_details5[[#This Row],[Order ID]],Orders!A:F,2,FALSE)</f>
        <v>43345</v>
      </c>
      <c r="I510" s="1" t="str">
        <f>TEXT(tbl_details5[[#This Row],[Order Date]],"mmm-yy")</f>
        <v>Sep-18</v>
      </c>
      <c r="J510" t="str">
        <f>VLOOKUP(tbl_details5[[#This Row],[Order ID]],Table1[],4,FALSE)</f>
        <v>Sakshi</v>
      </c>
      <c r="K510" t="str">
        <f>VLOOKUP(tbl_details5[[#This Row],[Order ID]],Table1[],5,FALSE)</f>
        <v>Madhya Pradesh</v>
      </c>
      <c r="L510" t="str">
        <f>VLOOKUP(tbl_details5[[#This Row],[Order ID]],Table1[],6,FALSE)</f>
        <v>Indore</v>
      </c>
    </row>
    <row r="511" spans="1:12" x14ac:dyDescent="0.25">
      <c r="A511" t="s">
        <v>367</v>
      </c>
      <c r="B511" s="4">
        <v>110</v>
      </c>
      <c r="C511" s="4">
        <v>35</v>
      </c>
      <c r="D511" s="5">
        <f>tbl_details5[[#This Row],[Profit]]/tbl_details5[[#This Row],[Revenue]]</f>
        <v>0.31818181818181818</v>
      </c>
      <c r="E511">
        <v>1</v>
      </c>
      <c r="F511" t="s">
        <v>883</v>
      </c>
      <c r="G511" t="s">
        <v>901</v>
      </c>
      <c r="H511" s="1">
        <f>VLOOKUP(tbl_details5[[#This Row],[Order ID]],Orders!A:F,2,FALSE)</f>
        <v>43345</v>
      </c>
      <c r="I511" s="1" t="str">
        <f>TEXT(tbl_details5[[#This Row],[Order Date]],"mmm-yy")</f>
        <v>Sep-18</v>
      </c>
      <c r="J511" t="str">
        <f>VLOOKUP(tbl_details5[[#This Row],[Order ID]],Table1[],4,FALSE)</f>
        <v>Sakshi</v>
      </c>
      <c r="K511" t="str">
        <f>VLOOKUP(tbl_details5[[#This Row],[Order ID]],Table1[],5,FALSE)</f>
        <v>Madhya Pradesh</v>
      </c>
      <c r="L511" t="str">
        <f>VLOOKUP(tbl_details5[[#This Row],[Order ID]],Table1[],6,FALSE)</f>
        <v>Indore</v>
      </c>
    </row>
    <row r="512" spans="1:12" x14ac:dyDescent="0.25">
      <c r="A512" t="s">
        <v>368</v>
      </c>
      <c r="B512" s="4">
        <v>148</v>
      </c>
      <c r="C512" s="4">
        <v>59</v>
      </c>
      <c r="D512" s="5">
        <f>tbl_details5[[#This Row],[Profit]]/tbl_details5[[#This Row],[Revenue]]</f>
        <v>0.39864864864864863</v>
      </c>
      <c r="E512">
        <v>3</v>
      </c>
      <c r="F512" t="s">
        <v>885</v>
      </c>
      <c r="G512" t="s">
        <v>887</v>
      </c>
      <c r="H512" s="1">
        <f>VLOOKUP(tbl_details5[[#This Row],[Order ID]],Orders!A:F,2,FALSE)</f>
        <v>43345</v>
      </c>
      <c r="I512" s="1" t="str">
        <f>TEXT(tbl_details5[[#This Row],[Order Date]],"mmm-yy")</f>
        <v>Sep-18</v>
      </c>
      <c r="J512" t="str">
        <f>VLOOKUP(tbl_details5[[#This Row],[Order ID]],Table1[],4,FALSE)</f>
        <v>Vaibhavi</v>
      </c>
      <c r="K512" t="str">
        <f>VLOOKUP(tbl_details5[[#This Row],[Order ID]],Table1[],5,FALSE)</f>
        <v>Uttar Pradesh</v>
      </c>
      <c r="L512" t="str">
        <f>VLOOKUP(tbl_details5[[#This Row],[Order ID]],Table1[],6,FALSE)</f>
        <v>Lucknow</v>
      </c>
    </row>
    <row r="513" spans="1:12" x14ac:dyDescent="0.25">
      <c r="A513" t="s">
        <v>370</v>
      </c>
      <c r="B513" s="4">
        <v>1183</v>
      </c>
      <c r="C513" s="4">
        <v>106</v>
      </c>
      <c r="D513" s="5">
        <f>tbl_details5[[#This Row],[Profit]]/tbl_details5[[#This Row],[Revenue]]</f>
        <v>8.960270498732037E-2</v>
      </c>
      <c r="E513">
        <v>4</v>
      </c>
      <c r="F513" t="s">
        <v>888</v>
      </c>
      <c r="G513" t="s">
        <v>899</v>
      </c>
      <c r="H513" s="1">
        <f>VLOOKUP(tbl_details5[[#This Row],[Order ID]],Orders!A:F,2,FALSE)</f>
        <v>43345</v>
      </c>
      <c r="I513" s="1" t="str">
        <f>TEXT(tbl_details5[[#This Row],[Order Date]],"mmm-yy")</f>
        <v>Sep-18</v>
      </c>
      <c r="J513" t="str">
        <f>VLOOKUP(tbl_details5[[#This Row],[Order ID]],Table1[],4,FALSE)</f>
        <v>Sanjana</v>
      </c>
      <c r="K513" t="str">
        <f>VLOOKUP(tbl_details5[[#This Row],[Order ID]],Table1[],5,FALSE)</f>
        <v>Bihar</v>
      </c>
      <c r="L513" t="str">
        <f>VLOOKUP(tbl_details5[[#This Row],[Order ID]],Table1[],6,FALSE)</f>
        <v>Patna</v>
      </c>
    </row>
    <row r="514" spans="1:12" x14ac:dyDescent="0.25">
      <c r="A514" t="s">
        <v>372</v>
      </c>
      <c r="B514" s="4">
        <v>248</v>
      </c>
      <c r="C514" s="4">
        <v>-70</v>
      </c>
      <c r="D514" s="5">
        <f>tbl_details5[[#This Row],[Profit]]/tbl_details5[[#This Row],[Revenue]]</f>
        <v>-0.28225806451612906</v>
      </c>
      <c r="E514">
        <v>3</v>
      </c>
      <c r="F514" t="s">
        <v>883</v>
      </c>
      <c r="G514" t="s">
        <v>893</v>
      </c>
      <c r="H514" s="1">
        <f>VLOOKUP(tbl_details5[[#This Row],[Order ID]],Orders!A:F,2,FALSE)</f>
        <v>43349</v>
      </c>
      <c r="I514" s="1" t="str">
        <f>TEXT(tbl_details5[[#This Row],[Order Date]],"mmm-yy")</f>
        <v>Sep-18</v>
      </c>
      <c r="J514" t="str">
        <f>VLOOKUP(tbl_details5[[#This Row],[Order ID]],Table1[],4,FALSE)</f>
        <v>Shreya</v>
      </c>
      <c r="K514" t="str">
        <f>VLOOKUP(tbl_details5[[#This Row],[Order ID]],Table1[],5,FALSE)</f>
        <v xml:space="preserve">Kerala </v>
      </c>
      <c r="L514" t="str">
        <f>VLOOKUP(tbl_details5[[#This Row],[Order ID]],Table1[],6,FALSE)</f>
        <v>Thiruvananthapuram</v>
      </c>
    </row>
    <row r="515" spans="1:12" x14ac:dyDescent="0.25">
      <c r="A515" t="s">
        <v>372</v>
      </c>
      <c r="B515" s="4">
        <v>85</v>
      </c>
      <c r="C515" s="4">
        <v>-9</v>
      </c>
      <c r="D515" s="5">
        <f>tbl_details5[[#This Row],[Profit]]/tbl_details5[[#This Row],[Revenue]]</f>
        <v>-0.10588235294117647</v>
      </c>
      <c r="E515">
        <v>4</v>
      </c>
      <c r="F515" t="s">
        <v>885</v>
      </c>
      <c r="G515" t="s">
        <v>891</v>
      </c>
      <c r="H515" s="1">
        <f>VLOOKUP(tbl_details5[[#This Row],[Order ID]],Orders!A:F,2,FALSE)</f>
        <v>43349</v>
      </c>
      <c r="I515" s="1" t="str">
        <f>TEXT(tbl_details5[[#This Row],[Order Date]],"mmm-yy")</f>
        <v>Sep-18</v>
      </c>
      <c r="J515" t="str">
        <f>VLOOKUP(tbl_details5[[#This Row],[Order ID]],Table1[],4,FALSE)</f>
        <v>Shreya</v>
      </c>
      <c r="K515" t="str">
        <f>VLOOKUP(tbl_details5[[#This Row],[Order ID]],Table1[],5,FALSE)</f>
        <v xml:space="preserve">Kerala </v>
      </c>
      <c r="L515" t="str">
        <f>VLOOKUP(tbl_details5[[#This Row],[Order ID]],Table1[],6,FALSE)</f>
        <v>Thiruvananthapuram</v>
      </c>
    </row>
    <row r="516" spans="1:12" x14ac:dyDescent="0.25">
      <c r="A516" t="s">
        <v>372</v>
      </c>
      <c r="B516" s="4">
        <v>24</v>
      </c>
      <c r="C516" s="4">
        <v>-14</v>
      </c>
      <c r="D516" s="5">
        <f>tbl_details5[[#This Row],[Profit]]/tbl_details5[[#This Row],[Revenue]]</f>
        <v>-0.58333333333333337</v>
      </c>
      <c r="E516">
        <v>2</v>
      </c>
      <c r="F516" t="s">
        <v>885</v>
      </c>
      <c r="G516" t="s">
        <v>891</v>
      </c>
      <c r="H516" s="1">
        <f>VLOOKUP(tbl_details5[[#This Row],[Order ID]],Orders!A:F,2,FALSE)</f>
        <v>43349</v>
      </c>
      <c r="I516" s="1" t="str">
        <f>TEXT(tbl_details5[[#This Row],[Order Date]],"mmm-yy")</f>
        <v>Sep-18</v>
      </c>
      <c r="J516" t="str">
        <f>VLOOKUP(tbl_details5[[#This Row],[Order ID]],Table1[],4,FALSE)</f>
        <v>Shreya</v>
      </c>
      <c r="K516" t="str">
        <f>VLOOKUP(tbl_details5[[#This Row],[Order ID]],Table1[],5,FALSE)</f>
        <v xml:space="preserve">Kerala </v>
      </c>
      <c r="L516" t="str">
        <f>VLOOKUP(tbl_details5[[#This Row],[Order ID]],Table1[],6,FALSE)</f>
        <v>Thiruvananthapuram</v>
      </c>
    </row>
    <row r="517" spans="1:12" x14ac:dyDescent="0.25">
      <c r="A517" t="s">
        <v>372</v>
      </c>
      <c r="B517" s="4">
        <v>209</v>
      </c>
      <c r="C517" s="4">
        <v>-21</v>
      </c>
      <c r="D517" s="5">
        <f>tbl_details5[[#This Row],[Profit]]/tbl_details5[[#This Row],[Revenue]]</f>
        <v>-0.10047846889952153</v>
      </c>
      <c r="E517">
        <v>2</v>
      </c>
      <c r="F517" t="s">
        <v>888</v>
      </c>
      <c r="G517" t="s">
        <v>889</v>
      </c>
      <c r="H517" s="1">
        <f>VLOOKUP(tbl_details5[[#This Row],[Order ID]],Orders!A:F,2,FALSE)</f>
        <v>43349</v>
      </c>
      <c r="I517" s="1" t="str">
        <f>TEXT(tbl_details5[[#This Row],[Order Date]],"mmm-yy")</f>
        <v>Sep-18</v>
      </c>
      <c r="J517" t="str">
        <f>VLOOKUP(tbl_details5[[#This Row],[Order ID]],Table1[],4,FALSE)</f>
        <v>Shreya</v>
      </c>
      <c r="K517" t="str">
        <f>VLOOKUP(tbl_details5[[#This Row],[Order ID]],Table1[],5,FALSE)</f>
        <v xml:space="preserve">Kerala </v>
      </c>
      <c r="L517" t="str">
        <f>VLOOKUP(tbl_details5[[#This Row],[Order ID]],Table1[],6,FALSE)</f>
        <v>Thiruvananthapuram</v>
      </c>
    </row>
    <row r="518" spans="1:12" x14ac:dyDescent="0.25">
      <c r="A518" t="s">
        <v>372</v>
      </c>
      <c r="B518" s="4">
        <v>224</v>
      </c>
      <c r="C518" s="4">
        <v>-143</v>
      </c>
      <c r="D518" s="5">
        <f>tbl_details5[[#This Row],[Profit]]/tbl_details5[[#This Row],[Revenue]]</f>
        <v>-0.6383928571428571</v>
      </c>
      <c r="E518">
        <v>3</v>
      </c>
      <c r="F518" t="s">
        <v>883</v>
      </c>
      <c r="G518" t="s">
        <v>893</v>
      </c>
      <c r="H518" s="1">
        <f>VLOOKUP(tbl_details5[[#This Row],[Order ID]],Orders!A:F,2,FALSE)</f>
        <v>43349</v>
      </c>
      <c r="I518" s="1" t="str">
        <f>TEXT(tbl_details5[[#This Row],[Order Date]],"mmm-yy")</f>
        <v>Sep-18</v>
      </c>
      <c r="J518" t="str">
        <f>VLOOKUP(tbl_details5[[#This Row],[Order ID]],Table1[],4,FALSE)</f>
        <v>Shreya</v>
      </c>
      <c r="K518" t="str">
        <f>VLOOKUP(tbl_details5[[#This Row],[Order ID]],Table1[],5,FALSE)</f>
        <v xml:space="preserve">Kerala </v>
      </c>
      <c r="L518" t="str">
        <f>VLOOKUP(tbl_details5[[#This Row],[Order ID]],Table1[],6,FALSE)</f>
        <v>Thiruvananthapuram</v>
      </c>
    </row>
    <row r="519" spans="1:12" x14ac:dyDescent="0.25">
      <c r="A519" t="s">
        <v>373</v>
      </c>
      <c r="B519" s="4">
        <v>38</v>
      </c>
      <c r="C519" s="4">
        <v>-6</v>
      </c>
      <c r="D519" s="5">
        <f>tbl_details5[[#This Row],[Profit]]/tbl_details5[[#This Row],[Revenue]]</f>
        <v>-0.15789473684210525</v>
      </c>
      <c r="E519">
        <v>2</v>
      </c>
      <c r="F519" t="s">
        <v>883</v>
      </c>
      <c r="G519" t="s">
        <v>901</v>
      </c>
      <c r="H519" s="1">
        <f>VLOOKUP(tbl_details5[[#This Row],[Order ID]],Orders!A:F,2,FALSE)</f>
        <v>43350</v>
      </c>
      <c r="I519" s="1" t="str">
        <f>TEXT(tbl_details5[[#This Row],[Order Date]],"mmm-yy")</f>
        <v>Sep-18</v>
      </c>
      <c r="J519" t="str">
        <f>VLOOKUP(tbl_details5[[#This Row],[Order ID]],Table1[],4,FALSE)</f>
        <v>Snehal</v>
      </c>
      <c r="K519" t="str">
        <f>VLOOKUP(tbl_details5[[#This Row],[Order ID]],Table1[],5,FALSE)</f>
        <v>Punjab</v>
      </c>
      <c r="L519" t="str">
        <f>VLOOKUP(tbl_details5[[#This Row],[Order ID]],Table1[],6,FALSE)</f>
        <v>Chandigarh</v>
      </c>
    </row>
    <row r="520" spans="1:12" x14ac:dyDescent="0.25">
      <c r="A520" t="s">
        <v>375</v>
      </c>
      <c r="B520" s="4">
        <v>50</v>
      </c>
      <c r="C520" s="4">
        <v>-17</v>
      </c>
      <c r="D520" s="5">
        <f>tbl_details5[[#This Row],[Profit]]/tbl_details5[[#This Row],[Revenue]]</f>
        <v>-0.34</v>
      </c>
      <c r="E520">
        <v>2</v>
      </c>
      <c r="F520" t="s">
        <v>885</v>
      </c>
      <c r="G520" t="s">
        <v>886</v>
      </c>
      <c r="H520" s="1">
        <f>VLOOKUP(tbl_details5[[#This Row],[Order ID]],Orders!A:F,2,FALSE)</f>
        <v>43351</v>
      </c>
      <c r="I520" s="1" t="str">
        <f>TEXT(tbl_details5[[#This Row],[Order Date]],"mmm-yy")</f>
        <v>Sep-18</v>
      </c>
      <c r="J520" t="str">
        <f>VLOOKUP(tbl_details5[[#This Row],[Order ID]],Table1[],4,FALSE)</f>
        <v>Duhita</v>
      </c>
      <c r="K520" t="str">
        <f>VLOOKUP(tbl_details5[[#This Row],[Order ID]],Table1[],5,FALSE)</f>
        <v>Haryana</v>
      </c>
      <c r="L520" t="str">
        <f>VLOOKUP(tbl_details5[[#This Row],[Order ID]],Table1[],6,FALSE)</f>
        <v>Chandigarh</v>
      </c>
    </row>
    <row r="521" spans="1:12" x14ac:dyDescent="0.25">
      <c r="A521" t="s">
        <v>377</v>
      </c>
      <c r="B521" s="4">
        <v>47</v>
      </c>
      <c r="C521" s="4">
        <v>-20</v>
      </c>
      <c r="D521" s="5">
        <f>tbl_details5[[#This Row],[Profit]]/tbl_details5[[#This Row],[Revenue]]</f>
        <v>-0.42553191489361702</v>
      </c>
      <c r="E521">
        <v>2</v>
      </c>
      <c r="F521" t="s">
        <v>885</v>
      </c>
      <c r="G521" t="s">
        <v>894</v>
      </c>
      <c r="H521" s="1">
        <f>VLOOKUP(tbl_details5[[#This Row],[Order ID]],Orders!A:F,2,FALSE)</f>
        <v>43352</v>
      </c>
      <c r="I521" s="1" t="str">
        <f>TEXT(tbl_details5[[#This Row],[Order Date]],"mmm-yy")</f>
        <v>Sep-18</v>
      </c>
      <c r="J521" t="str">
        <f>VLOOKUP(tbl_details5[[#This Row],[Order ID]],Table1[],4,FALSE)</f>
        <v>Mousam</v>
      </c>
      <c r="K521" t="str">
        <f>VLOOKUP(tbl_details5[[#This Row],[Order ID]],Table1[],5,FALSE)</f>
        <v>Maharashtra</v>
      </c>
      <c r="L521" t="str">
        <f>VLOOKUP(tbl_details5[[#This Row],[Order ID]],Table1[],6,FALSE)</f>
        <v>Mumbai</v>
      </c>
    </row>
    <row r="522" spans="1:12" x14ac:dyDescent="0.25">
      <c r="A522" t="s">
        <v>379</v>
      </c>
      <c r="B522" s="4">
        <v>61</v>
      </c>
      <c r="C522" s="4">
        <v>-25</v>
      </c>
      <c r="D522" s="5">
        <f>tbl_details5[[#This Row],[Profit]]/tbl_details5[[#This Row],[Revenue]]</f>
        <v>-0.4098360655737705</v>
      </c>
      <c r="E522">
        <v>4</v>
      </c>
      <c r="F522" t="s">
        <v>888</v>
      </c>
      <c r="G522" t="s">
        <v>900</v>
      </c>
      <c r="H522" s="1">
        <f>VLOOKUP(tbl_details5[[#This Row],[Order ID]],Orders!A:F,2,FALSE)</f>
        <v>43353</v>
      </c>
      <c r="I522" s="1" t="str">
        <f>TEXT(tbl_details5[[#This Row],[Order Date]],"mmm-yy")</f>
        <v>Sep-18</v>
      </c>
      <c r="J522" t="str">
        <f>VLOOKUP(tbl_details5[[#This Row],[Order ID]],Table1[],4,FALSE)</f>
        <v>Aditi</v>
      </c>
      <c r="K522" t="str">
        <f>VLOOKUP(tbl_details5[[#This Row],[Order ID]],Table1[],5,FALSE)</f>
        <v>Madhya Pradesh</v>
      </c>
      <c r="L522" t="str">
        <f>VLOOKUP(tbl_details5[[#This Row],[Order ID]],Table1[],6,FALSE)</f>
        <v>Indore</v>
      </c>
    </row>
    <row r="523" spans="1:12" x14ac:dyDescent="0.25">
      <c r="A523" t="s">
        <v>379</v>
      </c>
      <c r="B523" s="4">
        <v>69</v>
      </c>
      <c r="C523" s="4">
        <v>-67</v>
      </c>
      <c r="D523" s="5">
        <f>tbl_details5[[#This Row],[Profit]]/tbl_details5[[#This Row],[Revenue]]</f>
        <v>-0.97101449275362317</v>
      </c>
      <c r="E523">
        <v>4</v>
      </c>
      <c r="F523" t="s">
        <v>885</v>
      </c>
      <c r="G523" t="s">
        <v>894</v>
      </c>
      <c r="H523" s="1">
        <f>VLOOKUP(tbl_details5[[#This Row],[Order ID]],Orders!A:F,2,FALSE)</f>
        <v>43353</v>
      </c>
      <c r="I523" s="1" t="str">
        <f>TEXT(tbl_details5[[#This Row],[Order Date]],"mmm-yy")</f>
        <v>Sep-18</v>
      </c>
      <c r="J523" t="str">
        <f>VLOOKUP(tbl_details5[[#This Row],[Order ID]],Table1[],4,FALSE)</f>
        <v>Aditi</v>
      </c>
      <c r="K523" t="str">
        <f>VLOOKUP(tbl_details5[[#This Row],[Order ID]],Table1[],5,FALSE)</f>
        <v>Madhya Pradesh</v>
      </c>
      <c r="L523" t="str">
        <f>VLOOKUP(tbl_details5[[#This Row],[Order ID]],Table1[],6,FALSE)</f>
        <v>Indore</v>
      </c>
    </row>
    <row r="524" spans="1:12" x14ac:dyDescent="0.25">
      <c r="A524" t="s">
        <v>379</v>
      </c>
      <c r="B524" s="4">
        <v>59</v>
      </c>
      <c r="C524" s="4">
        <v>-46</v>
      </c>
      <c r="D524" s="5">
        <f>tbl_details5[[#This Row],[Profit]]/tbl_details5[[#This Row],[Revenue]]</f>
        <v>-0.77966101694915257</v>
      </c>
      <c r="E524">
        <v>7</v>
      </c>
      <c r="F524" t="s">
        <v>885</v>
      </c>
      <c r="G524" t="s">
        <v>895</v>
      </c>
      <c r="H524" s="1">
        <f>VLOOKUP(tbl_details5[[#This Row],[Order ID]],Orders!A:F,2,FALSE)</f>
        <v>43353</v>
      </c>
      <c r="I524" s="1" t="str">
        <f>TEXT(tbl_details5[[#This Row],[Order Date]],"mmm-yy")</f>
        <v>Sep-18</v>
      </c>
      <c r="J524" t="str">
        <f>VLOOKUP(tbl_details5[[#This Row],[Order ID]],Table1[],4,FALSE)</f>
        <v>Aditi</v>
      </c>
      <c r="K524" t="str">
        <f>VLOOKUP(tbl_details5[[#This Row],[Order ID]],Table1[],5,FALSE)</f>
        <v>Madhya Pradesh</v>
      </c>
      <c r="L524" t="str">
        <f>VLOOKUP(tbl_details5[[#This Row],[Order ID]],Table1[],6,FALSE)</f>
        <v>Indore</v>
      </c>
    </row>
    <row r="525" spans="1:12" x14ac:dyDescent="0.25">
      <c r="A525" t="s">
        <v>379</v>
      </c>
      <c r="B525" s="4">
        <v>117</v>
      </c>
      <c r="C525" s="4">
        <v>17</v>
      </c>
      <c r="D525" s="5">
        <f>tbl_details5[[#This Row],[Profit]]/tbl_details5[[#This Row],[Revenue]]</f>
        <v>0.14529914529914531</v>
      </c>
      <c r="E525">
        <v>6</v>
      </c>
      <c r="F525" t="s">
        <v>885</v>
      </c>
      <c r="G525" t="s">
        <v>894</v>
      </c>
      <c r="H525" s="1">
        <f>VLOOKUP(tbl_details5[[#This Row],[Order ID]],Orders!A:F,2,FALSE)</f>
        <v>43353</v>
      </c>
      <c r="I525" s="1" t="str">
        <f>TEXT(tbl_details5[[#This Row],[Order Date]],"mmm-yy")</f>
        <v>Sep-18</v>
      </c>
      <c r="J525" t="str">
        <f>VLOOKUP(tbl_details5[[#This Row],[Order ID]],Table1[],4,FALSE)</f>
        <v>Aditi</v>
      </c>
      <c r="K525" t="str">
        <f>VLOOKUP(tbl_details5[[#This Row],[Order ID]],Table1[],5,FALSE)</f>
        <v>Madhya Pradesh</v>
      </c>
      <c r="L525" t="str">
        <f>VLOOKUP(tbl_details5[[#This Row],[Order ID]],Table1[],6,FALSE)</f>
        <v>Indore</v>
      </c>
    </row>
    <row r="526" spans="1:12" x14ac:dyDescent="0.25">
      <c r="A526" t="s">
        <v>379</v>
      </c>
      <c r="B526" s="4">
        <v>1076</v>
      </c>
      <c r="C526" s="4">
        <v>-38</v>
      </c>
      <c r="D526" s="5">
        <f>tbl_details5[[#This Row],[Profit]]/tbl_details5[[#This Row],[Revenue]]</f>
        <v>-3.5315985130111527E-2</v>
      </c>
      <c r="E526">
        <v>4</v>
      </c>
      <c r="F526" t="s">
        <v>888</v>
      </c>
      <c r="G526" t="s">
        <v>899</v>
      </c>
      <c r="H526" s="1">
        <f>VLOOKUP(tbl_details5[[#This Row],[Order ID]],Orders!A:F,2,FALSE)</f>
        <v>43353</v>
      </c>
      <c r="I526" s="1" t="str">
        <f>TEXT(tbl_details5[[#This Row],[Order Date]],"mmm-yy")</f>
        <v>Sep-18</v>
      </c>
      <c r="J526" t="str">
        <f>VLOOKUP(tbl_details5[[#This Row],[Order ID]],Table1[],4,FALSE)</f>
        <v>Aditi</v>
      </c>
      <c r="K526" t="str">
        <f>VLOOKUP(tbl_details5[[#This Row],[Order ID]],Table1[],5,FALSE)</f>
        <v>Madhya Pradesh</v>
      </c>
      <c r="L526" t="str">
        <f>VLOOKUP(tbl_details5[[#This Row],[Order ID]],Table1[],6,FALSE)</f>
        <v>Indore</v>
      </c>
    </row>
    <row r="527" spans="1:12" x14ac:dyDescent="0.25">
      <c r="A527" t="s">
        <v>381</v>
      </c>
      <c r="B527" s="4">
        <v>1506</v>
      </c>
      <c r="C527" s="4">
        <v>-266</v>
      </c>
      <c r="D527" s="5">
        <f>tbl_details5[[#This Row],[Profit]]/tbl_details5[[#This Row],[Revenue]]</f>
        <v>-0.17662682602921648</v>
      </c>
      <c r="E527">
        <v>6</v>
      </c>
      <c r="F527" t="s">
        <v>888</v>
      </c>
      <c r="G527" t="s">
        <v>899</v>
      </c>
      <c r="H527" s="1">
        <f>VLOOKUP(tbl_details5[[#This Row],[Order ID]],Orders!A:F,2,FALSE)</f>
        <v>43354</v>
      </c>
      <c r="I527" s="1" t="str">
        <f>TEXT(tbl_details5[[#This Row],[Order Date]],"mmm-yy")</f>
        <v>Sep-18</v>
      </c>
      <c r="J527" t="str">
        <f>VLOOKUP(tbl_details5[[#This Row],[Order ID]],Table1[],4,FALSE)</f>
        <v>Surabhi</v>
      </c>
      <c r="K527" t="str">
        <f>VLOOKUP(tbl_details5[[#This Row],[Order ID]],Table1[],5,FALSE)</f>
        <v>Maharashtra</v>
      </c>
      <c r="L527" t="str">
        <f>VLOOKUP(tbl_details5[[#This Row],[Order ID]],Table1[],6,FALSE)</f>
        <v>Mumbai</v>
      </c>
    </row>
    <row r="528" spans="1:12" x14ac:dyDescent="0.25">
      <c r="A528" t="s">
        <v>381</v>
      </c>
      <c r="B528" s="4">
        <v>109</v>
      </c>
      <c r="C528" s="4">
        <v>-6</v>
      </c>
      <c r="D528" s="5">
        <f>tbl_details5[[#This Row],[Profit]]/tbl_details5[[#This Row],[Revenue]]</f>
        <v>-5.5045871559633031E-2</v>
      </c>
      <c r="E528">
        <v>6</v>
      </c>
      <c r="F528" t="s">
        <v>885</v>
      </c>
      <c r="G528" t="s">
        <v>891</v>
      </c>
      <c r="H528" s="1">
        <f>VLOOKUP(tbl_details5[[#This Row],[Order ID]],Orders!A:F,2,FALSE)</f>
        <v>43354</v>
      </c>
      <c r="I528" s="1" t="str">
        <f>TEXT(tbl_details5[[#This Row],[Order Date]],"mmm-yy")</f>
        <v>Sep-18</v>
      </c>
      <c r="J528" t="str">
        <f>VLOOKUP(tbl_details5[[#This Row],[Order ID]],Table1[],4,FALSE)</f>
        <v>Surabhi</v>
      </c>
      <c r="K528" t="str">
        <f>VLOOKUP(tbl_details5[[#This Row],[Order ID]],Table1[],5,FALSE)</f>
        <v>Maharashtra</v>
      </c>
      <c r="L528" t="str">
        <f>VLOOKUP(tbl_details5[[#This Row],[Order ID]],Table1[],6,FALSE)</f>
        <v>Mumbai</v>
      </c>
    </row>
    <row r="529" spans="1:12" x14ac:dyDescent="0.25">
      <c r="A529" t="s">
        <v>381</v>
      </c>
      <c r="B529" s="4">
        <v>933</v>
      </c>
      <c r="C529" s="4">
        <v>166</v>
      </c>
      <c r="D529" s="5">
        <f>tbl_details5[[#This Row],[Profit]]/tbl_details5[[#This Row],[Revenue]]</f>
        <v>0.17792068595927116</v>
      </c>
      <c r="E529">
        <v>5</v>
      </c>
      <c r="F529" t="s">
        <v>885</v>
      </c>
      <c r="G529" t="s">
        <v>891</v>
      </c>
      <c r="H529" s="1">
        <f>VLOOKUP(tbl_details5[[#This Row],[Order ID]],Orders!A:F,2,FALSE)</f>
        <v>43354</v>
      </c>
      <c r="I529" s="1" t="str">
        <f>TEXT(tbl_details5[[#This Row],[Order Date]],"mmm-yy")</f>
        <v>Sep-18</v>
      </c>
      <c r="J529" t="str">
        <f>VLOOKUP(tbl_details5[[#This Row],[Order ID]],Table1[],4,FALSE)</f>
        <v>Surabhi</v>
      </c>
      <c r="K529" t="str">
        <f>VLOOKUP(tbl_details5[[#This Row],[Order ID]],Table1[],5,FALSE)</f>
        <v>Maharashtra</v>
      </c>
      <c r="L529" t="str">
        <f>VLOOKUP(tbl_details5[[#This Row],[Order ID]],Table1[],6,FALSE)</f>
        <v>Mumbai</v>
      </c>
    </row>
    <row r="530" spans="1:12" x14ac:dyDescent="0.25">
      <c r="A530" t="s">
        <v>381</v>
      </c>
      <c r="B530" s="4">
        <v>724</v>
      </c>
      <c r="C530" s="4">
        <v>-447</v>
      </c>
      <c r="D530" s="5">
        <f>tbl_details5[[#This Row],[Profit]]/tbl_details5[[#This Row],[Revenue]]</f>
        <v>-0.61740331491712708</v>
      </c>
      <c r="E530">
        <v>4</v>
      </c>
      <c r="F530" t="s">
        <v>888</v>
      </c>
      <c r="G530" t="s">
        <v>889</v>
      </c>
      <c r="H530" s="1">
        <f>VLOOKUP(tbl_details5[[#This Row],[Order ID]],Orders!A:F,2,FALSE)</f>
        <v>43354</v>
      </c>
      <c r="I530" s="1" t="str">
        <f>TEXT(tbl_details5[[#This Row],[Order Date]],"mmm-yy")</f>
        <v>Sep-18</v>
      </c>
      <c r="J530" t="str">
        <f>VLOOKUP(tbl_details5[[#This Row],[Order ID]],Table1[],4,FALSE)</f>
        <v>Surabhi</v>
      </c>
      <c r="K530" t="str">
        <f>VLOOKUP(tbl_details5[[#This Row],[Order ID]],Table1[],5,FALSE)</f>
        <v>Maharashtra</v>
      </c>
      <c r="L530" t="str">
        <f>VLOOKUP(tbl_details5[[#This Row],[Order ID]],Table1[],6,FALSE)</f>
        <v>Mumbai</v>
      </c>
    </row>
    <row r="531" spans="1:12" x14ac:dyDescent="0.25">
      <c r="A531" t="s">
        <v>382</v>
      </c>
      <c r="B531" s="4">
        <v>1361</v>
      </c>
      <c r="C531" s="4">
        <v>-980</v>
      </c>
      <c r="D531" s="5">
        <f>tbl_details5[[#This Row],[Profit]]/tbl_details5[[#This Row],[Revenue]]</f>
        <v>-0.7200587803085966</v>
      </c>
      <c r="E531">
        <v>3</v>
      </c>
      <c r="F531" t="s">
        <v>883</v>
      </c>
      <c r="G531" t="s">
        <v>898</v>
      </c>
      <c r="H531" s="1">
        <f>VLOOKUP(tbl_details5[[#This Row],[Order ID]],Orders!A:F,2,FALSE)</f>
        <v>43355</v>
      </c>
      <c r="I531" s="1" t="str">
        <f>TEXT(tbl_details5[[#This Row],[Order Date]],"mmm-yy")</f>
        <v>Sep-18</v>
      </c>
      <c r="J531" t="str">
        <f>VLOOKUP(tbl_details5[[#This Row],[Order ID]],Table1[],4,FALSE)</f>
        <v>Savi</v>
      </c>
      <c r="K531" t="str">
        <f>VLOOKUP(tbl_details5[[#This Row],[Order ID]],Table1[],5,FALSE)</f>
        <v>Madhya Pradesh</v>
      </c>
      <c r="L531" t="str">
        <f>VLOOKUP(tbl_details5[[#This Row],[Order ID]],Table1[],6,FALSE)</f>
        <v>Indore</v>
      </c>
    </row>
    <row r="532" spans="1:12" x14ac:dyDescent="0.25">
      <c r="A532" t="s">
        <v>384</v>
      </c>
      <c r="B532" s="4">
        <v>137</v>
      </c>
      <c r="C532" s="4">
        <v>-41</v>
      </c>
      <c r="D532" s="5">
        <f>tbl_details5[[#This Row],[Profit]]/tbl_details5[[#This Row],[Revenue]]</f>
        <v>-0.29927007299270075</v>
      </c>
      <c r="E532">
        <v>3</v>
      </c>
      <c r="F532" t="s">
        <v>888</v>
      </c>
      <c r="G532" t="s">
        <v>890</v>
      </c>
      <c r="H532" s="1">
        <f>VLOOKUP(tbl_details5[[#This Row],[Order ID]],Orders!A:F,2,FALSE)</f>
        <v>43356</v>
      </c>
      <c r="I532" s="1" t="str">
        <f>TEXT(tbl_details5[[#This Row],[Order Date]],"mmm-yy")</f>
        <v>Sep-18</v>
      </c>
      <c r="J532" t="str">
        <f>VLOOKUP(tbl_details5[[#This Row],[Order ID]],Table1[],4,FALSE)</f>
        <v>Teena</v>
      </c>
      <c r="K532" t="str">
        <f>VLOOKUP(tbl_details5[[#This Row],[Order ID]],Table1[],5,FALSE)</f>
        <v>Andhra Pradesh</v>
      </c>
      <c r="L532" t="str">
        <f>VLOOKUP(tbl_details5[[#This Row],[Order ID]],Table1[],6,FALSE)</f>
        <v>Hyderabad</v>
      </c>
    </row>
    <row r="533" spans="1:12" x14ac:dyDescent="0.25">
      <c r="A533" t="s">
        <v>386</v>
      </c>
      <c r="B533" s="4">
        <v>60</v>
      </c>
      <c r="C533" s="4">
        <v>-49</v>
      </c>
      <c r="D533" s="5">
        <f>tbl_details5[[#This Row],[Profit]]/tbl_details5[[#This Row],[Revenue]]</f>
        <v>-0.81666666666666665</v>
      </c>
      <c r="E533">
        <v>8</v>
      </c>
      <c r="F533" t="s">
        <v>885</v>
      </c>
      <c r="G533" t="s">
        <v>887</v>
      </c>
      <c r="H533" s="1">
        <f>VLOOKUP(tbl_details5[[#This Row],[Order ID]],Orders!A:F,2,FALSE)</f>
        <v>43357</v>
      </c>
      <c r="I533" s="1" t="str">
        <f>TEXT(tbl_details5[[#This Row],[Order Date]],"mmm-yy")</f>
        <v>Sep-18</v>
      </c>
      <c r="J533" t="str">
        <f>VLOOKUP(tbl_details5[[#This Row],[Order ID]],Table1[],4,FALSE)</f>
        <v>Rutuja</v>
      </c>
      <c r="K533" t="str">
        <f>VLOOKUP(tbl_details5[[#This Row],[Order ID]],Table1[],5,FALSE)</f>
        <v>Gujarat</v>
      </c>
      <c r="L533" t="str">
        <f>VLOOKUP(tbl_details5[[#This Row],[Order ID]],Table1[],6,FALSE)</f>
        <v>Ahmedabad</v>
      </c>
    </row>
    <row r="534" spans="1:12" x14ac:dyDescent="0.25">
      <c r="A534" t="s">
        <v>386</v>
      </c>
      <c r="B534" s="4">
        <v>30</v>
      </c>
      <c r="C534" s="4">
        <v>-25</v>
      </c>
      <c r="D534" s="5">
        <f>tbl_details5[[#This Row],[Profit]]/tbl_details5[[#This Row],[Revenue]]</f>
        <v>-0.83333333333333337</v>
      </c>
      <c r="E534">
        <v>2</v>
      </c>
      <c r="F534" t="s">
        <v>885</v>
      </c>
      <c r="G534" t="s">
        <v>895</v>
      </c>
      <c r="H534" s="1">
        <f>VLOOKUP(tbl_details5[[#This Row],[Order ID]],Orders!A:F,2,FALSE)</f>
        <v>43357</v>
      </c>
      <c r="I534" s="1" t="str">
        <f>TEXT(tbl_details5[[#This Row],[Order Date]],"mmm-yy")</f>
        <v>Sep-18</v>
      </c>
      <c r="J534" t="str">
        <f>VLOOKUP(tbl_details5[[#This Row],[Order ID]],Table1[],4,FALSE)</f>
        <v>Rutuja</v>
      </c>
      <c r="K534" t="str">
        <f>VLOOKUP(tbl_details5[[#This Row],[Order ID]],Table1[],5,FALSE)</f>
        <v>Gujarat</v>
      </c>
      <c r="L534" t="str">
        <f>VLOOKUP(tbl_details5[[#This Row],[Order ID]],Table1[],6,FALSE)</f>
        <v>Ahmedabad</v>
      </c>
    </row>
    <row r="535" spans="1:12" x14ac:dyDescent="0.25">
      <c r="A535" t="s">
        <v>386</v>
      </c>
      <c r="B535" s="4">
        <v>767</v>
      </c>
      <c r="C535" s="4">
        <v>-353</v>
      </c>
      <c r="D535" s="5">
        <f>tbl_details5[[#This Row],[Profit]]/tbl_details5[[#This Row],[Revenue]]</f>
        <v>-0.46023468057366362</v>
      </c>
      <c r="E535">
        <v>5</v>
      </c>
      <c r="F535" t="s">
        <v>885</v>
      </c>
      <c r="G535" t="s">
        <v>892</v>
      </c>
      <c r="H535" s="1">
        <f>VLOOKUP(tbl_details5[[#This Row],[Order ID]],Orders!A:F,2,FALSE)</f>
        <v>43357</v>
      </c>
      <c r="I535" s="1" t="str">
        <f>TEXT(tbl_details5[[#This Row],[Order Date]],"mmm-yy")</f>
        <v>Sep-18</v>
      </c>
      <c r="J535" t="str">
        <f>VLOOKUP(tbl_details5[[#This Row],[Order ID]],Table1[],4,FALSE)</f>
        <v>Rutuja</v>
      </c>
      <c r="K535" t="str">
        <f>VLOOKUP(tbl_details5[[#This Row],[Order ID]],Table1[],5,FALSE)</f>
        <v>Gujarat</v>
      </c>
      <c r="L535" t="str">
        <f>VLOOKUP(tbl_details5[[#This Row],[Order ID]],Table1[],6,FALSE)</f>
        <v>Ahmedabad</v>
      </c>
    </row>
    <row r="536" spans="1:12" x14ac:dyDescent="0.25">
      <c r="A536" t="s">
        <v>386</v>
      </c>
      <c r="B536" s="4">
        <v>45</v>
      </c>
      <c r="C536" s="4">
        <v>-28</v>
      </c>
      <c r="D536" s="5">
        <f>tbl_details5[[#This Row],[Profit]]/tbl_details5[[#This Row],[Revenue]]</f>
        <v>-0.62222222222222223</v>
      </c>
      <c r="E536">
        <v>2</v>
      </c>
      <c r="F536" t="s">
        <v>885</v>
      </c>
      <c r="G536" t="s">
        <v>886</v>
      </c>
      <c r="H536" s="1">
        <f>VLOOKUP(tbl_details5[[#This Row],[Order ID]],Orders!A:F,2,FALSE)</f>
        <v>43357</v>
      </c>
      <c r="I536" s="1" t="str">
        <f>TEXT(tbl_details5[[#This Row],[Order Date]],"mmm-yy")</f>
        <v>Sep-18</v>
      </c>
      <c r="J536" t="str">
        <f>VLOOKUP(tbl_details5[[#This Row],[Order ID]],Table1[],4,FALSE)</f>
        <v>Rutuja</v>
      </c>
      <c r="K536" t="str">
        <f>VLOOKUP(tbl_details5[[#This Row],[Order ID]],Table1[],5,FALSE)</f>
        <v>Gujarat</v>
      </c>
      <c r="L536" t="str">
        <f>VLOOKUP(tbl_details5[[#This Row],[Order ID]],Table1[],6,FALSE)</f>
        <v>Ahmedabad</v>
      </c>
    </row>
    <row r="537" spans="1:12" x14ac:dyDescent="0.25">
      <c r="A537" t="s">
        <v>386</v>
      </c>
      <c r="B537" s="4">
        <v>25</v>
      </c>
      <c r="C537" s="4">
        <v>-1</v>
      </c>
      <c r="D537" s="5">
        <f>tbl_details5[[#This Row],[Profit]]/tbl_details5[[#This Row],[Revenue]]</f>
        <v>-0.04</v>
      </c>
      <c r="E537">
        <v>4</v>
      </c>
      <c r="F537" t="s">
        <v>885</v>
      </c>
      <c r="G537" t="s">
        <v>894</v>
      </c>
      <c r="H537" s="1">
        <f>VLOOKUP(tbl_details5[[#This Row],[Order ID]],Orders!A:F,2,FALSE)</f>
        <v>43357</v>
      </c>
      <c r="I537" s="1" t="str">
        <f>TEXT(tbl_details5[[#This Row],[Order Date]],"mmm-yy")</f>
        <v>Sep-18</v>
      </c>
      <c r="J537" t="str">
        <f>VLOOKUP(tbl_details5[[#This Row],[Order ID]],Table1[],4,FALSE)</f>
        <v>Rutuja</v>
      </c>
      <c r="K537" t="str">
        <f>VLOOKUP(tbl_details5[[#This Row],[Order ID]],Table1[],5,FALSE)</f>
        <v>Gujarat</v>
      </c>
      <c r="L537" t="str">
        <f>VLOOKUP(tbl_details5[[#This Row],[Order ID]],Table1[],6,FALSE)</f>
        <v>Ahmedabad</v>
      </c>
    </row>
    <row r="538" spans="1:12" x14ac:dyDescent="0.25">
      <c r="A538" t="s">
        <v>386</v>
      </c>
      <c r="B538" s="4">
        <v>584</v>
      </c>
      <c r="C538" s="4">
        <v>-444</v>
      </c>
      <c r="D538" s="5">
        <f>tbl_details5[[#This Row],[Profit]]/tbl_details5[[#This Row],[Revenue]]</f>
        <v>-0.76027397260273977</v>
      </c>
      <c r="E538">
        <v>7</v>
      </c>
      <c r="F538" t="s">
        <v>888</v>
      </c>
      <c r="G538" t="s">
        <v>899</v>
      </c>
      <c r="H538" s="1">
        <f>VLOOKUP(tbl_details5[[#This Row],[Order ID]],Orders!A:F,2,FALSE)</f>
        <v>43357</v>
      </c>
      <c r="I538" s="1" t="str">
        <f>TEXT(tbl_details5[[#This Row],[Order Date]],"mmm-yy")</f>
        <v>Sep-18</v>
      </c>
      <c r="J538" t="str">
        <f>VLOOKUP(tbl_details5[[#This Row],[Order ID]],Table1[],4,FALSE)</f>
        <v>Rutuja</v>
      </c>
      <c r="K538" t="str">
        <f>VLOOKUP(tbl_details5[[#This Row],[Order ID]],Table1[],5,FALSE)</f>
        <v>Gujarat</v>
      </c>
      <c r="L538" t="str">
        <f>VLOOKUP(tbl_details5[[#This Row],[Order ID]],Table1[],6,FALSE)</f>
        <v>Ahmedabad</v>
      </c>
    </row>
    <row r="539" spans="1:12" x14ac:dyDescent="0.25">
      <c r="A539" t="s">
        <v>388</v>
      </c>
      <c r="B539" s="4">
        <v>335</v>
      </c>
      <c r="C539" s="4">
        <v>-22</v>
      </c>
      <c r="D539" s="5">
        <f>tbl_details5[[#This Row],[Profit]]/tbl_details5[[#This Row],[Revenue]]</f>
        <v>-6.5671641791044774E-2</v>
      </c>
      <c r="E539">
        <v>7</v>
      </c>
      <c r="F539" t="s">
        <v>883</v>
      </c>
      <c r="G539" t="s">
        <v>893</v>
      </c>
      <c r="H539" s="1">
        <f>VLOOKUP(tbl_details5[[#This Row],[Order ID]],Orders!A:F,2,FALSE)</f>
        <v>43358</v>
      </c>
      <c r="I539" s="1" t="str">
        <f>TEXT(tbl_details5[[#This Row],[Order Date]],"mmm-yy")</f>
        <v>Sep-18</v>
      </c>
      <c r="J539" t="str">
        <f>VLOOKUP(tbl_details5[[#This Row],[Order ID]],Table1[],4,FALSE)</f>
        <v>Aayushi</v>
      </c>
      <c r="K539" t="str">
        <f>VLOOKUP(tbl_details5[[#This Row],[Order ID]],Table1[],5,FALSE)</f>
        <v>Maharashtra</v>
      </c>
      <c r="L539" t="str">
        <f>VLOOKUP(tbl_details5[[#This Row],[Order ID]],Table1[],6,FALSE)</f>
        <v>Mumbai</v>
      </c>
    </row>
    <row r="540" spans="1:12" x14ac:dyDescent="0.25">
      <c r="A540" t="s">
        <v>389</v>
      </c>
      <c r="B540" s="4">
        <v>25</v>
      </c>
      <c r="C540" s="4">
        <v>-11</v>
      </c>
      <c r="D540" s="5">
        <f>tbl_details5[[#This Row],[Profit]]/tbl_details5[[#This Row],[Revenue]]</f>
        <v>-0.44</v>
      </c>
      <c r="E540">
        <v>1</v>
      </c>
      <c r="F540" t="s">
        <v>885</v>
      </c>
      <c r="G540" t="s">
        <v>886</v>
      </c>
      <c r="H540" s="1">
        <f>VLOOKUP(tbl_details5[[#This Row],[Order ID]],Orders!A:F,2,FALSE)</f>
        <v>43358</v>
      </c>
      <c r="I540" s="1" t="str">
        <f>TEXT(tbl_details5[[#This Row],[Order Date]],"mmm-yy")</f>
        <v>Sep-18</v>
      </c>
      <c r="J540" t="str">
        <f>VLOOKUP(tbl_details5[[#This Row],[Order ID]],Table1[],4,FALSE)</f>
        <v>Shivangi</v>
      </c>
      <c r="K540" t="str">
        <f>VLOOKUP(tbl_details5[[#This Row],[Order ID]],Table1[],5,FALSE)</f>
        <v>Madhya Pradesh</v>
      </c>
      <c r="L540" t="str">
        <f>VLOOKUP(tbl_details5[[#This Row],[Order ID]],Table1[],6,FALSE)</f>
        <v>Indore</v>
      </c>
    </row>
    <row r="541" spans="1:12" x14ac:dyDescent="0.25">
      <c r="A541" t="s">
        <v>389</v>
      </c>
      <c r="B541" s="4">
        <v>30</v>
      </c>
      <c r="C541" s="4">
        <v>-6</v>
      </c>
      <c r="D541" s="5">
        <f>tbl_details5[[#This Row],[Profit]]/tbl_details5[[#This Row],[Revenue]]</f>
        <v>-0.2</v>
      </c>
      <c r="E541">
        <v>2</v>
      </c>
      <c r="F541" t="s">
        <v>885</v>
      </c>
      <c r="G541" t="s">
        <v>887</v>
      </c>
      <c r="H541" s="1">
        <f>VLOOKUP(tbl_details5[[#This Row],[Order ID]],Orders!A:F,2,FALSE)</f>
        <v>43358</v>
      </c>
      <c r="I541" s="1" t="str">
        <f>TEXT(tbl_details5[[#This Row],[Order Date]],"mmm-yy")</f>
        <v>Sep-18</v>
      </c>
      <c r="J541" t="str">
        <f>VLOOKUP(tbl_details5[[#This Row],[Order ID]],Table1[],4,FALSE)</f>
        <v>Shivangi</v>
      </c>
      <c r="K541" t="str">
        <f>VLOOKUP(tbl_details5[[#This Row],[Order ID]],Table1[],5,FALSE)</f>
        <v>Madhya Pradesh</v>
      </c>
      <c r="L541" t="str">
        <f>VLOOKUP(tbl_details5[[#This Row],[Order ID]],Table1[],6,FALSE)</f>
        <v>Indore</v>
      </c>
    </row>
    <row r="542" spans="1:12" x14ac:dyDescent="0.25">
      <c r="A542" t="s">
        <v>389</v>
      </c>
      <c r="B542" s="4">
        <v>33</v>
      </c>
      <c r="C542" s="4">
        <v>-10</v>
      </c>
      <c r="D542" s="5">
        <f>tbl_details5[[#This Row],[Profit]]/tbl_details5[[#This Row],[Revenue]]</f>
        <v>-0.30303030303030304</v>
      </c>
      <c r="E542">
        <v>6</v>
      </c>
      <c r="F542" t="s">
        <v>885</v>
      </c>
      <c r="G542" t="s">
        <v>897</v>
      </c>
      <c r="H542" s="1">
        <f>VLOOKUP(tbl_details5[[#This Row],[Order ID]],Orders!A:F,2,FALSE)</f>
        <v>43358</v>
      </c>
      <c r="I542" s="1" t="str">
        <f>TEXT(tbl_details5[[#This Row],[Order Date]],"mmm-yy")</f>
        <v>Sep-18</v>
      </c>
      <c r="J542" t="str">
        <f>VLOOKUP(tbl_details5[[#This Row],[Order ID]],Table1[],4,FALSE)</f>
        <v>Shivangi</v>
      </c>
      <c r="K542" t="str">
        <f>VLOOKUP(tbl_details5[[#This Row],[Order ID]],Table1[],5,FALSE)</f>
        <v>Madhya Pradesh</v>
      </c>
      <c r="L542" t="str">
        <f>VLOOKUP(tbl_details5[[#This Row],[Order ID]],Table1[],6,FALSE)</f>
        <v>Indore</v>
      </c>
    </row>
    <row r="543" spans="1:12" x14ac:dyDescent="0.25">
      <c r="A543" t="s">
        <v>389</v>
      </c>
      <c r="B543" s="4">
        <v>21</v>
      </c>
      <c r="C543" s="4">
        <v>-17</v>
      </c>
      <c r="D543" s="5">
        <f>tbl_details5[[#This Row],[Profit]]/tbl_details5[[#This Row],[Revenue]]</f>
        <v>-0.80952380952380953</v>
      </c>
      <c r="E543">
        <v>3</v>
      </c>
      <c r="F543" t="s">
        <v>885</v>
      </c>
      <c r="G543" t="s">
        <v>896</v>
      </c>
      <c r="H543" s="1">
        <f>VLOOKUP(tbl_details5[[#This Row],[Order ID]],Orders!A:F,2,FALSE)</f>
        <v>43358</v>
      </c>
      <c r="I543" s="1" t="str">
        <f>TEXT(tbl_details5[[#This Row],[Order Date]],"mmm-yy")</f>
        <v>Sep-18</v>
      </c>
      <c r="J543" t="str">
        <f>VLOOKUP(tbl_details5[[#This Row],[Order ID]],Table1[],4,FALSE)</f>
        <v>Shivangi</v>
      </c>
      <c r="K543" t="str">
        <f>VLOOKUP(tbl_details5[[#This Row],[Order ID]],Table1[],5,FALSE)</f>
        <v>Madhya Pradesh</v>
      </c>
      <c r="L543" t="str">
        <f>VLOOKUP(tbl_details5[[#This Row],[Order ID]],Table1[],6,FALSE)</f>
        <v>Indore</v>
      </c>
    </row>
    <row r="544" spans="1:12" x14ac:dyDescent="0.25">
      <c r="A544" t="s">
        <v>389</v>
      </c>
      <c r="B544" s="4">
        <v>26</v>
      </c>
      <c r="C544" s="4">
        <v>2</v>
      </c>
      <c r="D544" s="5">
        <f>tbl_details5[[#This Row],[Profit]]/tbl_details5[[#This Row],[Revenue]]</f>
        <v>7.6923076923076927E-2</v>
      </c>
      <c r="E544">
        <v>2</v>
      </c>
      <c r="F544" t="s">
        <v>885</v>
      </c>
      <c r="G544" t="s">
        <v>887</v>
      </c>
      <c r="H544" s="1">
        <f>VLOOKUP(tbl_details5[[#This Row],[Order ID]],Orders!A:F,2,FALSE)</f>
        <v>43358</v>
      </c>
      <c r="I544" s="1" t="str">
        <f>TEXT(tbl_details5[[#This Row],[Order Date]],"mmm-yy")</f>
        <v>Sep-18</v>
      </c>
      <c r="J544" t="str">
        <f>VLOOKUP(tbl_details5[[#This Row],[Order ID]],Table1[],4,FALSE)</f>
        <v>Shivangi</v>
      </c>
      <c r="K544" t="str">
        <f>VLOOKUP(tbl_details5[[#This Row],[Order ID]],Table1[],5,FALSE)</f>
        <v>Madhya Pradesh</v>
      </c>
      <c r="L544" t="str">
        <f>VLOOKUP(tbl_details5[[#This Row],[Order ID]],Table1[],6,FALSE)</f>
        <v>Indore</v>
      </c>
    </row>
    <row r="545" spans="1:12" x14ac:dyDescent="0.25">
      <c r="A545" t="s">
        <v>391</v>
      </c>
      <c r="B545" s="4">
        <v>15</v>
      </c>
      <c r="C545" s="4">
        <v>4</v>
      </c>
      <c r="D545" s="5">
        <f>tbl_details5[[#This Row],[Profit]]/tbl_details5[[#This Row],[Revenue]]</f>
        <v>0.26666666666666666</v>
      </c>
      <c r="E545">
        <v>1</v>
      </c>
      <c r="F545" t="s">
        <v>885</v>
      </c>
      <c r="G545" t="s">
        <v>887</v>
      </c>
      <c r="H545" s="1">
        <f>VLOOKUP(tbl_details5[[#This Row],[Order ID]],Orders!A:F,2,FALSE)</f>
        <v>43358</v>
      </c>
      <c r="I545" s="1" t="str">
        <f>TEXT(tbl_details5[[#This Row],[Order Date]],"mmm-yy")</f>
        <v>Sep-18</v>
      </c>
      <c r="J545" t="str">
        <f>VLOOKUP(tbl_details5[[#This Row],[Order ID]],Table1[],4,FALSE)</f>
        <v>Rohit</v>
      </c>
      <c r="K545" t="str">
        <f>VLOOKUP(tbl_details5[[#This Row],[Order ID]],Table1[],5,FALSE)</f>
        <v>Rajasthan</v>
      </c>
      <c r="L545" t="str">
        <f>VLOOKUP(tbl_details5[[#This Row],[Order ID]],Table1[],6,FALSE)</f>
        <v>Jaipur</v>
      </c>
    </row>
    <row r="546" spans="1:12" x14ac:dyDescent="0.25">
      <c r="A546" t="s">
        <v>393</v>
      </c>
      <c r="B546" s="4">
        <v>595</v>
      </c>
      <c r="C546" s="4">
        <v>292</v>
      </c>
      <c r="D546" s="5">
        <f>tbl_details5[[#This Row],[Profit]]/tbl_details5[[#This Row],[Revenue]]</f>
        <v>0.49075630252100838</v>
      </c>
      <c r="E546">
        <v>3</v>
      </c>
      <c r="F546" t="s">
        <v>885</v>
      </c>
      <c r="G546" t="s">
        <v>891</v>
      </c>
      <c r="H546" s="1">
        <f>VLOOKUP(tbl_details5[[#This Row],[Order ID]],Orders!A:F,2,FALSE)</f>
        <v>43358</v>
      </c>
      <c r="I546" s="1" t="str">
        <f>TEXT(tbl_details5[[#This Row],[Order Date]],"mmm-yy")</f>
        <v>Sep-18</v>
      </c>
      <c r="J546" t="str">
        <f>VLOOKUP(tbl_details5[[#This Row],[Order ID]],Table1[],4,FALSE)</f>
        <v>Ayush</v>
      </c>
      <c r="K546" t="str">
        <f>VLOOKUP(tbl_details5[[#This Row],[Order ID]],Table1[],5,FALSE)</f>
        <v>West Bengal</v>
      </c>
      <c r="L546" t="str">
        <f>VLOOKUP(tbl_details5[[#This Row],[Order ID]],Table1[],6,FALSE)</f>
        <v>Kolkata</v>
      </c>
    </row>
    <row r="547" spans="1:12" x14ac:dyDescent="0.25">
      <c r="A547" t="s">
        <v>393</v>
      </c>
      <c r="B547" s="4">
        <v>45</v>
      </c>
      <c r="C547" s="4">
        <v>0</v>
      </c>
      <c r="D547" s="5">
        <f>tbl_details5[[#This Row],[Profit]]/tbl_details5[[#This Row],[Revenue]]</f>
        <v>0</v>
      </c>
      <c r="E547">
        <v>2</v>
      </c>
      <c r="F547" t="s">
        <v>885</v>
      </c>
      <c r="G547" t="s">
        <v>895</v>
      </c>
      <c r="H547" s="1">
        <f>VLOOKUP(tbl_details5[[#This Row],[Order ID]],Orders!A:F,2,FALSE)</f>
        <v>43358</v>
      </c>
      <c r="I547" s="1" t="str">
        <f>TEXT(tbl_details5[[#This Row],[Order Date]],"mmm-yy")</f>
        <v>Sep-18</v>
      </c>
      <c r="J547" t="str">
        <f>VLOOKUP(tbl_details5[[#This Row],[Order ID]],Table1[],4,FALSE)</f>
        <v>Ayush</v>
      </c>
      <c r="K547" t="str">
        <f>VLOOKUP(tbl_details5[[#This Row],[Order ID]],Table1[],5,FALSE)</f>
        <v>West Bengal</v>
      </c>
      <c r="L547" t="str">
        <f>VLOOKUP(tbl_details5[[#This Row],[Order ID]],Table1[],6,FALSE)</f>
        <v>Kolkata</v>
      </c>
    </row>
    <row r="548" spans="1:12" x14ac:dyDescent="0.25">
      <c r="A548" t="s">
        <v>393</v>
      </c>
      <c r="B548" s="4">
        <v>192</v>
      </c>
      <c r="C548" s="4">
        <v>-146</v>
      </c>
      <c r="D548" s="5">
        <f>tbl_details5[[#This Row],[Profit]]/tbl_details5[[#This Row],[Revenue]]</f>
        <v>-0.76041666666666663</v>
      </c>
      <c r="E548">
        <v>3</v>
      </c>
      <c r="F548" t="s">
        <v>885</v>
      </c>
      <c r="G548" t="s">
        <v>891</v>
      </c>
      <c r="H548" s="1">
        <f>VLOOKUP(tbl_details5[[#This Row],[Order ID]],Orders!A:F,2,FALSE)</f>
        <v>43358</v>
      </c>
      <c r="I548" s="1" t="str">
        <f>TEXT(tbl_details5[[#This Row],[Order Date]],"mmm-yy")</f>
        <v>Sep-18</v>
      </c>
      <c r="J548" t="str">
        <f>VLOOKUP(tbl_details5[[#This Row],[Order ID]],Table1[],4,FALSE)</f>
        <v>Ayush</v>
      </c>
      <c r="K548" t="str">
        <f>VLOOKUP(tbl_details5[[#This Row],[Order ID]],Table1[],5,FALSE)</f>
        <v>West Bengal</v>
      </c>
      <c r="L548" t="str">
        <f>VLOOKUP(tbl_details5[[#This Row],[Order ID]],Table1[],6,FALSE)</f>
        <v>Kolkata</v>
      </c>
    </row>
    <row r="549" spans="1:12" x14ac:dyDescent="0.25">
      <c r="A549" t="s">
        <v>393</v>
      </c>
      <c r="B549" s="4">
        <v>26</v>
      </c>
      <c r="C549" s="4">
        <v>-25</v>
      </c>
      <c r="D549" s="5">
        <f>tbl_details5[[#This Row],[Profit]]/tbl_details5[[#This Row],[Revenue]]</f>
        <v>-0.96153846153846156</v>
      </c>
      <c r="E549">
        <v>3</v>
      </c>
      <c r="F549" t="s">
        <v>885</v>
      </c>
      <c r="G549" t="s">
        <v>891</v>
      </c>
      <c r="H549" s="1">
        <f>VLOOKUP(tbl_details5[[#This Row],[Order ID]],Orders!A:F,2,FALSE)</f>
        <v>43358</v>
      </c>
      <c r="I549" s="1" t="str">
        <f>TEXT(tbl_details5[[#This Row],[Order Date]],"mmm-yy")</f>
        <v>Sep-18</v>
      </c>
      <c r="J549" t="str">
        <f>VLOOKUP(tbl_details5[[#This Row],[Order ID]],Table1[],4,FALSE)</f>
        <v>Ayush</v>
      </c>
      <c r="K549" t="str">
        <f>VLOOKUP(tbl_details5[[#This Row],[Order ID]],Table1[],5,FALSE)</f>
        <v>West Bengal</v>
      </c>
      <c r="L549" t="str">
        <f>VLOOKUP(tbl_details5[[#This Row],[Order ID]],Table1[],6,FALSE)</f>
        <v>Kolkata</v>
      </c>
    </row>
    <row r="550" spans="1:12" x14ac:dyDescent="0.25">
      <c r="A550" t="s">
        <v>394</v>
      </c>
      <c r="B550" s="4">
        <v>1854</v>
      </c>
      <c r="C550" s="4">
        <v>433</v>
      </c>
      <c r="D550" s="5">
        <f>tbl_details5[[#This Row],[Profit]]/tbl_details5[[#This Row],[Revenue]]</f>
        <v>0.23354908306364616</v>
      </c>
      <c r="E550">
        <v>5</v>
      </c>
      <c r="F550" t="s">
        <v>883</v>
      </c>
      <c r="G550" t="s">
        <v>884</v>
      </c>
      <c r="H550" s="1">
        <f>VLOOKUP(tbl_details5[[#This Row],[Order ID]],Orders!A:F,2,FALSE)</f>
        <v>43362</v>
      </c>
      <c r="I550" s="1" t="str">
        <f>TEXT(tbl_details5[[#This Row],[Order Date]],"mmm-yy")</f>
        <v>Sep-18</v>
      </c>
      <c r="J550" t="str">
        <f>VLOOKUP(tbl_details5[[#This Row],[Order ID]],Table1[],4,FALSE)</f>
        <v>Abhishek</v>
      </c>
      <c r="K550" t="str">
        <f>VLOOKUP(tbl_details5[[#This Row],[Order ID]],Table1[],5,FALSE)</f>
        <v>Karnataka</v>
      </c>
      <c r="L550" t="str">
        <f>VLOOKUP(tbl_details5[[#This Row],[Order ID]],Table1[],6,FALSE)</f>
        <v>Bangalore</v>
      </c>
    </row>
    <row r="551" spans="1:12" x14ac:dyDescent="0.25">
      <c r="A551" t="s">
        <v>394</v>
      </c>
      <c r="B551" s="4">
        <v>623</v>
      </c>
      <c r="C551" s="4">
        <v>-192</v>
      </c>
      <c r="D551" s="5">
        <f>tbl_details5[[#This Row],[Profit]]/tbl_details5[[#This Row],[Revenue]]</f>
        <v>-0.30818619582664525</v>
      </c>
      <c r="E551">
        <v>3</v>
      </c>
      <c r="F551" t="s">
        <v>883</v>
      </c>
      <c r="G551" t="s">
        <v>898</v>
      </c>
      <c r="H551" s="1">
        <f>VLOOKUP(tbl_details5[[#This Row],[Order ID]],Orders!A:F,2,FALSE)</f>
        <v>43362</v>
      </c>
      <c r="I551" s="1" t="str">
        <f>TEXT(tbl_details5[[#This Row],[Order Date]],"mmm-yy")</f>
        <v>Sep-18</v>
      </c>
      <c r="J551" t="str">
        <f>VLOOKUP(tbl_details5[[#This Row],[Order ID]],Table1[],4,FALSE)</f>
        <v>Abhishek</v>
      </c>
      <c r="K551" t="str">
        <f>VLOOKUP(tbl_details5[[#This Row],[Order ID]],Table1[],5,FALSE)</f>
        <v>Karnataka</v>
      </c>
      <c r="L551" t="str">
        <f>VLOOKUP(tbl_details5[[#This Row],[Order ID]],Table1[],6,FALSE)</f>
        <v>Bangalore</v>
      </c>
    </row>
    <row r="552" spans="1:12" x14ac:dyDescent="0.25">
      <c r="A552" t="s">
        <v>394</v>
      </c>
      <c r="B552" s="4">
        <v>44</v>
      </c>
      <c r="C552" s="4">
        <v>-34</v>
      </c>
      <c r="D552" s="5">
        <f>tbl_details5[[#This Row],[Profit]]/tbl_details5[[#This Row],[Revenue]]</f>
        <v>-0.77272727272727271</v>
      </c>
      <c r="E552">
        <v>3</v>
      </c>
      <c r="F552" t="s">
        <v>885</v>
      </c>
      <c r="G552" t="s">
        <v>886</v>
      </c>
      <c r="H552" s="1">
        <f>VLOOKUP(tbl_details5[[#This Row],[Order ID]],Orders!A:F,2,FALSE)</f>
        <v>43362</v>
      </c>
      <c r="I552" s="1" t="str">
        <f>TEXT(tbl_details5[[#This Row],[Order Date]],"mmm-yy")</f>
        <v>Sep-18</v>
      </c>
      <c r="J552" t="str">
        <f>VLOOKUP(tbl_details5[[#This Row],[Order ID]],Table1[],4,FALSE)</f>
        <v>Abhishek</v>
      </c>
      <c r="K552" t="str">
        <f>VLOOKUP(tbl_details5[[#This Row],[Order ID]],Table1[],5,FALSE)</f>
        <v>Karnataka</v>
      </c>
      <c r="L552" t="str">
        <f>VLOOKUP(tbl_details5[[#This Row],[Order ID]],Table1[],6,FALSE)</f>
        <v>Bangalore</v>
      </c>
    </row>
    <row r="553" spans="1:12" x14ac:dyDescent="0.25">
      <c r="A553" t="s">
        <v>394</v>
      </c>
      <c r="B553" s="4">
        <v>17</v>
      </c>
      <c r="C553" s="4">
        <v>-11</v>
      </c>
      <c r="D553" s="5">
        <f>tbl_details5[[#This Row],[Profit]]/tbl_details5[[#This Row],[Revenue]]</f>
        <v>-0.6470588235294118</v>
      </c>
      <c r="E553">
        <v>3</v>
      </c>
      <c r="F553" t="s">
        <v>885</v>
      </c>
      <c r="G553" t="s">
        <v>902</v>
      </c>
      <c r="H553" s="1">
        <f>VLOOKUP(tbl_details5[[#This Row],[Order ID]],Orders!A:F,2,FALSE)</f>
        <v>43362</v>
      </c>
      <c r="I553" s="1" t="str">
        <f>TEXT(tbl_details5[[#This Row],[Order Date]],"mmm-yy")</f>
        <v>Sep-18</v>
      </c>
      <c r="J553" t="str">
        <f>VLOOKUP(tbl_details5[[#This Row],[Order ID]],Table1[],4,FALSE)</f>
        <v>Abhishek</v>
      </c>
      <c r="K553" t="str">
        <f>VLOOKUP(tbl_details5[[#This Row],[Order ID]],Table1[],5,FALSE)</f>
        <v>Karnataka</v>
      </c>
      <c r="L553" t="str">
        <f>VLOOKUP(tbl_details5[[#This Row],[Order ID]],Table1[],6,FALSE)</f>
        <v>Bangalore</v>
      </c>
    </row>
    <row r="554" spans="1:12" x14ac:dyDescent="0.25">
      <c r="A554" t="s">
        <v>396</v>
      </c>
      <c r="B554" s="4">
        <v>556</v>
      </c>
      <c r="C554" s="4">
        <v>-209</v>
      </c>
      <c r="D554" s="5">
        <f>tbl_details5[[#This Row],[Profit]]/tbl_details5[[#This Row],[Revenue]]</f>
        <v>-0.37589928057553956</v>
      </c>
      <c r="E554">
        <v>7</v>
      </c>
      <c r="F554" t="s">
        <v>885</v>
      </c>
      <c r="G554" t="s">
        <v>891</v>
      </c>
      <c r="H554" s="1">
        <f>VLOOKUP(tbl_details5[[#This Row],[Order ID]],Orders!A:F,2,FALSE)</f>
        <v>43363</v>
      </c>
      <c r="I554" s="1" t="str">
        <f>TEXT(tbl_details5[[#This Row],[Order Date]],"mmm-yy")</f>
        <v>Sep-18</v>
      </c>
      <c r="J554" t="str">
        <f>VLOOKUP(tbl_details5[[#This Row],[Order ID]],Table1[],4,FALSE)</f>
        <v>Asish</v>
      </c>
      <c r="K554" t="str">
        <f>VLOOKUP(tbl_details5[[#This Row],[Order ID]],Table1[],5,FALSE)</f>
        <v>Jammu and Kashmir</v>
      </c>
      <c r="L554" t="str">
        <f>VLOOKUP(tbl_details5[[#This Row],[Order ID]],Table1[],6,FALSE)</f>
        <v>Kashmir</v>
      </c>
    </row>
    <row r="555" spans="1:12" x14ac:dyDescent="0.25">
      <c r="A555" t="s">
        <v>396</v>
      </c>
      <c r="B555" s="4">
        <v>40</v>
      </c>
      <c r="C555" s="4">
        <v>-12</v>
      </c>
      <c r="D555" s="5">
        <f>tbl_details5[[#This Row],[Profit]]/tbl_details5[[#This Row],[Revenue]]</f>
        <v>-0.3</v>
      </c>
      <c r="E555">
        <v>3</v>
      </c>
      <c r="F555" t="s">
        <v>885</v>
      </c>
      <c r="G555" t="s">
        <v>896</v>
      </c>
      <c r="H555" s="1">
        <f>VLOOKUP(tbl_details5[[#This Row],[Order ID]],Orders!A:F,2,FALSE)</f>
        <v>43363</v>
      </c>
      <c r="I555" s="1" t="str">
        <f>TEXT(tbl_details5[[#This Row],[Order Date]],"mmm-yy")</f>
        <v>Sep-18</v>
      </c>
      <c r="J555" t="str">
        <f>VLOOKUP(tbl_details5[[#This Row],[Order ID]],Table1[],4,FALSE)</f>
        <v>Asish</v>
      </c>
      <c r="K555" t="str">
        <f>VLOOKUP(tbl_details5[[#This Row],[Order ID]],Table1[],5,FALSE)</f>
        <v>Jammu and Kashmir</v>
      </c>
      <c r="L555" t="str">
        <f>VLOOKUP(tbl_details5[[#This Row],[Order ID]],Table1[],6,FALSE)</f>
        <v>Kashmir</v>
      </c>
    </row>
    <row r="556" spans="1:12" x14ac:dyDescent="0.25">
      <c r="A556" t="s">
        <v>396</v>
      </c>
      <c r="B556" s="4">
        <v>229</v>
      </c>
      <c r="C556" s="4">
        <v>-41</v>
      </c>
      <c r="D556" s="5">
        <f>tbl_details5[[#This Row],[Profit]]/tbl_details5[[#This Row],[Revenue]]</f>
        <v>-0.17903930131004367</v>
      </c>
      <c r="E556">
        <v>8</v>
      </c>
      <c r="F556" t="s">
        <v>888</v>
      </c>
      <c r="G556" t="s">
        <v>900</v>
      </c>
      <c r="H556" s="1">
        <f>VLOOKUP(tbl_details5[[#This Row],[Order ID]],Orders!A:F,2,FALSE)</f>
        <v>43363</v>
      </c>
      <c r="I556" s="1" t="str">
        <f>TEXT(tbl_details5[[#This Row],[Order Date]],"mmm-yy")</f>
        <v>Sep-18</v>
      </c>
      <c r="J556" t="str">
        <f>VLOOKUP(tbl_details5[[#This Row],[Order ID]],Table1[],4,FALSE)</f>
        <v>Asish</v>
      </c>
      <c r="K556" t="str">
        <f>VLOOKUP(tbl_details5[[#This Row],[Order ID]],Table1[],5,FALSE)</f>
        <v>Jammu and Kashmir</v>
      </c>
      <c r="L556" t="str">
        <f>VLOOKUP(tbl_details5[[#This Row],[Order ID]],Table1[],6,FALSE)</f>
        <v>Kashmir</v>
      </c>
    </row>
    <row r="557" spans="1:12" x14ac:dyDescent="0.25">
      <c r="A557" t="s">
        <v>396</v>
      </c>
      <c r="B557" s="4">
        <v>140</v>
      </c>
      <c r="C557" s="4">
        <v>-58</v>
      </c>
      <c r="D557" s="5">
        <f>tbl_details5[[#This Row],[Profit]]/tbl_details5[[#This Row],[Revenue]]</f>
        <v>-0.41428571428571431</v>
      </c>
      <c r="E557">
        <v>4</v>
      </c>
      <c r="F557" t="s">
        <v>883</v>
      </c>
      <c r="G557" t="s">
        <v>901</v>
      </c>
      <c r="H557" s="1">
        <f>VLOOKUP(tbl_details5[[#This Row],[Order ID]],Orders!A:F,2,FALSE)</f>
        <v>43363</v>
      </c>
      <c r="I557" s="1" t="str">
        <f>TEXT(tbl_details5[[#This Row],[Order Date]],"mmm-yy")</f>
        <v>Sep-18</v>
      </c>
      <c r="J557" t="str">
        <f>VLOOKUP(tbl_details5[[#This Row],[Order ID]],Table1[],4,FALSE)</f>
        <v>Asish</v>
      </c>
      <c r="K557" t="str">
        <f>VLOOKUP(tbl_details5[[#This Row],[Order ID]],Table1[],5,FALSE)</f>
        <v>Jammu and Kashmir</v>
      </c>
      <c r="L557" t="str">
        <f>VLOOKUP(tbl_details5[[#This Row],[Order ID]],Table1[],6,FALSE)</f>
        <v>Kashmir</v>
      </c>
    </row>
    <row r="558" spans="1:12" x14ac:dyDescent="0.25">
      <c r="A558" t="s">
        <v>398</v>
      </c>
      <c r="B558" s="4">
        <v>12</v>
      </c>
      <c r="C558" s="4">
        <v>3</v>
      </c>
      <c r="D558" s="5">
        <f>tbl_details5[[#This Row],[Profit]]/tbl_details5[[#This Row],[Revenue]]</f>
        <v>0.25</v>
      </c>
      <c r="E558">
        <v>1</v>
      </c>
      <c r="F558" t="s">
        <v>885</v>
      </c>
      <c r="G558" t="s">
        <v>886</v>
      </c>
      <c r="H558" s="1">
        <f>VLOOKUP(tbl_details5[[#This Row],[Order ID]],Orders!A:F,2,FALSE)</f>
        <v>43364</v>
      </c>
      <c r="I558" s="1" t="str">
        <f>TEXT(tbl_details5[[#This Row],[Order Date]],"mmm-yy")</f>
        <v>Sep-18</v>
      </c>
      <c r="J558" t="str">
        <f>VLOOKUP(tbl_details5[[#This Row],[Order ID]],Table1[],4,FALSE)</f>
        <v>Dinesh</v>
      </c>
      <c r="K558" t="str">
        <f>VLOOKUP(tbl_details5[[#This Row],[Order ID]],Table1[],5,FALSE)</f>
        <v>Tamil Nadu</v>
      </c>
      <c r="L558" t="str">
        <f>VLOOKUP(tbl_details5[[#This Row],[Order ID]],Table1[],6,FALSE)</f>
        <v>Chennai</v>
      </c>
    </row>
    <row r="559" spans="1:12" x14ac:dyDescent="0.25">
      <c r="A559" t="s">
        <v>400</v>
      </c>
      <c r="B559" s="4">
        <v>30</v>
      </c>
      <c r="C559" s="4">
        <v>0</v>
      </c>
      <c r="D559" s="5">
        <f>tbl_details5[[#This Row],[Profit]]/tbl_details5[[#This Row],[Revenue]]</f>
        <v>0</v>
      </c>
      <c r="E559">
        <v>1</v>
      </c>
      <c r="F559" t="s">
        <v>885</v>
      </c>
      <c r="G559" t="s">
        <v>894</v>
      </c>
      <c r="H559" s="1">
        <f>VLOOKUP(tbl_details5[[#This Row],[Order ID]],Orders!A:F,2,FALSE)</f>
        <v>43365</v>
      </c>
      <c r="I559" s="1" t="str">
        <f>TEXT(tbl_details5[[#This Row],[Order Date]],"mmm-yy")</f>
        <v>Sep-18</v>
      </c>
      <c r="J559" t="str">
        <f>VLOOKUP(tbl_details5[[#This Row],[Order ID]],Table1[],4,FALSE)</f>
        <v>Akshay</v>
      </c>
      <c r="K559" t="str">
        <f>VLOOKUP(tbl_details5[[#This Row],[Order ID]],Table1[],5,FALSE)</f>
        <v>Uttar Pradesh</v>
      </c>
      <c r="L559" t="str">
        <f>VLOOKUP(tbl_details5[[#This Row],[Order ID]],Table1[],6,FALSE)</f>
        <v>Lucknow</v>
      </c>
    </row>
    <row r="560" spans="1:12" x14ac:dyDescent="0.25">
      <c r="A560" t="s">
        <v>400</v>
      </c>
      <c r="B560" s="4">
        <v>313</v>
      </c>
      <c r="C560" s="4">
        <v>-13</v>
      </c>
      <c r="D560" s="5">
        <f>tbl_details5[[#This Row],[Profit]]/tbl_details5[[#This Row],[Revenue]]</f>
        <v>-4.1533546325878593E-2</v>
      </c>
      <c r="E560">
        <v>5</v>
      </c>
      <c r="F560" t="s">
        <v>883</v>
      </c>
      <c r="G560" t="s">
        <v>884</v>
      </c>
      <c r="H560" s="1">
        <f>VLOOKUP(tbl_details5[[#This Row],[Order ID]],Orders!A:F,2,FALSE)</f>
        <v>43365</v>
      </c>
      <c r="I560" s="1" t="str">
        <f>TEXT(tbl_details5[[#This Row],[Order Date]],"mmm-yy")</f>
        <v>Sep-18</v>
      </c>
      <c r="J560" t="str">
        <f>VLOOKUP(tbl_details5[[#This Row],[Order ID]],Table1[],4,FALSE)</f>
        <v>Akshay</v>
      </c>
      <c r="K560" t="str">
        <f>VLOOKUP(tbl_details5[[#This Row],[Order ID]],Table1[],5,FALSE)</f>
        <v>Uttar Pradesh</v>
      </c>
      <c r="L560" t="str">
        <f>VLOOKUP(tbl_details5[[#This Row],[Order ID]],Table1[],6,FALSE)</f>
        <v>Lucknow</v>
      </c>
    </row>
    <row r="561" spans="1:12" x14ac:dyDescent="0.25">
      <c r="A561" t="s">
        <v>400</v>
      </c>
      <c r="B561" s="4">
        <v>67</v>
      </c>
      <c r="C561" s="4">
        <v>-86</v>
      </c>
      <c r="D561" s="5">
        <f>tbl_details5[[#This Row],[Profit]]/tbl_details5[[#This Row],[Revenue]]</f>
        <v>-1.2835820895522387</v>
      </c>
      <c r="E561">
        <v>9</v>
      </c>
      <c r="F561" t="s">
        <v>883</v>
      </c>
      <c r="G561" t="s">
        <v>901</v>
      </c>
      <c r="H561" s="1">
        <f>VLOOKUP(tbl_details5[[#This Row],[Order ID]],Orders!A:F,2,FALSE)</f>
        <v>43365</v>
      </c>
      <c r="I561" s="1" t="str">
        <f>TEXT(tbl_details5[[#This Row],[Order Date]],"mmm-yy")</f>
        <v>Sep-18</v>
      </c>
      <c r="J561" t="str">
        <f>VLOOKUP(tbl_details5[[#This Row],[Order ID]],Table1[],4,FALSE)</f>
        <v>Akshay</v>
      </c>
      <c r="K561" t="str">
        <f>VLOOKUP(tbl_details5[[#This Row],[Order ID]],Table1[],5,FALSE)</f>
        <v>Uttar Pradesh</v>
      </c>
      <c r="L561" t="str">
        <f>VLOOKUP(tbl_details5[[#This Row],[Order ID]],Table1[],6,FALSE)</f>
        <v>Lucknow</v>
      </c>
    </row>
    <row r="562" spans="1:12" x14ac:dyDescent="0.25">
      <c r="A562" t="s">
        <v>401</v>
      </c>
      <c r="B562" s="4">
        <v>42</v>
      </c>
      <c r="C562" s="4">
        <v>-3</v>
      </c>
      <c r="D562" s="5">
        <f>tbl_details5[[#This Row],[Profit]]/tbl_details5[[#This Row],[Revenue]]</f>
        <v>-7.1428571428571425E-2</v>
      </c>
      <c r="E562">
        <v>1</v>
      </c>
      <c r="F562" t="s">
        <v>888</v>
      </c>
      <c r="G562" t="s">
        <v>889</v>
      </c>
      <c r="H562" s="1">
        <f>VLOOKUP(tbl_details5[[#This Row],[Order ID]],Orders!A:F,2,FALSE)</f>
        <v>43366</v>
      </c>
      <c r="I562" s="1" t="str">
        <f>TEXT(tbl_details5[[#This Row],[Order Date]],"mmm-yy")</f>
        <v>Sep-18</v>
      </c>
      <c r="J562" t="str">
        <f>VLOOKUP(tbl_details5[[#This Row],[Order ID]],Table1[],4,FALSE)</f>
        <v>Sajal</v>
      </c>
      <c r="K562" t="str">
        <f>VLOOKUP(tbl_details5[[#This Row],[Order ID]],Table1[],5,FALSE)</f>
        <v>Bihar</v>
      </c>
      <c r="L562" t="str">
        <f>VLOOKUP(tbl_details5[[#This Row],[Order ID]],Table1[],6,FALSE)</f>
        <v>Patna</v>
      </c>
    </row>
    <row r="563" spans="1:12" x14ac:dyDescent="0.25">
      <c r="A563" t="s">
        <v>403</v>
      </c>
      <c r="B563" s="4">
        <v>253</v>
      </c>
      <c r="C563" s="4">
        <v>-63</v>
      </c>
      <c r="D563" s="5">
        <f>tbl_details5[[#This Row],[Profit]]/tbl_details5[[#This Row],[Revenue]]</f>
        <v>-0.24901185770750989</v>
      </c>
      <c r="E563">
        <v>2</v>
      </c>
      <c r="F563" t="s">
        <v>885</v>
      </c>
      <c r="G563" t="s">
        <v>891</v>
      </c>
      <c r="H563" s="1">
        <f>VLOOKUP(tbl_details5[[#This Row],[Order ID]],Orders!A:F,2,FALSE)</f>
        <v>43367</v>
      </c>
      <c r="I563" s="1" t="str">
        <f>TEXT(tbl_details5[[#This Row],[Order Date]],"mmm-yy")</f>
        <v>Sep-18</v>
      </c>
      <c r="J563" t="str">
        <f>VLOOKUP(tbl_details5[[#This Row],[Order ID]],Table1[],4,FALSE)</f>
        <v>Avish</v>
      </c>
      <c r="K563" t="str">
        <f>VLOOKUP(tbl_details5[[#This Row],[Order ID]],Table1[],5,FALSE)</f>
        <v xml:space="preserve">Kerala </v>
      </c>
      <c r="L563" t="str">
        <f>VLOOKUP(tbl_details5[[#This Row],[Order ID]],Table1[],6,FALSE)</f>
        <v>Thiruvananthapuram</v>
      </c>
    </row>
    <row r="564" spans="1:12" x14ac:dyDescent="0.25">
      <c r="A564" t="s">
        <v>403</v>
      </c>
      <c r="B564" s="4">
        <v>565</v>
      </c>
      <c r="C564" s="4">
        <v>66</v>
      </c>
      <c r="D564" s="5">
        <f>tbl_details5[[#This Row],[Profit]]/tbl_details5[[#This Row],[Revenue]]</f>
        <v>0.1168141592920354</v>
      </c>
      <c r="E564">
        <v>7</v>
      </c>
      <c r="F564" t="s">
        <v>885</v>
      </c>
      <c r="G564" t="s">
        <v>891</v>
      </c>
      <c r="H564" s="1">
        <f>VLOOKUP(tbl_details5[[#This Row],[Order ID]],Orders!A:F,2,FALSE)</f>
        <v>43367</v>
      </c>
      <c r="I564" s="1" t="str">
        <f>TEXT(tbl_details5[[#This Row],[Order Date]],"mmm-yy")</f>
        <v>Sep-18</v>
      </c>
      <c r="J564" t="str">
        <f>VLOOKUP(tbl_details5[[#This Row],[Order ID]],Table1[],4,FALSE)</f>
        <v>Avish</v>
      </c>
      <c r="K564" t="str">
        <f>VLOOKUP(tbl_details5[[#This Row],[Order ID]],Table1[],5,FALSE)</f>
        <v xml:space="preserve">Kerala </v>
      </c>
      <c r="L564" t="str">
        <f>VLOOKUP(tbl_details5[[#This Row],[Order ID]],Table1[],6,FALSE)</f>
        <v>Thiruvananthapuram</v>
      </c>
    </row>
    <row r="565" spans="1:12" x14ac:dyDescent="0.25">
      <c r="A565" t="s">
        <v>403</v>
      </c>
      <c r="B565" s="4">
        <v>175</v>
      </c>
      <c r="C565" s="4">
        <v>77</v>
      </c>
      <c r="D565" s="5">
        <f>tbl_details5[[#This Row],[Profit]]/tbl_details5[[#This Row],[Revenue]]</f>
        <v>0.44</v>
      </c>
      <c r="E565">
        <v>3</v>
      </c>
      <c r="F565" t="s">
        <v>885</v>
      </c>
      <c r="G565" t="s">
        <v>891</v>
      </c>
      <c r="H565" s="1">
        <f>VLOOKUP(tbl_details5[[#This Row],[Order ID]],Orders!A:F,2,FALSE)</f>
        <v>43367</v>
      </c>
      <c r="I565" s="1" t="str">
        <f>TEXT(tbl_details5[[#This Row],[Order Date]],"mmm-yy")</f>
        <v>Sep-18</v>
      </c>
      <c r="J565" t="str">
        <f>VLOOKUP(tbl_details5[[#This Row],[Order ID]],Table1[],4,FALSE)</f>
        <v>Avish</v>
      </c>
      <c r="K565" t="str">
        <f>VLOOKUP(tbl_details5[[#This Row],[Order ID]],Table1[],5,FALSE)</f>
        <v xml:space="preserve">Kerala </v>
      </c>
      <c r="L565" t="str">
        <f>VLOOKUP(tbl_details5[[#This Row],[Order ID]],Table1[],6,FALSE)</f>
        <v>Thiruvananthapuram</v>
      </c>
    </row>
    <row r="566" spans="1:12" x14ac:dyDescent="0.25">
      <c r="A566" t="s">
        <v>405</v>
      </c>
      <c r="B566" s="4">
        <v>74</v>
      </c>
      <c r="C566" s="4">
        <v>-25</v>
      </c>
      <c r="D566" s="5">
        <f>tbl_details5[[#This Row],[Profit]]/tbl_details5[[#This Row],[Revenue]]</f>
        <v>-0.33783783783783783</v>
      </c>
      <c r="E566">
        <v>3</v>
      </c>
      <c r="F566" t="s">
        <v>885</v>
      </c>
      <c r="G566" t="s">
        <v>886</v>
      </c>
      <c r="H566" s="1">
        <f>VLOOKUP(tbl_details5[[#This Row],[Order ID]],Orders!A:F,2,FALSE)</f>
        <v>43367</v>
      </c>
      <c r="I566" s="1" t="str">
        <f>TEXT(tbl_details5[[#This Row],[Order Date]],"mmm-yy")</f>
        <v>Sep-18</v>
      </c>
      <c r="J566" t="str">
        <f>VLOOKUP(tbl_details5[[#This Row],[Order ID]],Table1[],4,FALSE)</f>
        <v>Abhishek</v>
      </c>
      <c r="K566" t="str">
        <f>VLOOKUP(tbl_details5[[#This Row],[Order ID]],Table1[],5,FALSE)</f>
        <v>Maharashtra</v>
      </c>
      <c r="L566" t="str">
        <f>VLOOKUP(tbl_details5[[#This Row],[Order ID]],Table1[],6,FALSE)</f>
        <v>Mumbai</v>
      </c>
    </row>
    <row r="567" spans="1:12" x14ac:dyDescent="0.25">
      <c r="A567" t="s">
        <v>406</v>
      </c>
      <c r="B567" s="4">
        <v>40</v>
      </c>
      <c r="C567" s="4">
        <v>-33</v>
      </c>
      <c r="D567" s="5">
        <f>tbl_details5[[#This Row],[Profit]]/tbl_details5[[#This Row],[Revenue]]</f>
        <v>-0.82499999999999996</v>
      </c>
      <c r="E567">
        <v>5</v>
      </c>
      <c r="F567" t="s">
        <v>885</v>
      </c>
      <c r="G567" t="s">
        <v>887</v>
      </c>
      <c r="H567" s="1">
        <f>VLOOKUP(tbl_details5[[#This Row],[Order ID]],Orders!A:F,2,FALSE)</f>
        <v>43367</v>
      </c>
      <c r="I567" s="1" t="str">
        <f>TEXT(tbl_details5[[#This Row],[Order Date]],"mmm-yy")</f>
        <v>Sep-18</v>
      </c>
      <c r="J567" t="str">
        <f>VLOOKUP(tbl_details5[[#This Row],[Order ID]],Table1[],4,FALSE)</f>
        <v>Siddharth</v>
      </c>
      <c r="K567" t="str">
        <f>VLOOKUP(tbl_details5[[#This Row],[Order ID]],Table1[],5,FALSE)</f>
        <v>Madhya Pradesh</v>
      </c>
      <c r="L567" t="str">
        <f>VLOOKUP(tbl_details5[[#This Row],[Order ID]],Table1[],6,FALSE)</f>
        <v>Indore</v>
      </c>
    </row>
    <row r="568" spans="1:12" x14ac:dyDescent="0.25">
      <c r="A568" t="s">
        <v>406</v>
      </c>
      <c r="B568" s="4">
        <v>63</v>
      </c>
      <c r="C568" s="4">
        <v>-24</v>
      </c>
      <c r="D568" s="5">
        <f>tbl_details5[[#This Row],[Profit]]/tbl_details5[[#This Row],[Revenue]]</f>
        <v>-0.38095238095238093</v>
      </c>
      <c r="E568">
        <v>6</v>
      </c>
      <c r="F568" t="s">
        <v>885</v>
      </c>
      <c r="G568" t="s">
        <v>894</v>
      </c>
      <c r="H568" s="1">
        <f>VLOOKUP(tbl_details5[[#This Row],[Order ID]],Orders!A:F,2,FALSE)</f>
        <v>43367</v>
      </c>
      <c r="I568" s="1" t="str">
        <f>TEXT(tbl_details5[[#This Row],[Order Date]],"mmm-yy")</f>
        <v>Sep-18</v>
      </c>
      <c r="J568" t="str">
        <f>VLOOKUP(tbl_details5[[#This Row],[Order ID]],Table1[],4,FALSE)</f>
        <v>Siddharth</v>
      </c>
      <c r="K568" t="str">
        <f>VLOOKUP(tbl_details5[[#This Row],[Order ID]],Table1[],5,FALSE)</f>
        <v>Madhya Pradesh</v>
      </c>
      <c r="L568" t="str">
        <f>VLOOKUP(tbl_details5[[#This Row],[Order ID]],Table1[],6,FALSE)</f>
        <v>Indore</v>
      </c>
    </row>
    <row r="569" spans="1:12" x14ac:dyDescent="0.25">
      <c r="A569" t="s">
        <v>406</v>
      </c>
      <c r="B569" s="4">
        <v>60</v>
      </c>
      <c r="C569" s="4">
        <v>-12</v>
      </c>
      <c r="D569" s="5">
        <f>tbl_details5[[#This Row],[Profit]]/tbl_details5[[#This Row],[Revenue]]</f>
        <v>-0.2</v>
      </c>
      <c r="E569">
        <v>4</v>
      </c>
      <c r="F569" t="s">
        <v>885</v>
      </c>
      <c r="G569" t="s">
        <v>887</v>
      </c>
      <c r="H569" s="1">
        <f>VLOOKUP(tbl_details5[[#This Row],[Order ID]],Orders!A:F,2,FALSE)</f>
        <v>43367</v>
      </c>
      <c r="I569" s="1" t="str">
        <f>TEXT(tbl_details5[[#This Row],[Order Date]],"mmm-yy")</f>
        <v>Sep-18</v>
      </c>
      <c r="J569" t="str">
        <f>VLOOKUP(tbl_details5[[#This Row],[Order ID]],Table1[],4,FALSE)</f>
        <v>Siddharth</v>
      </c>
      <c r="K569" t="str">
        <f>VLOOKUP(tbl_details5[[#This Row],[Order ID]],Table1[],5,FALSE)</f>
        <v>Madhya Pradesh</v>
      </c>
      <c r="L569" t="str">
        <f>VLOOKUP(tbl_details5[[#This Row],[Order ID]],Table1[],6,FALSE)</f>
        <v>Indore</v>
      </c>
    </row>
    <row r="570" spans="1:12" x14ac:dyDescent="0.25">
      <c r="A570" t="s">
        <v>406</v>
      </c>
      <c r="B570" s="4">
        <v>257</v>
      </c>
      <c r="C570" s="4">
        <v>-252</v>
      </c>
      <c r="D570" s="5">
        <f>tbl_details5[[#This Row],[Profit]]/tbl_details5[[#This Row],[Revenue]]</f>
        <v>-0.98054474708171202</v>
      </c>
      <c r="E570">
        <v>4</v>
      </c>
      <c r="F570" t="s">
        <v>885</v>
      </c>
      <c r="G570" t="s">
        <v>891</v>
      </c>
      <c r="H570" s="1">
        <f>VLOOKUP(tbl_details5[[#This Row],[Order ID]],Orders!A:F,2,FALSE)</f>
        <v>43367</v>
      </c>
      <c r="I570" s="1" t="str">
        <f>TEXT(tbl_details5[[#This Row],[Order Date]],"mmm-yy")</f>
        <v>Sep-18</v>
      </c>
      <c r="J570" t="str">
        <f>VLOOKUP(tbl_details5[[#This Row],[Order ID]],Table1[],4,FALSE)</f>
        <v>Siddharth</v>
      </c>
      <c r="K570" t="str">
        <f>VLOOKUP(tbl_details5[[#This Row],[Order ID]],Table1[],5,FALSE)</f>
        <v>Madhya Pradesh</v>
      </c>
      <c r="L570" t="str">
        <f>VLOOKUP(tbl_details5[[#This Row],[Order ID]],Table1[],6,FALSE)</f>
        <v>Indore</v>
      </c>
    </row>
    <row r="571" spans="1:12" x14ac:dyDescent="0.25">
      <c r="A571" t="s">
        <v>406</v>
      </c>
      <c r="B571" s="4">
        <v>24</v>
      </c>
      <c r="C571" s="4">
        <v>-1</v>
      </c>
      <c r="D571" s="5">
        <f>tbl_details5[[#This Row],[Profit]]/tbl_details5[[#This Row],[Revenue]]</f>
        <v>-4.1666666666666664E-2</v>
      </c>
      <c r="E571">
        <v>4</v>
      </c>
      <c r="F571" t="s">
        <v>885</v>
      </c>
      <c r="G571" t="s">
        <v>902</v>
      </c>
      <c r="H571" s="1">
        <f>VLOOKUP(tbl_details5[[#This Row],[Order ID]],Orders!A:F,2,FALSE)</f>
        <v>43367</v>
      </c>
      <c r="I571" s="1" t="str">
        <f>TEXT(tbl_details5[[#This Row],[Order Date]],"mmm-yy")</f>
        <v>Sep-18</v>
      </c>
      <c r="J571" t="str">
        <f>VLOOKUP(tbl_details5[[#This Row],[Order ID]],Table1[],4,FALSE)</f>
        <v>Siddharth</v>
      </c>
      <c r="K571" t="str">
        <f>VLOOKUP(tbl_details5[[#This Row],[Order ID]],Table1[],5,FALSE)</f>
        <v>Madhya Pradesh</v>
      </c>
      <c r="L571" t="str">
        <f>VLOOKUP(tbl_details5[[#This Row],[Order ID]],Table1[],6,FALSE)</f>
        <v>Indore</v>
      </c>
    </row>
    <row r="572" spans="1:12" x14ac:dyDescent="0.25">
      <c r="A572" t="s">
        <v>406</v>
      </c>
      <c r="B572" s="4">
        <v>18</v>
      </c>
      <c r="C572" s="4">
        <v>1</v>
      </c>
      <c r="D572" s="5">
        <f>tbl_details5[[#This Row],[Profit]]/tbl_details5[[#This Row],[Revenue]]</f>
        <v>5.5555555555555552E-2</v>
      </c>
      <c r="E572">
        <v>3</v>
      </c>
      <c r="F572" t="s">
        <v>885</v>
      </c>
      <c r="G572" t="s">
        <v>887</v>
      </c>
      <c r="H572" s="1">
        <f>VLOOKUP(tbl_details5[[#This Row],[Order ID]],Orders!A:F,2,FALSE)</f>
        <v>43367</v>
      </c>
      <c r="I572" s="1" t="str">
        <f>TEXT(tbl_details5[[#This Row],[Order Date]],"mmm-yy")</f>
        <v>Sep-18</v>
      </c>
      <c r="J572" t="str">
        <f>VLOOKUP(tbl_details5[[#This Row],[Order ID]],Table1[],4,FALSE)</f>
        <v>Siddharth</v>
      </c>
      <c r="K572" t="str">
        <f>VLOOKUP(tbl_details5[[#This Row],[Order ID]],Table1[],5,FALSE)</f>
        <v>Madhya Pradesh</v>
      </c>
      <c r="L572" t="str">
        <f>VLOOKUP(tbl_details5[[#This Row],[Order ID]],Table1[],6,FALSE)</f>
        <v>Indore</v>
      </c>
    </row>
    <row r="573" spans="1:12" x14ac:dyDescent="0.25">
      <c r="A573" t="s">
        <v>406</v>
      </c>
      <c r="B573" s="4">
        <v>1402</v>
      </c>
      <c r="C573" s="4">
        <v>109</v>
      </c>
      <c r="D573" s="5">
        <f>tbl_details5[[#This Row],[Profit]]/tbl_details5[[#This Row],[Revenue]]</f>
        <v>7.7746077032810265E-2</v>
      </c>
      <c r="E573">
        <v>11</v>
      </c>
      <c r="F573" t="s">
        <v>885</v>
      </c>
      <c r="G573" t="s">
        <v>891</v>
      </c>
      <c r="H573" s="1">
        <f>VLOOKUP(tbl_details5[[#This Row],[Order ID]],Orders!A:F,2,FALSE)</f>
        <v>43367</v>
      </c>
      <c r="I573" s="1" t="str">
        <f>TEXT(tbl_details5[[#This Row],[Order Date]],"mmm-yy")</f>
        <v>Sep-18</v>
      </c>
      <c r="J573" t="str">
        <f>VLOOKUP(tbl_details5[[#This Row],[Order ID]],Table1[],4,FALSE)</f>
        <v>Siddharth</v>
      </c>
      <c r="K573" t="str">
        <f>VLOOKUP(tbl_details5[[#This Row],[Order ID]],Table1[],5,FALSE)</f>
        <v>Madhya Pradesh</v>
      </c>
      <c r="L573" t="str">
        <f>VLOOKUP(tbl_details5[[#This Row],[Order ID]],Table1[],6,FALSE)</f>
        <v>Indore</v>
      </c>
    </row>
    <row r="574" spans="1:12" x14ac:dyDescent="0.25">
      <c r="A574" t="s">
        <v>408</v>
      </c>
      <c r="B574" s="4">
        <v>176</v>
      </c>
      <c r="C574" s="4">
        <v>37</v>
      </c>
      <c r="D574" s="5">
        <f>tbl_details5[[#This Row],[Profit]]/tbl_details5[[#This Row],[Revenue]]</f>
        <v>0.21022727272727273</v>
      </c>
      <c r="E574">
        <v>6</v>
      </c>
      <c r="F574" t="s">
        <v>888</v>
      </c>
      <c r="G574" t="s">
        <v>900</v>
      </c>
      <c r="H574" s="1">
        <f>VLOOKUP(tbl_details5[[#This Row],[Order ID]],Orders!A:F,2,FALSE)</f>
        <v>43367</v>
      </c>
      <c r="I574" s="1" t="str">
        <f>TEXT(tbl_details5[[#This Row],[Order Date]],"mmm-yy")</f>
        <v>Sep-18</v>
      </c>
      <c r="J574" t="str">
        <f>VLOOKUP(tbl_details5[[#This Row],[Order ID]],Table1[],4,FALSE)</f>
        <v>Aditya</v>
      </c>
      <c r="K574" t="str">
        <f>VLOOKUP(tbl_details5[[#This Row],[Order ID]],Table1[],5,FALSE)</f>
        <v>Himachal Pradesh</v>
      </c>
      <c r="L574" t="str">
        <f>VLOOKUP(tbl_details5[[#This Row],[Order ID]],Table1[],6,FALSE)</f>
        <v>Simla</v>
      </c>
    </row>
    <row r="575" spans="1:12" x14ac:dyDescent="0.25">
      <c r="A575" t="s">
        <v>409</v>
      </c>
      <c r="B575" s="4">
        <v>276</v>
      </c>
      <c r="C575" s="4">
        <v>-21</v>
      </c>
      <c r="D575" s="5">
        <f>tbl_details5[[#This Row],[Profit]]/tbl_details5[[#This Row],[Revenue]]</f>
        <v>-7.6086956521739135E-2</v>
      </c>
      <c r="E575">
        <v>2</v>
      </c>
      <c r="F575" t="s">
        <v>888</v>
      </c>
      <c r="G575" t="s">
        <v>890</v>
      </c>
      <c r="H575" s="1">
        <f>VLOOKUP(tbl_details5[[#This Row],[Order ID]],Orders!A:F,2,FALSE)</f>
        <v>43367</v>
      </c>
      <c r="I575" s="1" t="str">
        <f>TEXT(tbl_details5[[#This Row],[Order Date]],"mmm-yy")</f>
        <v>Sep-18</v>
      </c>
      <c r="J575" t="str">
        <f>VLOOKUP(tbl_details5[[#This Row],[Order ID]],Table1[],4,FALSE)</f>
        <v>Sukant</v>
      </c>
      <c r="K575" t="str">
        <f>VLOOKUP(tbl_details5[[#This Row],[Order ID]],Table1[],5,FALSE)</f>
        <v>Sikkim</v>
      </c>
      <c r="L575" t="str">
        <f>VLOOKUP(tbl_details5[[#This Row],[Order ID]],Table1[],6,FALSE)</f>
        <v>Gangtok</v>
      </c>
    </row>
    <row r="576" spans="1:12" x14ac:dyDescent="0.25">
      <c r="A576" t="s">
        <v>411</v>
      </c>
      <c r="B576" s="4">
        <v>37</v>
      </c>
      <c r="C576" s="4">
        <v>-6</v>
      </c>
      <c r="D576" s="5">
        <f>tbl_details5[[#This Row],[Profit]]/tbl_details5[[#This Row],[Revenue]]</f>
        <v>-0.16216216216216217</v>
      </c>
      <c r="E576">
        <v>1</v>
      </c>
      <c r="F576" t="s">
        <v>885</v>
      </c>
      <c r="G576" t="s">
        <v>891</v>
      </c>
      <c r="H576" s="1">
        <f>VLOOKUP(tbl_details5[[#This Row],[Order ID]],Orders!A:F,2,FALSE)</f>
        <v>43367</v>
      </c>
      <c r="I576" s="1" t="str">
        <f>TEXT(tbl_details5[[#This Row],[Order Date]],"mmm-yy")</f>
        <v>Sep-18</v>
      </c>
      <c r="J576" t="str">
        <f>VLOOKUP(tbl_details5[[#This Row],[Order ID]],Table1[],4,FALSE)</f>
        <v>Sukrith</v>
      </c>
      <c r="K576" t="str">
        <f>VLOOKUP(tbl_details5[[#This Row],[Order ID]],Table1[],5,FALSE)</f>
        <v>Maharashtra</v>
      </c>
      <c r="L576" t="str">
        <f>VLOOKUP(tbl_details5[[#This Row],[Order ID]],Table1[],6,FALSE)</f>
        <v>Mumbai</v>
      </c>
    </row>
    <row r="577" spans="1:12" x14ac:dyDescent="0.25">
      <c r="A577" t="s">
        <v>411</v>
      </c>
      <c r="B577" s="4">
        <v>28</v>
      </c>
      <c r="C577" s="4">
        <v>1</v>
      </c>
      <c r="D577" s="5">
        <f>tbl_details5[[#This Row],[Profit]]/tbl_details5[[#This Row],[Revenue]]</f>
        <v>3.5714285714285712E-2</v>
      </c>
      <c r="E577">
        <v>1</v>
      </c>
      <c r="F577" t="s">
        <v>888</v>
      </c>
      <c r="G577" t="s">
        <v>900</v>
      </c>
      <c r="H577" s="1">
        <f>VLOOKUP(tbl_details5[[#This Row],[Order ID]],Orders!A:F,2,FALSE)</f>
        <v>43367</v>
      </c>
      <c r="I577" s="1" t="str">
        <f>TEXT(tbl_details5[[#This Row],[Order Date]],"mmm-yy")</f>
        <v>Sep-18</v>
      </c>
      <c r="J577" t="str">
        <f>VLOOKUP(tbl_details5[[#This Row],[Order ID]],Table1[],4,FALSE)</f>
        <v>Sukrith</v>
      </c>
      <c r="K577" t="str">
        <f>VLOOKUP(tbl_details5[[#This Row],[Order ID]],Table1[],5,FALSE)</f>
        <v>Maharashtra</v>
      </c>
      <c r="L577" t="str">
        <f>VLOOKUP(tbl_details5[[#This Row],[Order ID]],Table1[],6,FALSE)</f>
        <v>Mumbai</v>
      </c>
    </row>
    <row r="578" spans="1:12" x14ac:dyDescent="0.25">
      <c r="A578" t="s">
        <v>411</v>
      </c>
      <c r="B578" s="4">
        <v>239</v>
      </c>
      <c r="C578" s="4">
        <v>-162</v>
      </c>
      <c r="D578" s="5">
        <f>tbl_details5[[#This Row],[Profit]]/tbl_details5[[#This Row],[Revenue]]</f>
        <v>-0.67782426778242677</v>
      </c>
      <c r="E578">
        <v>5</v>
      </c>
      <c r="F578" t="s">
        <v>883</v>
      </c>
      <c r="G578" t="s">
        <v>893</v>
      </c>
      <c r="H578" s="1">
        <f>VLOOKUP(tbl_details5[[#This Row],[Order ID]],Orders!A:F,2,FALSE)</f>
        <v>43367</v>
      </c>
      <c r="I578" s="1" t="str">
        <f>TEXT(tbl_details5[[#This Row],[Order Date]],"mmm-yy")</f>
        <v>Sep-18</v>
      </c>
      <c r="J578" t="str">
        <f>VLOOKUP(tbl_details5[[#This Row],[Order ID]],Table1[],4,FALSE)</f>
        <v>Sukrith</v>
      </c>
      <c r="K578" t="str">
        <f>VLOOKUP(tbl_details5[[#This Row],[Order ID]],Table1[],5,FALSE)</f>
        <v>Maharashtra</v>
      </c>
      <c r="L578" t="str">
        <f>VLOOKUP(tbl_details5[[#This Row],[Order ID]],Table1[],6,FALSE)</f>
        <v>Mumbai</v>
      </c>
    </row>
    <row r="579" spans="1:12" x14ac:dyDescent="0.25">
      <c r="A579" t="s">
        <v>411</v>
      </c>
      <c r="B579" s="4">
        <v>78</v>
      </c>
      <c r="C579" s="4">
        <v>-64</v>
      </c>
      <c r="D579" s="5">
        <f>tbl_details5[[#This Row],[Profit]]/tbl_details5[[#This Row],[Revenue]]</f>
        <v>-0.82051282051282048</v>
      </c>
      <c r="E579">
        <v>7</v>
      </c>
      <c r="F579" t="s">
        <v>885</v>
      </c>
      <c r="G579" t="s">
        <v>886</v>
      </c>
      <c r="H579" s="1">
        <f>VLOOKUP(tbl_details5[[#This Row],[Order ID]],Orders!A:F,2,FALSE)</f>
        <v>43367</v>
      </c>
      <c r="I579" s="1" t="str">
        <f>TEXT(tbl_details5[[#This Row],[Order Date]],"mmm-yy")</f>
        <v>Sep-18</v>
      </c>
      <c r="J579" t="str">
        <f>VLOOKUP(tbl_details5[[#This Row],[Order ID]],Table1[],4,FALSE)</f>
        <v>Sukrith</v>
      </c>
      <c r="K579" t="str">
        <f>VLOOKUP(tbl_details5[[#This Row],[Order ID]],Table1[],5,FALSE)</f>
        <v>Maharashtra</v>
      </c>
      <c r="L579" t="str">
        <f>VLOOKUP(tbl_details5[[#This Row],[Order ID]],Table1[],6,FALSE)</f>
        <v>Mumbai</v>
      </c>
    </row>
    <row r="580" spans="1:12" x14ac:dyDescent="0.25">
      <c r="A580" t="s">
        <v>411</v>
      </c>
      <c r="B580" s="4">
        <v>632</v>
      </c>
      <c r="C580" s="4">
        <v>-316</v>
      </c>
      <c r="D580" s="5">
        <f>tbl_details5[[#This Row],[Profit]]/tbl_details5[[#This Row],[Revenue]]</f>
        <v>-0.5</v>
      </c>
      <c r="E580">
        <v>6</v>
      </c>
      <c r="F580" t="s">
        <v>885</v>
      </c>
      <c r="G580" t="s">
        <v>891</v>
      </c>
      <c r="H580" s="1">
        <f>VLOOKUP(tbl_details5[[#This Row],[Order ID]],Orders!A:F,2,FALSE)</f>
        <v>43367</v>
      </c>
      <c r="I580" s="1" t="str">
        <f>TEXT(tbl_details5[[#This Row],[Order Date]],"mmm-yy")</f>
        <v>Sep-18</v>
      </c>
      <c r="J580" t="str">
        <f>VLOOKUP(tbl_details5[[#This Row],[Order ID]],Table1[],4,FALSE)</f>
        <v>Sukrith</v>
      </c>
      <c r="K580" t="str">
        <f>VLOOKUP(tbl_details5[[#This Row],[Order ID]],Table1[],5,FALSE)</f>
        <v>Maharashtra</v>
      </c>
      <c r="L580" t="str">
        <f>VLOOKUP(tbl_details5[[#This Row],[Order ID]],Table1[],6,FALSE)</f>
        <v>Mumbai</v>
      </c>
    </row>
    <row r="581" spans="1:12" x14ac:dyDescent="0.25">
      <c r="A581" t="s">
        <v>411</v>
      </c>
      <c r="B581" s="4">
        <v>559</v>
      </c>
      <c r="C581" s="4">
        <v>-19</v>
      </c>
      <c r="D581" s="5">
        <f>tbl_details5[[#This Row],[Profit]]/tbl_details5[[#This Row],[Revenue]]</f>
        <v>-3.3989266547406083E-2</v>
      </c>
      <c r="E581">
        <v>2</v>
      </c>
      <c r="F581" t="s">
        <v>885</v>
      </c>
      <c r="G581" t="s">
        <v>892</v>
      </c>
      <c r="H581" s="1">
        <f>VLOOKUP(tbl_details5[[#This Row],[Order ID]],Orders!A:F,2,FALSE)</f>
        <v>43367</v>
      </c>
      <c r="I581" s="1" t="str">
        <f>TEXT(tbl_details5[[#This Row],[Order Date]],"mmm-yy")</f>
        <v>Sep-18</v>
      </c>
      <c r="J581" t="str">
        <f>VLOOKUP(tbl_details5[[#This Row],[Order ID]],Table1[],4,FALSE)</f>
        <v>Sukrith</v>
      </c>
      <c r="K581" t="str">
        <f>VLOOKUP(tbl_details5[[#This Row],[Order ID]],Table1[],5,FALSE)</f>
        <v>Maharashtra</v>
      </c>
      <c r="L581" t="str">
        <f>VLOOKUP(tbl_details5[[#This Row],[Order ID]],Table1[],6,FALSE)</f>
        <v>Mumbai</v>
      </c>
    </row>
    <row r="582" spans="1:12" x14ac:dyDescent="0.25">
      <c r="A582" t="s">
        <v>411</v>
      </c>
      <c r="B582" s="4">
        <v>148</v>
      </c>
      <c r="C582" s="4">
        <v>0</v>
      </c>
      <c r="D582" s="5">
        <f>tbl_details5[[#This Row],[Profit]]/tbl_details5[[#This Row],[Revenue]]</f>
        <v>0</v>
      </c>
      <c r="E582">
        <v>3</v>
      </c>
      <c r="F582" t="s">
        <v>885</v>
      </c>
      <c r="G582" t="s">
        <v>891</v>
      </c>
      <c r="H582" s="1">
        <f>VLOOKUP(tbl_details5[[#This Row],[Order ID]],Orders!A:F,2,FALSE)</f>
        <v>43367</v>
      </c>
      <c r="I582" s="1" t="str">
        <f>TEXT(tbl_details5[[#This Row],[Order Date]],"mmm-yy")</f>
        <v>Sep-18</v>
      </c>
      <c r="J582" t="str">
        <f>VLOOKUP(tbl_details5[[#This Row],[Order ID]],Table1[],4,FALSE)</f>
        <v>Sukrith</v>
      </c>
      <c r="K582" t="str">
        <f>VLOOKUP(tbl_details5[[#This Row],[Order ID]],Table1[],5,FALSE)</f>
        <v>Maharashtra</v>
      </c>
      <c r="L582" t="str">
        <f>VLOOKUP(tbl_details5[[#This Row],[Order ID]],Table1[],6,FALSE)</f>
        <v>Mumbai</v>
      </c>
    </row>
    <row r="583" spans="1:12" x14ac:dyDescent="0.25">
      <c r="A583" t="s">
        <v>413</v>
      </c>
      <c r="B583" s="4">
        <v>976</v>
      </c>
      <c r="C583" s="4">
        <v>293</v>
      </c>
      <c r="D583" s="5">
        <f>tbl_details5[[#This Row],[Profit]]/tbl_details5[[#This Row],[Revenue]]</f>
        <v>0.30020491803278687</v>
      </c>
      <c r="E583">
        <v>4</v>
      </c>
      <c r="F583" t="s">
        <v>888</v>
      </c>
      <c r="G583" t="s">
        <v>900</v>
      </c>
      <c r="H583" s="1">
        <f>VLOOKUP(tbl_details5[[#This Row],[Order ID]],Orders!A:F,2,FALSE)</f>
        <v>43373</v>
      </c>
      <c r="I583" s="1" t="str">
        <f>TEXT(tbl_details5[[#This Row],[Order Date]],"mmm-yy")</f>
        <v>Sep-18</v>
      </c>
      <c r="J583" t="str">
        <f>VLOOKUP(tbl_details5[[#This Row],[Order ID]],Table1[],4,FALSE)</f>
        <v>Sauptik</v>
      </c>
      <c r="K583" t="str">
        <f>VLOOKUP(tbl_details5[[#This Row],[Order ID]],Table1[],5,FALSE)</f>
        <v>Madhya Pradesh</v>
      </c>
      <c r="L583" t="str">
        <f>VLOOKUP(tbl_details5[[#This Row],[Order ID]],Table1[],6,FALSE)</f>
        <v>Indore</v>
      </c>
    </row>
    <row r="584" spans="1:12" x14ac:dyDescent="0.25">
      <c r="A584" t="s">
        <v>413</v>
      </c>
      <c r="B584" s="4">
        <v>148</v>
      </c>
      <c r="C584" s="4">
        <v>-101</v>
      </c>
      <c r="D584" s="5">
        <f>tbl_details5[[#This Row],[Profit]]/tbl_details5[[#This Row],[Revenue]]</f>
        <v>-0.68243243243243246</v>
      </c>
      <c r="E584">
        <v>2</v>
      </c>
      <c r="F584" t="s">
        <v>883</v>
      </c>
      <c r="G584" t="s">
        <v>884</v>
      </c>
      <c r="H584" s="1">
        <f>VLOOKUP(tbl_details5[[#This Row],[Order ID]],Orders!A:F,2,FALSE)</f>
        <v>43373</v>
      </c>
      <c r="I584" s="1" t="str">
        <f>TEXT(tbl_details5[[#This Row],[Order Date]],"mmm-yy")</f>
        <v>Sep-18</v>
      </c>
      <c r="J584" t="str">
        <f>VLOOKUP(tbl_details5[[#This Row],[Order ID]],Table1[],4,FALSE)</f>
        <v>Sauptik</v>
      </c>
      <c r="K584" t="str">
        <f>VLOOKUP(tbl_details5[[#This Row],[Order ID]],Table1[],5,FALSE)</f>
        <v>Madhya Pradesh</v>
      </c>
      <c r="L584" t="str">
        <f>VLOOKUP(tbl_details5[[#This Row],[Order ID]],Table1[],6,FALSE)</f>
        <v>Indore</v>
      </c>
    </row>
    <row r="585" spans="1:12" x14ac:dyDescent="0.25">
      <c r="A585" t="s">
        <v>413</v>
      </c>
      <c r="B585" s="4">
        <v>413</v>
      </c>
      <c r="C585" s="4">
        <v>-314</v>
      </c>
      <c r="D585" s="5">
        <f>tbl_details5[[#This Row],[Profit]]/tbl_details5[[#This Row],[Revenue]]</f>
        <v>-0.76029055690072644</v>
      </c>
      <c r="E585">
        <v>9</v>
      </c>
      <c r="F585" t="s">
        <v>883</v>
      </c>
      <c r="G585" t="s">
        <v>893</v>
      </c>
      <c r="H585" s="1">
        <f>VLOOKUP(tbl_details5[[#This Row],[Order ID]],Orders!A:F,2,FALSE)</f>
        <v>43373</v>
      </c>
      <c r="I585" s="1" t="str">
        <f>TEXT(tbl_details5[[#This Row],[Order Date]],"mmm-yy")</f>
        <v>Sep-18</v>
      </c>
      <c r="J585" t="str">
        <f>VLOOKUP(tbl_details5[[#This Row],[Order ID]],Table1[],4,FALSE)</f>
        <v>Sauptik</v>
      </c>
      <c r="K585" t="str">
        <f>VLOOKUP(tbl_details5[[#This Row],[Order ID]],Table1[],5,FALSE)</f>
        <v>Madhya Pradesh</v>
      </c>
      <c r="L585" t="str">
        <f>VLOOKUP(tbl_details5[[#This Row],[Order ID]],Table1[],6,FALSE)</f>
        <v>Indore</v>
      </c>
    </row>
    <row r="586" spans="1:12" x14ac:dyDescent="0.25">
      <c r="A586" t="s">
        <v>413</v>
      </c>
      <c r="B586" s="4">
        <v>89</v>
      </c>
      <c r="C586" s="4">
        <v>-4</v>
      </c>
      <c r="D586" s="5">
        <f>tbl_details5[[#This Row],[Profit]]/tbl_details5[[#This Row],[Revenue]]</f>
        <v>-4.49438202247191E-2</v>
      </c>
      <c r="E586">
        <v>5</v>
      </c>
      <c r="F586" t="s">
        <v>885</v>
      </c>
      <c r="G586" t="s">
        <v>891</v>
      </c>
      <c r="H586" s="1">
        <f>VLOOKUP(tbl_details5[[#This Row],[Order ID]],Orders!A:F,2,FALSE)</f>
        <v>43373</v>
      </c>
      <c r="I586" s="1" t="str">
        <f>TEXT(tbl_details5[[#This Row],[Order Date]],"mmm-yy")</f>
        <v>Sep-18</v>
      </c>
      <c r="J586" t="str">
        <f>VLOOKUP(tbl_details5[[#This Row],[Order ID]],Table1[],4,FALSE)</f>
        <v>Sauptik</v>
      </c>
      <c r="K586" t="str">
        <f>VLOOKUP(tbl_details5[[#This Row],[Order ID]],Table1[],5,FALSE)</f>
        <v>Madhya Pradesh</v>
      </c>
      <c r="L586" t="str">
        <f>VLOOKUP(tbl_details5[[#This Row],[Order ID]],Table1[],6,FALSE)</f>
        <v>Indore</v>
      </c>
    </row>
    <row r="587" spans="1:12" x14ac:dyDescent="0.25">
      <c r="A587" t="s">
        <v>413</v>
      </c>
      <c r="B587" s="4">
        <v>1630</v>
      </c>
      <c r="C587" s="4">
        <v>-802</v>
      </c>
      <c r="D587" s="5">
        <f>tbl_details5[[#This Row],[Profit]]/tbl_details5[[#This Row],[Revenue]]</f>
        <v>-0.4920245398773006</v>
      </c>
      <c r="E587">
        <v>5</v>
      </c>
      <c r="F587" t="s">
        <v>883</v>
      </c>
      <c r="G587" t="s">
        <v>898</v>
      </c>
      <c r="H587" s="1">
        <f>VLOOKUP(tbl_details5[[#This Row],[Order ID]],Orders!A:F,2,FALSE)</f>
        <v>43373</v>
      </c>
      <c r="I587" s="1" t="str">
        <f>TEXT(tbl_details5[[#This Row],[Order Date]],"mmm-yy")</f>
        <v>Sep-18</v>
      </c>
      <c r="J587" t="str">
        <f>VLOOKUP(tbl_details5[[#This Row],[Order ID]],Table1[],4,FALSE)</f>
        <v>Sauptik</v>
      </c>
      <c r="K587" t="str">
        <f>VLOOKUP(tbl_details5[[#This Row],[Order ID]],Table1[],5,FALSE)</f>
        <v>Madhya Pradesh</v>
      </c>
      <c r="L587" t="str">
        <f>VLOOKUP(tbl_details5[[#This Row],[Order ID]],Table1[],6,FALSE)</f>
        <v>Indore</v>
      </c>
    </row>
    <row r="588" spans="1:12" x14ac:dyDescent="0.25">
      <c r="A588" t="s">
        <v>413</v>
      </c>
      <c r="B588" s="4">
        <v>31</v>
      </c>
      <c r="C588" s="4">
        <v>1</v>
      </c>
      <c r="D588" s="5">
        <f>tbl_details5[[#This Row],[Profit]]/tbl_details5[[#This Row],[Revenue]]</f>
        <v>3.2258064516129031E-2</v>
      </c>
      <c r="E588">
        <v>2</v>
      </c>
      <c r="F588" t="s">
        <v>885</v>
      </c>
      <c r="G588" t="s">
        <v>887</v>
      </c>
      <c r="H588" s="1">
        <f>VLOOKUP(tbl_details5[[#This Row],[Order ID]],Orders!A:F,2,FALSE)</f>
        <v>43373</v>
      </c>
      <c r="I588" s="1" t="str">
        <f>TEXT(tbl_details5[[#This Row],[Order Date]],"mmm-yy")</f>
        <v>Sep-18</v>
      </c>
      <c r="J588" t="str">
        <f>VLOOKUP(tbl_details5[[#This Row],[Order ID]],Table1[],4,FALSE)</f>
        <v>Sauptik</v>
      </c>
      <c r="K588" t="str">
        <f>VLOOKUP(tbl_details5[[#This Row],[Order ID]],Table1[],5,FALSE)</f>
        <v>Madhya Pradesh</v>
      </c>
      <c r="L588" t="str">
        <f>VLOOKUP(tbl_details5[[#This Row],[Order ID]],Table1[],6,FALSE)</f>
        <v>Indore</v>
      </c>
    </row>
    <row r="589" spans="1:12" x14ac:dyDescent="0.25">
      <c r="A589" t="s">
        <v>415</v>
      </c>
      <c r="B589" s="4">
        <v>379</v>
      </c>
      <c r="C589" s="4">
        <v>63</v>
      </c>
      <c r="D589" s="5">
        <f>tbl_details5[[#This Row],[Profit]]/tbl_details5[[#This Row],[Revenue]]</f>
        <v>0.16622691292875991</v>
      </c>
      <c r="E589">
        <v>2</v>
      </c>
      <c r="F589" t="s">
        <v>885</v>
      </c>
      <c r="G589" t="s">
        <v>891</v>
      </c>
      <c r="H589" s="1">
        <f>VLOOKUP(tbl_details5[[#This Row],[Order ID]],Orders!A:F,2,FALSE)</f>
        <v>43374</v>
      </c>
      <c r="I589" s="1" t="str">
        <f>TEXT(tbl_details5[[#This Row],[Order Date]],"mmm-yy")</f>
        <v>Oct-18</v>
      </c>
      <c r="J589" t="str">
        <f>VLOOKUP(tbl_details5[[#This Row],[Order ID]],Table1[],4,FALSE)</f>
        <v>Shishu</v>
      </c>
      <c r="K589" t="str">
        <f>VLOOKUP(tbl_details5[[#This Row],[Order ID]],Table1[],5,FALSE)</f>
        <v>Andhra Pradesh</v>
      </c>
      <c r="L589" t="str">
        <f>VLOOKUP(tbl_details5[[#This Row],[Order ID]],Table1[],6,FALSE)</f>
        <v>Hyderabad</v>
      </c>
    </row>
    <row r="590" spans="1:12" x14ac:dyDescent="0.25">
      <c r="A590" t="s">
        <v>415</v>
      </c>
      <c r="B590" s="4">
        <v>448</v>
      </c>
      <c r="C590" s="4">
        <v>148</v>
      </c>
      <c r="D590" s="5">
        <f>tbl_details5[[#This Row],[Profit]]/tbl_details5[[#This Row],[Revenue]]</f>
        <v>0.33035714285714285</v>
      </c>
      <c r="E590">
        <v>2</v>
      </c>
      <c r="F590" t="s">
        <v>888</v>
      </c>
      <c r="G590" t="s">
        <v>899</v>
      </c>
      <c r="H590" s="1">
        <f>VLOOKUP(tbl_details5[[#This Row],[Order ID]],Orders!A:F,2,FALSE)</f>
        <v>43374</v>
      </c>
      <c r="I590" s="1" t="str">
        <f>TEXT(tbl_details5[[#This Row],[Order Date]],"mmm-yy")</f>
        <v>Oct-18</v>
      </c>
      <c r="J590" t="str">
        <f>VLOOKUP(tbl_details5[[#This Row],[Order ID]],Table1[],4,FALSE)</f>
        <v>Shishu</v>
      </c>
      <c r="K590" t="str">
        <f>VLOOKUP(tbl_details5[[#This Row],[Order ID]],Table1[],5,FALSE)</f>
        <v>Andhra Pradesh</v>
      </c>
      <c r="L590" t="str">
        <f>VLOOKUP(tbl_details5[[#This Row],[Order ID]],Table1[],6,FALSE)</f>
        <v>Hyderabad</v>
      </c>
    </row>
    <row r="591" spans="1:12" x14ac:dyDescent="0.25">
      <c r="A591" t="s">
        <v>415</v>
      </c>
      <c r="B591" s="4">
        <v>2830</v>
      </c>
      <c r="C591" s="4">
        <v>-1981</v>
      </c>
      <c r="D591" s="5">
        <f>tbl_details5[[#This Row],[Profit]]/tbl_details5[[#This Row],[Revenue]]</f>
        <v>-0.7</v>
      </c>
      <c r="E591">
        <v>13</v>
      </c>
      <c r="F591" t="s">
        <v>883</v>
      </c>
      <c r="G591" t="s">
        <v>884</v>
      </c>
      <c r="H591" s="1">
        <f>VLOOKUP(tbl_details5[[#This Row],[Order ID]],Orders!A:F,2,FALSE)</f>
        <v>43374</v>
      </c>
      <c r="I591" s="1" t="str">
        <f>TEXT(tbl_details5[[#This Row],[Order Date]],"mmm-yy")</f>
        <v>Oct-18</v>
      </c>
      <c r="J591" t="str">
        <f>VLOOKUP(tbl_details5[[#This Row],[Order ID]],Table1[],4,FALSE)</f>
        <v>Shishu</v>
      </c>
      <c r="K591" t="str">
        <f>VLOOKUP(tbl_details5[[#This Row],[Order ID]],Table1[],5,FALSE)</f>
        <v>Andhra Pradesh</v>
      </c>
      <c r="L591" t="str">
        <f>VLOOKUP(tbl_details5[[#This Row],[Order ID]],Table1[],6,FALSE)</f>
        <v>Hyderabad</v>
      </c>
    </row>
    <row r="592" spans="1:12" x14ac:dyDescent="0.25">
      <c r="A592" t="s">
        <v>415</v>
      </c>
      <c r="B592" s="4">
        <v>47</v>
      </c>
      <c r="C592" s="4">
        <v>-3</v>
      </c>
      <c r="D592" s="5">
        <f>tbl_details5[[#This Row],[Profit]]/tbl_details5[[#This Row],[Revenue]]</f>
        <v>-6.3829787234042548E-2</v>
      </c>
      <c r="E592">
        <v>2</v>
      </c>
      <c r="F592" t="s">
        <v>885</v>
      </c>
      <c r="G592" t="s">
        <v>886</v>
      </c>
      <c r="H592" s="1">
        <f>VLOOKUP(tbl_details5[[#This Row],[Order ID]],Orders!A:F,2,FALSE)</f>
        <v>43374</v>
      </c>
      <c r="I592" s="1" t="str">
        <f>TEXT(tbl_details5[[#This Row],[Order Date]],"mmm-yy")</f>
        <v>Oct-18</v>
      </c>
      <c r="J592" t="str">
        <f>VLOOKUP(tbl_details5[[#This Row],[Order ID]],Table1[],4,FALSE)</f>
        <v>Shishu</v>
      </c>
      <c r="K592" t="str">
        <f>VLOOKUP(tbl_details5[[#This Row],[Order ID]],Table1[],5,FALSE)</f>
        <v>Andhra Pradesh</v>
      </c>
      <c r="L592" t="str">
        <f>VLOOKUP(tbl_details5[[#This Row],[Order ID]],Table1[],6,FALSE)</f>
        <v>Hyderabad</v>
      </c>
    </row>
    <row r="593" spans="1:12" x14ac:dyDescent="0.25">
      <c r="A593" t="s">
        <v>415</v>
      </c>
      <c r="B593" s="4">
        <v>38</v>
      </c>
      <c r="C593" s="4">
        <v>-13</v>
      </c>
      <c r="D593" s="5">
        <f>tbl_details5[[#This Row],[Profit]]/tbl_details5[[#This Row],[Revenue]]</f>
        <v>-0.34210526315789475</v>
      </c>
      <c r="E593">
        <v>3</v>
      </c>
      <c r="F593" t="s">
        <v>885</v>
      </c>
      <c r="G593" t="s">
        <v>886</v>
      </c>
      <c r="H593" s="1">
        <f>VLOOKUP(tbl_details5[[#This Row],[Order ID]],Orders!A:F,2,FALSE)</f>
        <v>43374</v>
      </c>
      <c r="I593" s="1" t="str">
        <f>TEXT(tbl_details5[[#This Row],[Order Date]],"mmm-yy")</f>
        <v>Oct-18</v>
      </c>
      <c r="J593" t="str">
        <f>VLOOKUP(tbl_details5[[#This Row],[Order ID]],Table1[],4,FALSE)</f>
        <v>Shishu</v>
      </c>
      <c r="K593" t="str">
        <f>VLOOKUP(tbl_details5[[#This Row],[Order ID]],Table1[],5,FALSE)</f>
        <v>Andhra Pradesh</v>
      </c>
      <c r="L593" t="str">
        <f>VLOOKUP(tbl_details5[[#This Row],[Order ID]],Table1[],6,FALSE)</f>
        <v>Hyderabad</v>
      </c>
    </row>
    <row r="594" spans="1:12" x14ac:dyDescent="0.25">
      <c r="A594" t="s">
        <v>415</v>
      </c>
      <c r="B594" s="4">
        <v>61</v>
      </c>
      <c r="C594" s="4">
        <v>-50</v>
      </c>
      <c r="D594" s="5">
        <f>tbl_details5[[#This Row],[Profit]]/tbl_details5[[#This Row],[Revenue]]</f>
        <v>-0.81967213114754101</v>
      </c>
      <c r="E594">
        <v>4</v>
      </c>
      <c r="F594" t="s">
        <v>885</v>
      </c>
      <c r="G594" t="s">
        <v>887</v>
      </c>
      <c r="H594" s="1">
        <f>VLOOKUP(tbl_details5[[#This Row],[Order ID]],Orders!A:F,2,FALSE)</f>
        <v>43374</v>
      </c>
      <c r="I594" s="1" t="str">
        <f>TEXT(tbl_details5[[#This Row],[Order Date]],"mmm-yy")</f>
        <v>Oct-18</v>
      </c>
      <c r="J594" t="str">
        <f>VLOOKUP(tbl_details5[[#This Row],[Order ID]],Table1[],4,FALSE)</f>
        <v>Shishu</v>
      </c>
      <c r="K594" t="str">
        <f>VLOOKUP(tbl_details5[[#This Row],[Order ID]],Table1[],5,FALSE)</f>
        <v>Andhra Pradesh</v>
      </c>
      <c r="L594" t="str">
        <f>VLOOKUP(tbl_details5[[#This Row],[Order ID]],Table1[],6,FALSE)</f>
        <v>Hyderabad</v>
      </c>
    </row>
    <row r="595" spans="1:12" x14ac:dyDescent="0.25">
      <c r="A595" t="s">
        <v>417</v>
      </c>
      <c r="B595" s="4">
        <v>205</v>
      </c>
      <c r="C595" s="4">
        <v>-119</v>
      </c>
      <c r="D595" s="5">
        <f>tbl_details5[[#This Row],[Profit]]/tbl_details5[[#This Row],[Revenue]]</f>
        <v>-0.58048780487804874</v>
      </c>
      <c r="E595">
        <v>3</v>
      </c>
      <c r="F595" t="s">
        <v>885</v>
      </c>
      <c r="G595" t="s">
        <v>891</v>
      </c>
      <c r="H595" s="1">
        <f>VLOOKUP(tbl_details5[[#This Row],[Order ID]],Orders!A:F,2,FALSE)</f>
        <v>43374</v>
      </c>
      <c r="I595" s="1" t="str">
        <f>TEXT(tbl_details5[[#This Row],[Order Date]],"mmm-yy")</f>
        <v>Oct-18</v>
      </c>
      <c r="J595" t="str">
        <f>VLOOKUP(tbl_details5[[#This Row],[Order ID]],Table1[],4,FALSE)</f>
        <v>Divyansh</v>
      </c>
      <c r="K595" t="str">
        <f>VLOOKUP(tbl_details5[[#This Row],[Order ID]],Table1[],5,FALSE)</f>
        <v>Gujarat</v>
      </c>
      <c r="L595" t="str">
        <f>VLOOKUP(tbl_details5[[#This Row],[Order ID]],Table1[],6,FALSE)</f>
        <v>Ahmedabad</v>
      </c>
    </row>
    <row r="596" spans="1:12" x14ac:dyDescent="0.25">
      <c r="A596" t="s">
        <v>417</v>
      </c>
      <c r="B596" s="4">
        <v>47</v>
      </c>
      <c r="C596" s="4">
        <v>-27</v>
      </c>
      <c r="D596" s="5">
        <f>tbl_details5[[#This Row],[Profit]]/tbl_details5[[#This Row],[Revenue]]</f>
        <v>-0.57446808510638303</v>
      </c>
      <c r="E596">
        <v>4</v>
      </c>
      <c r="F596" t="s">
        <v>885</v>
      </c>
      <c r="G596" t="s">
        <v>891</v>
      </c>
      <c r="H596" s="1">
        <f>VLOOKUP(tbl_details5[[#This Row],[Order ID]],Orders!A:F,2,FALSE)</f>
        <v>43374</v>
      </c>
      <c r="I596" s="1" t="str">
        <f>TEXT(tbl_details5[[#This Row],[Order Date]],"mmm-yy")</f>
        <v>Oct-18</v>
      </c>
      <c r="J596" t="str">
        <f>VLOOKUP(tbl_details5[[#This Row],[Order ID]],Table1[],4,FALSE)</f>
        <v>Divyansh</v>
      </c>
      <c r="K596" t="str">
        <f>VLOOKUP(tbl_details5[[#This Row],[Order ID]],Table1[],5,FALSE)</f>
        <v>Gujarat</v>
      </c>
      <c r="L596" t="str">
        <f>VLOOKUP(tbl_details5[[#This Row],[Order ID]],Table1[],6,FALSE)</f>
        <v>Ahmedabad</v>
      </c>
    </row>
    <row r="597" spans="1:12" x14ac:dyDescent="0.25">
      <c r="A597" t="s">
        <v>417</v>
      </c>
      <c r="B597" s="4">
        <v>45</v>
      </c>
      <c r="C597" s="4">
        <v>-15</v>
      </c>
      <c r="D597" s="5">
        <f>tbl_details5[[#This Row],[Profit]]/tbl_details5[[#This Row],[Revenue]]</f>
        <v>-0.33333333333333331</v>
      </c>
      <c r="E597">
        <v>2</v>
      </c>
      <c r="F597" t="s">
        <v>883</v>
      </c>
      <c r="G597" t="s">
        <v>893</v>
      </c>
      <c r="H597" s="1">
        <f>VLOOKUP(tbl_details5[[#This Row],[Order ID]],Orders!A:F,2,FALSE)</f>
        <v>43374</v>
      </c>
      <c r="I597" s="1" t="str">
        <f>TEXT(tbl_details5[[#This Row],[Order Date]],"mmm-yy")</f>
        <v>Oct-18</v>
      </c>
      <c r="J597" t="str">
        <f>VLOOKUP(tbl_details5[[#This Row],[Order ID]],Table1[],4,FALSE)</f>
        <v>Divyansh</v>
      </c>
      <c r="K597" t="str">
        <f>VLOOKUP(tbl_details5[[#This Row],[Order ID]],Table1[],5,FALSE)</f>
        <v>Gujarat</v>
      </c>
      <c r="L597" t="str">
        <f>VLOOKUP(tbl_details5[[#This Row],[Order ID]],Table1[],6,FALSE)</f>
        <v>Ahmedabad</v>
      </c>
    </row>
    <row r="598" spans="1:12" x14ac:dyDescent="0.25">
      <c r="A598" t="s">
        <v>417</v>
      </c>
      <c r="B598" s="4">
        <v>70</v>
      </c>
      <c r="C598" s="4">
        <v>-64</v>
      </c>
      <c r="D598" s="5">
        <f>tbl_details5[[#This Row],[Profit]]/tbl_details5[[#This Row],[Revenue]]</f>
        <v>-0.91428571428571426</v>
      </c>
      <c r="E598">
        <v>5</v>
      </c>
      <c r="F598" t="s">
        <v>885</v>
      </c>
      <c r="G598" t="s">
        <v>886</v>
      </c>
      <c r="H598" s="1">
        <f>VLOOKUP(tbl_details5[[#This Row],[Order ID]],Orders!A:F,2,FALSE)</f>
        <v>43374</v>
      </c>
      <c r="I598" s="1" t="str">
        <f>TEXT(tbl_details5[[#This Row],[Order Date]],"mmm-yy")</f>
        <v>Oct-18</v>
      </c>
      <c r="J598" t="str">
        <f>VLOOKUP(tbl_details5[[#This Row],[Order ID]],Table1[],4,FALSE)</f>
        <v>Divyansh</v>
      </c>
      <c r="K598" t="str">
        <f>VLOOKUP(tbl_details5[[#This Row],[Order ID]],Table1[],5,FALSE)</f>
        <v>Gujarat</v>
      </c>
      <c r="L598" t="str">
        <f>VLOOKUP(tbl_details5[[#This Row],[Order ID]],Table1[],6,FALSE)</f>
        <v>Ahmedabad</v>
      </c>
    </row>
    <row r="599" spans="1:12" x14ac:dyDescent="0.25">
      <c r="A599" t="s">
        <v>419</v>
      </c>
      <c r="B599" s="4">
        <v>122</v>
      </c>
      <c r="C599" s="4">
        <v>-66</v>
      </c>
      <c r="D599" s="5">
        <f>tbl_details5[[#This Row],[Profit]]/tbl_details5[[#This Row],[Revenue]]</f>
        <v>-0.54098360655737709</v>
      </c>
      <c r="E599">
        <v>9</v>
      </c>
      <c r="F599" t="s">
        <v>888</v>
      </c>
      <c r="G599" t="s">
        <v>900</v>
      </c>
      <c r="H599" s="1">
        <f>VLOOKUP(tbl_details5[[#This Row],[Order ID]],Orders!A:F,2,FALSE)</f>
        <v>43374</v>
      </c>
      <c r="I599" s="1" t="str">
        <f>TEXT(tbl_details5[[#This Row],[Order Date]],"mmm-yy")</f>
        <v>Oct-18</v>
      </c>
      <c r="J599" t="str">
        <f>VLOOKUP(tbl_details5[[#This Row],[Order ID]],Table1[],4,FALSE)</f>
        <v>Ishit</v>
      </c>
      <c r="K599" t="str">
        <f>VLOOKUP(tbl_details5[[#This Row],[Order ID]],Table1[],5,FALSE)</f>
        <v>Maharashtra</v>
      </c>
      <c r="L599" t="str">
        <f>VLOOKUP(tbl_details5[[#This Row],[Order ID]],Table1[],6,FALSE)</f>
        <v>Pune</v>
      </c>
    </row>
    <row r="600" spans="1:12" x14ac:dyDescent="0.25">
      <c r="A600" t="s">
        <v>419</v>
      </c>
      <c r="B600" s="4">
        <v>21</v>
      </c>
      <c r="C600" s="4">
        <v>-6</v>
      </c>
      <c r="D600" s="5">
        <f>tbl_details5[[#This Row],[Profit]]/tbl_details5[[#This Row],[Revenue]]</f>
        <v>-0.2857142857142857</v>
      </c>
      <c r="E600">
        <v>3</v>
      </c>
      <c r="F600" t="s">
        <v>885</v>
      </c>
      <c r="G600" t="s">
        <v>897</v>
      </c>
      <c r="H600" s="1">
        <f>VLOOKUP(tbl_details5[[#This Row],[Order ID]],Orders!A:F,2,FALSE)</f>
        <v>43374</v>
      </c>
      <c r="I600" s="1" t="str">
        <f>TEXT(tbl_details5[[#This Row],[Order Date]],"mmm-yy")</f>
        <v>Oct-18</v>
      </c>
      <c r="J600" t="str">
        <f>VLOOKUP(tbl_details5[[#This Row],[Order ID]],Table1[],4,FALSE)</f>
        <v>Ishit</v>
      </c>
      <c r="K600" t="str">
        <f>VLOOKUP(tbl_details5[[#This Row],[Order ID]],Table1[],5,FALSE)</f>
        <v>Maharashtra</v>
      </c>
      <c r="L600" t="str">
        <f>VLOOKUP(tbl_details5[[#This Row],[Order ID]],Table1[],6,FALSE)</f>
        <v>Pune</v>
      </c>
    </row>
    <row r="601" spans="1:12" x14ac:dyDescent="0.25">
      <c r="A601" t="s">
        <v>419</v>
      </c>
      <c r="B601" s="4">
        <v>45</v>
      </c>
      <c r="C601" s="4">
        <v>12</v>
      </c>
      <c r="D601" s="5">
        <f>tbl_details5[[#This Row],[Profit]]/tbl_details5[[#This Row],[Revenue]]</f>
        <v>0.26666666666666666</v>
      </c>
      <c r="E601">
        <v>7</v>
      </c>
      <c r="F601" t="s">
        <v>885</v>
      </c>
      <c r="G601" t="s">
        <v>887</v>
      </c>
      <c r="H601" s="1">
        <f>VLOOKUP(tbl_details5[[#This Row],[Order ID]],Orders!A:F,2,FALSE)</f>
        <v>43374</v>
      </c>
      <c r="I601" s="1" t="str">
        <f>TEXT(tbl_details5[[#This Row],[Order Date]],"mmm-yy")</f>
        <v>Oct-18</v>
      </c>
      <c r="J601" t="str">
        <f>VLOOKUP(tbl_details5[[#This Row],[Order ID]],Table1[],4,FALSE)</f>
        <v>Ishit</v>
      </c>
      <c r="K601" t="str">
        <f>VLOOKUP(tbl_details5[[#This Row],[Order ID]],Table1[],5,FALSE)</f>
        <v>Maharashtra</v>
      </c>
      <c r="L601" t="str">
        <f>VLOOKUP(tbl_details5[[#This Row],[Order ID]],Table1[],6,FALSE)</f>
        <v>Pune</v>
      </c>
    </row>
    <row r="602" spans="1:12" x14ac:dyDescent="0.25">
      <c r="A602" t="s">
        <v>421</v>
      </c>
      <c r="B602" s="4">
        <v>64</v>
      </c>
      <c r="C602" s="4">
        <v>6</v>
      </c>
      <c r="D602" s="5">
        <f>tbl_details5[[#This Row],[Profit]]/tbl_details5[[#This Row],[Revenue]]</f>
        <v>9.375E-2</v>
      </c>
      <c r="E602">
        <v>4</v>
      </c>
      <c r="F602" t="s">
        <v>885</v>
      </c>
      <c r="G602" t="s">
        <v>891</v>
      </c>
      <c r="H602" s="1">
        <f>VLOOKUP(tbl_details5[[#This Row],[Order ID]],Orders!A:F,2,FALSE)</f>
        <v>43374</v>
      </c>
      <c r="I602" s="1" t="str">
        <f>TEXT(tbl_details5[[#This Row],[Order Date]],"mmm-yy")</f>
        <v>Oct-18</v>
      </c>
      <c r="J602" t="str">
        <f>VLOOKUP(tbl_details5[[#This Row],[Order ID]],Table1[],4,FALSE)</f>
        <v>Aryan</v>
      </c>
      <c r="K602" t="str">
        <f>VLOOKUP(tbl_details5[[#This Row],[Order ID]],Table1[],5,FALSE)</f>
        <v>Madhya Pradesh</v>
      </c>
      <c r="L602" t="str">
        <f>VLOOKUP(tbl_details5[[#This Row],[Order ID]],Table1[],6,FALSE)</f>
        <v>Bhopal</v>
      </c>
    </row>
    <row r="603" spans="1:12" x14ac:dyDescent="0.25">
      <c r="A603" t="s">
        <v>421</v>
      </c>
      <c r="B603" s="4">
        <v>49</v>
      </c>
      <c r="C603" s="4">
        <v>-31</v>
      </c>
      <c r="D603" s="5">
        <f>tbl_details5[[#This Row],[Profit]]/tbl_details5[[#This Row],[Revenue]]</f>
        <v>-0.63265306122448983</v>
      </c>
      <c r="E603">
        <v>2</v>
      </c>
      <c r="F603" t="s">
        <v>885</v>
      </c>
      <c r="G603" t="s">
        <v>886</v>
      </c>
      <c r="H603" s="1">
        <f>VLOOKUP(tbl_details5[[#This Row],[Order ID]],Orders!A:F,2,FALSE)</f>
        <v>43374</v>
      </c>
      <c r="I603" s="1" t="str">
        <f>TEXT(tbl_details5[[#This Row],[Order Date]],"mmm-yy")</f>
        <v>Oct-18</v>
      </c>
      <c r="J603" t="str">
        <f>VLOOKUP(tbl_details5[[#This Row],[Order ID]],Table1[],4,FALSE)</f>
        <v>Aryan</v>
      </c>
      <c r="K603" t="str">
        <f>VLOOKUP(tbl_details5[[#This Row],[Order ID]],Table1[],5,FALSE)</f>
        <v>Madhya Pradesh</v>
      </c>
      <c r="L603" t="str">
        <f>VLOOKUP(tbl_details5[[#This Row],[Order ID]],Table1[],6,FALSE)</f>
        <v>Bhopal</v>
      </c>
    </row>
    <row r="604" spans="1:12" x14ac:dyDescent="0.25">
      <c r="A604" t="s">
        <v>421</v>
      </c>
      <c r="B604" s="4">
        <v>21</v>
      </c>
      <c r="C604" s="4">
        <v>-10</v>
      </c>
      <c r="D604" s="5">
        <f>tbl_details5[[#This Row],[Profit]]/tbl_details5[[#This Row],[Revenue]]</f>
        <v>-0.47619047619047616</v>
      </c>
      <c r="E604">
        <v>4</v>
      </c>
      <c r="F604" t="s">
        <v>885</v>
      </c>
      <c r="G604" t="s">
        <v>897</v>
      </c>
      <c r="H604" s="1">
        <f>VLOOKUP(tbl_details5[[#This Row],[Order ID]],Orders!A:F,2,FALSE)</f>
        <v>43374</v>
      </c>
      <c r="I604" s="1" t="str">
        <f>TEXT(tbl_details5[[#This Row],[Order Date]],"mmm-yy")</f>
        <v>Oct-18</v>
      </c>
      <c r="J604" t="str">
        <f>VLOOKUP(tbl_details5[[#This Row],[Order ID]],Table1[],4,FALSE)</f>
        <v>Aryan</v>
      </c>
      <c r="K604" t="str">
        <f>VLOOKUP(tbl_details5[[#This Row],[Order ID]],Table1[],5,FALSE)</f>
        <v>Madhya Pradesh</v>
      </c>
      <c r="L604" t="str">
        <f>VLOOKUP(tbl_details5[[#This Row],[Order ID]],Table1[],6,FALSE)</f>
        <v>Bhopal</v>
      </c>
    </row>
    <row r="605" spans="1:12" x14ac:dyDescent="0.25">
      <c r="A605" t="s">
        <v>421</v>
      </c>
      <c r="B605" s="4">
        <v>15</v>
      </c>
      <c r="C605" s="4">
        <v>-2</v>
      </c>
      <c r="D605" s="5">
        <f>tbl_details5[[#This Row],[Profit]]/tbl_details5[[#This Row],[Revenue]]</f>
        <v>-0.13333333333333333</v>
      </c>
      <c r="E605">
        <v>1</v>
      </c>
      <c r="F605" t="s">
        <v>885</v>
      </c>
      <c r="G605" t="s">
        <v>895</v>
      </c>
      <c r="H605" s="1">
        <f>VLOOKUP(tbl_details5[[#This Row],[Order ID]],Orders!A:F,2,FALSE)</f>
        <v>43374</v>
      </c>
      <c r="I605" s="1" t="str">
        <f>TEXT(tbl_details5[[#This Row],[Order Date]],"mmm-yy")</f>
        <v>Oct-18</v>
      </c>
      <c r="J605" t="str">
        <f>VLOOKUP(tbl_details5[[#This Row],[Order ID]],Table1[],4,FALSE)</f>
        <v>Aryan</v>
      </c>
      <c r="K605" t="str">
        <f>VLOOKUP(tbl_details5[[#This Row],[Order ID]],Table1[],5,FALSE)</f>
        <v>Madhya Pradesh</v>
      </c>
      <c r="L605" t="str">
        <f>VLOOKUP(tbl_details5[[#This Row],[Order ID]],Table1[],6,FALSE)</f>
        <v>Bhopal</v>
      </c>
    </row>
    <row r="606" spans="1:12" x14ac:dyDescent="0.25">
      <c r="A606" t="s">
        <v>423</v>
      </c>
      <c r="B606" s="4">
        <v>27</v>
      </c>
      <c r="C606" s="4">
        <v>-7</v>
      </c>
      <c r="D606" s="5">
        <f>tbl_details5[[#This Row],[Profit]]/tbl_details5[[#This Row],[Revenue]]</f>
        <v>-0.25925925925925924</v>
      </c>
      <c r="E606">
        <v>5</v>
      </c>
      <c r="F606" t="s">
        <v>885</v>
      </c>
      <c r="G606" t="s">
        <v>891</v>
      </c>
      <c r="H606" s="1">
        <f>VLOOKUP(tbl_details5[[#This Row],[Order ID]],Orders!A:F,2,FALSE)</f>
        <v>43378</v>
      </c>
      <c r="I606" s="1" t="str">
        <f>TEXT(tbl_details5[[#This Row],[Order Date]],"mmm-yy")</f>
        <v>Oct-18</v>
      </c>
      <c r="J606" t="str">
        <f>VLOOKUP(tbl_details5[[#This Row],[Order ID]],Table1[],4,FALSE)</f>
        <v>Yash</v>
      </c>
      <c r="K606" t="str">
        <f>VLOOKUP(tbl_details5[[#This Row],[Order ID]],Table1[],5,FALSE)</f>
        <v>Maharashtra</v>
      </c>
      <c r="L606" t="str">
        <f>VLOOKUP(tbl_details5[[#This Row],[Order ID]],Table1[],6,FALSE)</f>
        <v>Mumbai</v>
      </c>
    </row>
    <row r="607" spans="1:12" x14ac:dyDescent="0.25">
      <c r="A607" t="s">
        <v>423</v>
      </c>
      <c r="B607" s="4">
        <v>633</v>
      </c>
      <c r="C607" s="4">
        <v>-633</v>
      </c>
      <c r="D607" s="5">
        <f>tbl_details5[[#This Row],[Profit]]/tbl_details5[[#This Row],[Revenue]]</f>
        <v>-1</v>
      </c>
      <c r="E607">
        <v>11</v>
      </c>
      <c r="F607" t="s">
        <v>888</v>
      </c>
      <c r="G607" t="s">
        <v>900</v>
      </c>
      <c r="H607" s="1">
        <f>VLOOKUP(tbl_details5[[#This Row],[Order ID]],Orders!A:F,2,FALSE)</f>
        <v>43378</v>
      </c>
      <c r="I607" s="1" t="str">
        <f>TEXT(tbl_details5[[#This Row],[Order Date]],"mmm-yy")</f>
        <v>Oct-18</v>
      </c>
      <c r="J607" t="str">
        <f>VLOOKUP(tbl_details5[[#This Row],[Order ID]],Table1[],4,FALSE)</f>
        <v>Yash</v>
      </c>
      <c r="K607" t="str">
        <f>VLOOKUP(tbl_details5[[#This Row],[Order ID]],Table1[],5,FALSE)</f>
        <v>Maharashtra</v>
      </c>
      <c r="L607" t="str">
        <f>VLOOKUP(tbl_details5[[#This Row],[Order ID]],Table1[],6,FALSE)</f>
        <v>Mumbai</v>
      </c>
    </row>
    <row r="608" spans="1:12" x14ac:dyDescent="0.25">
      <c r="A608" t="s">
        <v>423</v>
      </c>
      <c r="B608" s="4">
        <v>13</v>
      </c>
      <c r="C608" s="4">
        <v>-9</v>
      </c>
      <c r="D608" s="5">
        <f>tbl_details5[[#This Row],[Profit]]/tbl_details5[[#This Row],[Revenue]]</f>
        <v>-0.69230769230769229</v>
      </c>
      <c r="E608">
        <v>2</v>
      </c>
      <c r="F608" t="s">
        <v>885</v>
      </c>
      <c r="G608" t="s">
        <v>902</v>
      </c>
      <c r="H608" s="1">
        <f>VLOOKUP(tbl_details5[[#This Row],[Order ID]],Orders!A:F,2,FALSE)</f>
        <v>43378</v>
      </c>
      <c r="I608" s="1" t="str">
        <f>TEXT(tbl_details5[[#This Row],[Order Date]],"mmm-yy")</f>
        <v>Oct-18</v>
      </c>
      <c r="J608" t="str">
        <f>VLOOKUP(tbl_details5[[#This Row],[Order ID]],Table1[],4,FALSE)</f>
        <v>Yash</v>
      </c>
      <c r="K608" t="str">
        <f>VLOOKUP(tbl_details5[[#This Row],[Order ID]],Table1[],5,FALSE)</f>
        <v>Maharashtra</v>
      </c>
      <c r="L608" t="str">
        <f>VLOOKUP(tbl_details5[[#This Row],[Order ID]],Table1[],6,FALSE)</f>
        <v>Mumbai</v>
      </c>
    </row>
    <row r="609" spans="1:12" x14ac:dyDescent="0.25">
      <c r="A609" t="s">
        <v>423</v>
      </c>
      <c r="B609" s="4">
        <v>23</v>
      </c>
      <c r="C609" s="4">
        <v>-3</v>
      </c>
      <c r="D609" s="5">
        <f>tbl_details5[[#This Row],[Profit]]/tbl_details5[[#This Row],[Revenue]]</f>
        <v>-0.13043478260869565</v>
      </c>
      <c r="E609">
        <v>1</v>
      </c>
      <c r="F609" t="s">
        <v>885</v>
      </c>
      <c r="G609" t="s">
        <v>896</v>
      </c>
      <c r="H609" s="1">
        <f>VLOOKUP(tbl_details5[[#This Row],[Order ID]],Orders!A:F,2,FALSE)</f>
        <v>43378</v>
      </c>
      <c r="I609" s="1" t="str">
        <f>TEXT(tbl_details5[[#This Row],[Order Date]],"mmm-yy")</f>
        <v>Oct-18</v>
      </c>
      <c r="J609" t="str">
        <f>VLOOKUP(tbl_details5[[#This Row],[Order ID]],Table1[],4,FALSE)</f>
        <v>Yash</v>
      </c>
      <c r="K609" t="str">
        <f>VLOOKUP(tbl_details5[[#This Row],[Order ID]],Table1[],5,FALSE)</f>
        <v>Maharashtra</v>
      </c>
      <c r="L609" t="str">
        <f>VLOOKUP(tbl_details5[[#This Row],[Order ID]],Table1[],6,FALSE)</f>
        <v>Mumbai</v>
      </c>
    </row>
    <row r="610" spans="1:12" x14ac:dyDescent="0.25">
      <c r="A610" t="s">
        <v>423</v>
      </c>
      <c r="B610" s="4">
        <v>95</v>
      </c>
      <c r="C610" s="4">
        <v>5</v>
      </c>
      <c r="D610" s="5">
        <f>tbl_details5[[#This Row],[Profit]]/tbl_details5[[#This Row],[Revenue]]</f>
        <v>5.2631578947368418E-2</v>
      </c>
      <c r="E610">
        <v>2</v>
      </c>
      <c r="F610" t="s">
        <v>885</v>
      </c>
      <c r="G610" t="s">
        <v>886</v>
      </c>
      <c r="H610" s="1">
        <f>VLOOKUP(tbl_details5[[#This Row],[Order ID]],Orders!A:F,2,FALSE)</f>
        <v>43378</v>
      </c>
      <c r="I610" s="1" t="str">
        <f>TEXT(tbl_details5[[#This Row],[Order Date]],"mmm-yy")</f>
        <v>Oct-18</v>
      </c>
      <c r="J610" t="str">
        <f>VLOOKUP(tbl_details5[[#This Row],[Order ID]],Table1[],4,FALSE)</f>
        <v>Yash</v>
      </c>
      <c r="K610" t="str">
        <f>VLOOKUP(tbl_details5[[#This Row],[Order ID]],Table1[],5,FALSE)</f>
        <v>Maharashtra</v>
      </c>
      <c r="L610" t="str">
        <f>VLOOKUP(tbl_details5[[#This Row],[Order ID]],Table1[],6,FALSE)</f>
        <v>Mumbai</v>
      </c>
    </row>
    <row r="611" spans="1:12" x14ac:dyDescent="0.25">
      <c r="A611" t="s">
        <v>425</v>
      </c>
      <c r="B611" s="4">
        <v>106</v>
      </c>
      <c r="C611" s="4">
        <v>12</v>
      </c>
      <c r="D611" s="5">
        <f>tbl_details5[[#This Row],[Profit]]/tbl_details5[[#This Row],[Revenue]]</f>
        <v>0.11320754716981132</v>
      </c>
      <c r="E611">
        <v>3</v>
      </c>
      <c r="F611" t="s">
        <v>885</v>
      </c>
      <c r="G611" t="s">
        <v>892</v>
      </c>
      <c r="H611" s="1">
        <f>VLOOKUP(tbl_details5[[#This Row],[Order ID]],Orders!A:F,2,FALSE)</f>
        <v>43378</v>
      </c>
      <c r="I611" s="1" t="str">
        <f>TEXT(tbl_details5[[#This Row],[Order Date]],"mmm-yy")</f>
        <v>Oct-18</v>
      </c>
      <c r="J611" t="str">
        <f>VLOOKUP(tbl_details5[[#This Row],[Order ID]],Table1[],4,FALSE)</f>
        <v>Shivanshu</v>
      </c>
      <c r="K611" t="str">
        <f>VLOOKUP(tbl_details5[[#This Row],[Order ID]],Table1[],5,FALSE)</f>
        <v>Madhya Pradesh</v>
      </c>
      <c r="L611" t="str">
        <f>VLOOKUP(tbl_details5[[#This Row],[Order ID]],Table1[],6,FALSE)</f>
        <v>Indore</v>
      </c>
    </row>
    <row r="612" spans="1:12" x14ac:dyDescent="0.25">
      <c r="A612" t="s">
        <v>425</v>
      </c>
      <c r="B612" s="4">
        <v>269</v>
      </c>
      <c r="C612" s="4">
        <v>91</v>
      </c>
      <c r="D612" s="5">
        <f>tbl_details5[[#This Row],[Profit]]/tbl_details5[[#This Row],[Revenue]]</f>
        <v>0.33828996282527879</v>
      </c>
      <c r="E612">
        <v>1</v>
      </c>
      <c r="F612" t="s">
        <v>888</v>
      </c>
      <c r="G612" t="s">
        <v>889</v>
      </c>
      <c r="H612" s="1">
        <f>VLOOKUP(tbl_details5[[#This Row],[Order ID]],Orders!A:F,2,FALSE)</f>
        <v>43378</v>
      </c>
      <c r="I612" s="1" t="str">
        <f>TEXT(tbl_details5[[#This Row],[Order Date]],"mmm-yy")</f>
        <v>Oct-18</v>
      </c>
      <c r="J612" t="str">
        <f>VLOOKUP(tbl_details5[[#This Row],[Order ID]],Table1[],4,FALSE)</f>
        <v>Shivanshu</v>
      </c>
      <c r="K612" t="str">
        <f>VLOOKUP(tbl_details5[[#This Row],[Order ID]],Table1[],5,FALSE)</f>
        <v>Madhya Pradesh</v>
      </c>
      <c r="L612" t="str">
        <f>VLOOKUP(tbl_details5[[#This Row],[Order ID]],Table1[],6,FALSE)</f>
        <v>Indore</v>
      </c>
    </row>
    <row r="613" spans="1:12" x14ac:dyDescent="0.25">
      <c r="A613" t="s">
        <v>425</v>
      </c>
      <c r="B613" s="4">
        <v>536</v>
      </c>
      <c r="C613" s="4">
        <v>91</v>
      </c>
      <c r="D613" s="5">
        <f>tbl_details5[[#This Row],[Profit]]/tbl_details5[[#This Row],[Revenue]]</f>
        <v>0.16977611940298507</v>
      </c>
      <c r="E613">
        <v>1</v>
      </c>
      <c r="F613" t="s">
        <v>885</v>
      </c>
      <c r="G613" t="s">
        <v>892</v>
      </c>
      <c r="H613" s="1">
        <f>VLOOKUP(tbl_details5[[#This Row],[Order ID]],Orders!A:F,2,FALSE)</f>
        <v>43378</v>
      </c>
      <c r="I613" s="1" t="str">
        <f>TEXT(tbl_details5[[#This Row],[Order Date]],"mmm-yy")</f>
        <v>Oct-18</v>
      </c>
      <c r="J613" t="str">
        <f>VLOOKUP(tbl_details5[[#This Row],[Order ID]],Table1[],4,FALSE)</f>
        <v>Shivanshu</v>
      </c>
      <c r="K613" t="str">
        <f>VLOOKUP(tbl_details5[[#This Row],[Order ID]],Table1[],5,FALSE)</f>
        <v>Madhya Pradesh</v>
      </c>
      <c r="L613" t="str">
        <f>VLOOKUP(tbl_details5[[#This Row],[Order ID]],Table1[],6,FALSE)</f>
        <v>Indore</v>
      </c>
    </row>
    <row r="614" spans="1:12" x14ac:dyDescent="0.25">
      <c r="A614" t="s">
        <v>425</v>
      </c>
      <c r="B614" s="4">
        <v>137</v>
      </c>
      <c r="C614" s="4">
        <v>5</v>
      </c>
      <c r="D614" s="5">
        <f>tbl_details5[[#This Row],[Profit]]/tbl_details5[[#This Row],[Revenue]]</f>
        <v>3.6496350364963501E-2</v>
      </c>
      <c r="E614">
        <v>5</v>
      </c>
      <c r="F614" t="s">
        <v>885</v>
      </c>
      <c r="G614" t="s">
        <v>896</v>
      </c>
      <c r="H614" s="1">
        <f>VLOOKUP(tbl_details5[[#This Row],[Order ID]],Orders!A:F,2,FALSE)</f>
        <v>43378</v>
      </c>
      <c r="I614" s="1" t="str">
        <f>TEXT(tbl_details5[[#This Row],[Order Date]],"mmm-yy")</f>
        <v>Oct-18</v>
      </c>
      <c r="J614" t="str">
        <f>VLOOKUP(tbl_details5[[#This Row],[Order ID]],Table1[],4,FALSE)</f>
        <v>Shivanshu</v>
      </c>
      <c r="K614" t="str">
        <f>VLOOKUP(tbl_details5[[#This Row],[Order ID]],Table1[],5,FALSE)</f>
        <v>Madhya Pradesh</v>
      </c>
      <c r="L614" t="str">
        <f>VLOOKUP(tbl_details5[[#This Row],[Order ID]],Table1[],6,FALSE)</f>
        <v>Indore</v>
      </c>
    </row>
    <row r="615" spans="1:12" x14ac:dyDescent="0.25">
      <c r="A615" t="s">
        <v>425</v>
      </c>
      <c r="B615" s="4">
        <v>757</v>
      </c>
      <c r="C615" s="4">
        <v>371</v>
      </c>
      <c r="D615" s="5">
        <f>tbl_details5[[#This Row],[Profit]]/tbl_details5[[#This Row],[Revenue]]</f>
        <v>0.49009247027741082</v>
      </c>
      <c r="E615">
        <v>2</v>
      </c>
      <c r="F615" t="s">
        <v>888</v>
      </c>
      <c r="G615" t="s">
        <v>899</v>
      </c>
      <c r="H615" s="1">
        <f>VLOOKUP(tbl_details5[[#This Row],[Order ID]],Orders!A:F,2,FALSE)</f>
        <v>43378</v>
      </c>
      <c r="I615" s="1" t="str">
        <f>TEXT(tbl_details5[[#This Row],[Order Date]],"mmm-yy")</f>
        <v>Oct-18</v>
      </c>
      <c r="J615" t="str">
        <f>VLOOKUP(tbl_details5[[#This Row],[Order ID]],Table1[],4,FALSE)</f>
        <v>Shivanshu</v>
      </c>
      <c r="K615" t="str">
        <f>VLOOKUP(tbl_details5[[#This Row],[Order ID]],Table1[],5,FALSE)</f>
        <v>Madhya Pradesh</v>
      </c>
      <c r="L615" t="str">
        <f>VLOOKUP(tbl_details5[[#This Row],[Order ID]],Table1[],6,FALSE)</f>
        <v>Indore</v>
      </c>
    </row>
    <row r="616" spans="1:12" x14ac:dyDescent="0.25">
      <c r="A616" t="s">
        <v>425</v>
      </c>
      <c r="B616" s="4">
        <v>511</v>
      </c>
      <c r="C616" s="4">
        <v>194</v>
      </c>
      <c r="D616" s="5">
        <f>tbl_details5[[#This Row],[Profit]]/tbl_details5[[#This Row],[Revenue]]</f>
        <v>0.37964774951076319</v>
      </c>
      <c r="E616">
        <v>3</v>
      </c>
      <c r="F616" t="s">
        <v>883</v>
      </c>
      <c r="G616" t="s">
        <v>893</v>
      </c>
      <c r="H616" s="1">
        <f>VLOOKUP(tbl_details5[[#This Row],[Order ID]],Orders!A:F,2,FALSE)</f>
        <v>43378</v>
      </c>
      <c r="I616" s="1" t="str">
        <f>TEXT(tbl_details5[[#This Row],[Order Date]],"mmm-yy")</f>
        <v>Oct-18</v>
      </c>
      <c r="J616" t="str">
        <f>VLOOKUP(tbl_details5[[#This Row],[Order ID]],Table1[],4,FALSE)</f>
        <v>Shivanshu</v>
      </c>
      <c r="K616" t="str">
        <f>VLOOKUP(tbl_details5[[#This Row],[Order ID]],Table1[],5,FALSE)</f>
        <v>Madhya Pradesh</v>
      </c>
      <c r="L616" t="str">
        <f>VLOOKUP(tbl_details5[[#This Row],[Order ID]],Table1[],6,FALSE)</f>
        <v>Indore</v>
      </c>
    </row>
    <row r="617" spans="1:12" x14ac:dyDescent="0.25">
      <c r="A617" t="s">
        <v>425</v>
      </c>
      <c r="B617" s="4">
        <v>185</v>
      </c>
      <c r="C617" s="4">
        <v>48</v>
      </c>
      <c r="D617" s="5">
        <f>tbl_details5[[#This Row],[Profit]]/tbl_details5[[#This Row],[Revenue]]</f>
        <v>0.25945945945945947</v>
      </c>
      <c r="E617">
        <v>4</v>
      </c>
      <c r="F617" t="s">
        <v>885</v>
      </c>
      <c r="G617" t="s">
        <v>886</v>
      </c>
      <c r="H617" s="1">
        <f>VLOOKUP(tbl_details5[[#This Row],[Order ID]],Orders!A:F,2,FALSE)</f>
        <v>43378</v>
      </c>
      <c r="I617" s="1" t="str">
        <f>TEXT(tbl_details5[[#This Row],[Order Date]],"mmm-yy")</f>
        <v>Oct-18</v>
      </c>
      <c r="J617" t="str">
        <f>VLOOKUP(tbl_details5[[#This Row],[Order ID]],Table1[],4,FALSE)</f>
        <v>Shivanshu</v>
      </c>
      <c r="K617" t="str">
        <f>VLOOKUP(tbl_details5[[#This Row],[Order ID]],Table1[],5,FALSE)</f>
        <v>Madhya Pradesh</v>
      </c>
      <c r="L617" t="str">
        <f>VLOOKUP(tbl_details5[[#This Row],[Order ID]],Table1[],6,FALSE)</f>
        <v>Indore</v>
      </c>
    </row>
    <row r="618" spans="1:12" x14ac:dyDescent="0.25">
      <c r="A618" t="s">
        <v>425</v>
      </c>
      <c r="B618" s="4">
        <v>765</v>
      </c>
      <c r="C618" s="4">
        <v>8</v>
      </c>
      <c r="D618" s="5">
        <f>tbl_details5[[#This Row],[Profit]]/tbl_details5[[#This Row],[Revenue]]</f>
        <v>1.045751633986928E-2</v>
      </c>
      <c r="E618">
        <v>6</v>
      </c>
      <c r="F618" t="s">
        <v>885</v>
      </c>
      <c r="G618" t="s">
        <v>891</v>
      </c>
      <c r="H618" s="1">
        <f>VLOOKUP(tbl_details5[[#This Row],[Order ID]],Orders!A:F,2,FALSE)</f>
        <v>43378</v>
      </c>
      <c r="I618" s="1" t="str">
        <f>TEXT(tbl_details5[[#This Row],[Order Date]],"mmm-yy")</f>
        <v>Oct-18</v>
      </c>
      <c r="J618" t="str">
        <f>VLOOKUP(tbl_details5[[#This Row],[Order ID]],Table1[],4,FALSE)</f>
        <v>Shivanshu</v>
      </c>
      <c r="K618" t="str">
        <f>VLOOKUP(tbl_details5[[#This Row],[Order ID]],Table1[],5,FALSE)</f>
        <v>Madhya Pradesh</v>
      </c>
      <c r="L618" t="str">
        <f>VLOOKUP(tbl_details5[[#This Row],[Order ID]],Table1[],6,FALSE)</f>
        <v>Indore</v>
      </c>
    </row>
    <row r="619" spans="1:12" x14ac:dyDescent="0.25">
      <c r="A619" t="s">
        <v>427</v>
      </c>
      <c r="B619" s="4">
        <v>156</v>
      </c>
      <c r="C619" s="4">
        <v>36</v>
      </c>
      <c r="D619" s="5">
        <f>tbl_details5[[#This Row],[Profit]]/tbl_details5[[#This Row],[Revenue]]</f>
        <v>0.23076923076923078</v>
      </c>
      <c r="E619">
        <v>5</v>
      </c>
      <c r="F619" t="s">
        <v>885</v>
      </c>
      <c r="G619" t="s">
        <v>895</v>
      </c>
      <c r="H619" s="1">
        <f>VLOOKUP(tbl_details5[[#This Row],[Order ID]],Orders!A:F,2,FALSE)</f>
        <v>43378</v>
      </c>
      <c r="I619" s="1" t="str">
        <f>TEXT(tbl_details5[[#This Row],[Order Date]],"mmm-yy")</f>
        <v>Oct-18</v>
      </c>
      <c r="J619" t="str">
        <f>VLOOKUP(tbl_details5[[#This Row],[Order ID]],Table1[],4,FALSE)</f>
        <v>Sudheer</v>
      </c>
      <c r="K619" t="str">
        <f>VLOOKUP(tbl_details5[[#This Row],[Order ID]],Table1[],5,FALSE)</f>
        <v>Karnataka</v>
      </c>
      <c r="L619" t="str">
        <f>VLOOKUP(tbl_details5[[#This Row],[Order ID]],Table1[],6,FALSE)</f>
        <v>Bangalore</v>
      </c>
    </row>
    <row r="620" spans="1:12" x14ac:dyDescent="0.25">
      <c r="A620" t="s">
        <v>427</v>
      </c>
      <c r="B620" s="4">
        <v>321</v>
      </c>
      <c r="C620" s="4">
        <v>26</v>
      </c>
      <c r="D620" s="5">
        <f>tbl_details5[[#This Row],[Profit]]/tbl_details5[[#This Row],[Revenue]]</f>
        <v>8.0996884735202487E-2</v>
      </c>
      <c r="E620">
        <v>3</v>
      </c>
      <c r="F620" t="s">
        <v>888</v>
      </c>
      <c r="G620" t="s">
        <v>899</v>
      </c>
      <c r="H620" s="1">
        <f>VLOOKUP(tbl_details5[[#This Row],[Order ID]],Orders!A:F,2,FALSE)</f>
        <v>43378</v>
      </c>
      <c r="I620" s="1" t="str">
        <f>TEXT(tbl_details5[[#This Row],[Order Date]],"mmm-yy")</f>
        <v>Oct-18</v>
      </c>
      <c r="J620" t="str">
        <f>VLOOKUP(tbl_details5[[#This Row],[Order ID]],Table1[],4,FALSE)</f>
        <v>Sudheer</v>
      </c>
      <c r="K620" t="str">
        <f>VLOOKUP(tbl_details5[[#This Row],[Order ID]],Table1[],5,FALSE)</f>
        <v>Karnataka</v>
      </c>
      <c r="L620" t="str">
        <f>VLOOKUP(tbl_details5[[#This Row],[Order ID]],Table1[],6,FALSE)</f>
        <v>Bangalore</v>
      </c>
    </row>
    <row r="621" spans="1:12" x14ac:dyDescent="0.25">
      <c r="A621" t="s">
        <v>429</v>
      </c>
      <c r="B621" s="4">
        <v>112</v>
      </c>
      <c r="C621" s="4">
        <v>15</v>
      </c>
      <c r="D621" s="5">
        <f>tbl_details5[[#This Row],[Profit]]/tbl_details5[[#This Row],[Revenue]]</f>
        <v>0.13392857142857142</v>
      </c>
      <c r="E621">
        <v>2</v>
      </c>
      <c r="F621" t="s">
        <v>883</v>
      </c>
      <c r="G621" t="s">
        <v>893</v>
      </c>
      <c r="H621" s="1">
        <f>VLOOKUP(tbl_details5[[#This Row],[Order ID]],Orders!A:F,2,FALSE)</f>
        <v>43378</v>
      </c>
      <c r="I621" s="1" t="str">
        <f>TEXT(tbl_details5[[#This Row],[Order Date]],"mmm-yy")</f>
        <v>Oct-18</v>
      </c>
      <c r="J621" t="str">
        <f>VLOOKUP(tbl_details5[[#This Row],[Order ID]],Table1[],4,FALSE)</f>
        <v>Ankit</v>
      </c>
      <c r="K621" t="str">
        <f>VLOOKUP(tbl_details5[[#This Row],[Order ID]],Table1[],5,FALSE)</f>
        <v>Maharashtra</v>
      </c>
      <c r="L621" t="str">
        <f>VLOOKUP(tbl_details5[[#This Row],[Order ID]],Table1[],6,FALSE)</f>
        <v>Mumbai</v>
      </c>
    </row>
    <row r="622" spans="1:12" x14ac:dyDescent="0.25">
      <c r="A622" t="s">
        <v>431</v>
      </c>
      <c r="B622" s="4">
        <v>632</v>
      </c>
      <c r="C622" s="4">
        <v>-114</v>
      </c>
      <c r="D622" s="5">
        <f>tbl_details5[[#This Row],[Profit]]/tbl_details5[[#This Row],[Revenue]]</f>
        <v>-0.18037974683544303</v>
      </c>
      <c r="E622">
        <v>4</v>
      </c>
      <c r="F622" t="s">
        <v>883</v>
      </c>
      <c r="G622" t="s">
        <v>898</v>
      </c>
      <c r="H622" s="1">
        <f>VLOOKUP(tbl_details5[[#This Row],[Order ID]],Orders!A:F,2,FALSE)</f>
        <v>43379</v>
      </c>
      <c r="I622" s="1" t="str">
        <f>TEXT(tbl_details5[[#This Row],[Order Date]],"mmm-yy")</f>
        <v>Oct-18</v>
      </c>
      <c r="J622" t="str">
        <f>VLOOKUP(tbl_details5[[#This Row],[Order ID]],Table1[],4,FALSE)</f>
        <v>Dhanraj</v>
      </c>
      <c r="K622" t="str">
        <f>VLOOKUP(tbl_details5[[#This Row],[Order ID]],Table1[],5,FALSE)</f>
        <v>Madhya Pradesh</v>
      </c>
      <c r="L622" t="str">
        <f>VLOOKUP(tbl_details5[[#This Row],[Order ID]],Table1[],6,FALSE)</f>
        <v>Indore</v>
      </c>
    </row>
    <row r="623" spans="1:12" x14ac:dyDescent="0.25">
      <c r="A623" t="s">
        <v>433</v>
      </c>
      <c r="B623" s="4">
        <v>16</v>
      </c>
      <c r="C623" s="4">
        <v>6</v>
      </c>
      <c r="D623" s="5">
        <f>tbl_details5[[#This Row],[Profit]]/tbl_details5[[#This Row],[Revenue]]</f>
        <v>0.375</v>
      </c>
      <c r="E623">
        <v>1</v>
      </c>
      <c r="F623" t="s">
        <v>885</v>
      </c>
      <c r="G623" t="s">
        <v>886</v>
      </c>
      <c r="H623" s="1">
        <f>VLOOKUP(tbl_details5[[#This Row],[Order ID]],Orders!A:F,2,FALSE)</f>
        <v>43380</v>
      </c>
      <c r="I623" s="1" t="str">
        <f>TEXT(tbl_details5[[#This Row],[Order Date]],"mmm-yy")</f>
        <v>Oct-18</v>
      </c>
      <c r="J623" t="str">
        <f>VLOOKUP(tbl_details5[[#This Row],[Order ID]],Table1[],4,FALSE)</f>
        <v>Vipul</v>
      </c>
      <c r="K623" t="str">
        <f>VLOOKUP(tbl_details5[[#This Row],[Order ID]],Table1[],5,FALSE)</f>
        <v>Uttar Pradesh</v>
      </c>
      <c r="L623" t="str">
        <f>VLOOKUP(tbl_details5[[#This Row],[Order ID]],Table1[],6,FALSE)</f>
        <v>Lucknow</v>
      </c>
    </row>
    <row r="624" spans="1:12" x14ac:dyDescent="0.25">
      <c r="A624" t="s">
        <v>435</v>
      </c>
      <c r="B624" s="4">
        <v>63</v>
      </c>
      <c r="C624" s="4">
        <v>17</v>
      </c>
      <c r="D624" s="5">
        <f>tbl_details5[[#This Row],[Profit]]/tbl_details5[[#This Row],[Revenue]]</f>
        <v>0.26984126984126983</v>
      </c>
      <c r="E624">
        <v>6</v>
      </c>
      <c r="F624" t="s">
        <v>885</v>
      </c>
      <c r="G624" t="s">
        <v>897</v>
      </c>
      <c r="H624" s="1">
        <f>VLOOKUP(tbl_details5[[#This Row],[Order ID]],Orders!A:F,2,FALSE)</f>
        <v>43381</v>
      </c>
      <c r="I624" s="1" t="str">
        <f>TEXT(tbl_details5[[#This Row],[Order Date]],"mmm-yy")</f>
        <v>Oct-18</v>
      </c>
      <c r="J624" t="str">
        <f>VLOOKUP(tbl_details5[[#This Row],[Order ID]],Table1[],4,FALSE)</f>
        <v>Apsingekar</v>
      </c>
      <c r="K624" t="str">
        <f>VLOOKUP(tbl_details5[[#This Row],[Order ID]],Table1[],5,FALSE)</f>
        <v>Bihar</v>
      </c>
      <c r="L624" t="str">
        <f>VLOOKUP(tbl_details5[[#This Row],[Order ID]],Table1[],6,FALSE)</f>
        <v>Patna</v>
      </c>
    </row>
    <row r="625" spans="1:12" x14ac:dyDescent="0.25">
      <c r="A625" t="s">
        <v>435</v>
      </c>
      <c r="B625" s="4">
        <v>146</v>
      </c>
      <c r="C625" s="4">
        <v>-63</v>
      </c>
      <c r="D625" s="5">
        <f>tbl_details5[[#This Row],[Profit]]/tbl_details5[[#This Row],[Revenue]]</f>
        <v>-0.4315068493150685</v>
      </c>
      <c r="E625">
        <v>3</v>
      </c>
      <c r="F625" t="s">
        <v>888</v>
      </c>
      <c r="G625" t="s">
        <v>889</v>
      </c>
      <c r="H625" s="1">
        <f>VLOOKUP(tbl_details5[[#This Row],[Order ID]],Orders!A:F,2,FALSE)</f>
        <v>43381</v>
      </c>
      <c r="I625" s="1" t="str">
        <f>TEXT(tbl_details5[[#This Row],[Order Date]],"mmm-yy")</f>
        <v>Oct-18</v>
      </c>
      <c r="J625" t="str">
        <f>VLOOKUP(tbl_details5[[#This Row],[Order ID]],Table1[],4,FALSE)</f>
        <v>Apsingekar</v>
      </c>
      <c r="K625" t="str">
        <f>VLOOKUP(tbl_details5[[#This Row],[Order ID]],Table1[],5,FALSE)</f>
        <v>Bihar</v>
      </c>
      <c r="L625" t="str">
        <f>VLOOKUP(tbl_details5[[#This Row],[Order ID]],Table1[],6,FALSE)</f>
        <v>Patna</v>
      </c>
    </row>
    <row r="626" spans="1:12" x14ac:dyDescent="0.25">
      <c r="A626" t="s">
        <v>435</v>
      </c>
      <c r="B626" s="4">
        <v>59</v>
      </c>
      <c r="C626" s="4">
        <v>21</v>
      </c>
      <c r="D626" s="5">
        <f>tbl_details5[[#This Row],[Profit]]/tbl_details5[[#This Row],[Revenue]]</f>
        <v>0.3559322033898305</v>
      </c>
      <c r="E626">
        <v>2</v>
      </c>
      <c r="F626" t="s">
        <v>885</v>
      </c>
      <c r="G626" t="s">
        <v>886</v>
      </c>
      <c r="H626" s="1">
        <f>VLOOKUP(tbl_details5[[#This Row],[Order ID]],Orders!A:F,2,FALSE)</f>
        <v>43381</v>
      </c>
      <c r="I626" s="1" t="str">
        <f>TEXT(tbl_details5[[#This Row],[Order Date]],"mmm-yy")</f>
        <v>Oct-18</v>
      </c>
      <c r="J626" t="str">
        <f>VLOOKUP(tbl_details5[[#This Row],[Order ID]],Table1[],4,FALSE)</f>
        <v>Apsingekar</v>
      </c>
      <c r="K626" t="str">
        <f>VLOOKUP(tbl_details5[[#This Row],[Order ID]],Table1[],5,FALSE)</f>
        <v>Bihar</v>
      </c>
      <c r="L626" t="str">
        <f>VLOOKUP(tbl_details5[[#This Row],[Order ID]],Table1[],6,FALSE)</f>
        <v>Patna</v>
      </c>
    </row>
    <row r="627" spans="1:12" x14ac:dyDescent="0.25">
      <c r="A627" t="s">
        <v>435</v>
      </c>
      <c r="B627" s="4">
        <v>210</v>
      </c>
      <c r="C627" s="4">
        <v>50</v>
      </c>
      <c r="D627" s="5">
        <f>tbl_details5[[#This Row],[Profit]]/tbl_details5[[#This Row],[Revenue]]</f>
        <v>0.23809523809523808</v>
      </c>
      <c r="E627">
        <v>4</v>
      </c>
      <c r="F627" t="s">
        <v>885</v>
      </c>
      <c r="G627" t="s">
        <v>887</v>
      </c>
      <c r="H627" s="1">
        <f>VLOOKUP(tbl_details5[[#This Row],[Order ID]],Orders!A:F,2,FALSE)</f>
        <v>43381</v>
      </c>
      <c r="I627" s="1" t="str">
        <f>TEXT(tbl_details5[[#This Row],[Order Date]],"mmm-yy")</f>
        <v>Oct-18</v>
      </c>
      <c r="J627" t="str">
        <f>VLOOKUP(tbl_details5[[#This Row],[Order ID]],Table1[],4,FALSE)</f>
        <v>Apsingekar</v>
      </c>
      <c r="K627" t="str">
        <f>VLOOKUP(tbl_details5[[#This Row],[Order ID]],Table1[],5,FALSE)</f>
        <v>Bihar</v>
      </c>
      <c r="L627" t="str">
        <f>VLOOKUP(tbl_details5[[#This Row],[Order ID]],Table1[],6,FALSE)</f>
        <v>Patna</v>
      </c>
    </row>
    <row r="628" spans="1:12" x14ac:dyDescent="0.25">
      <c r="A628" t="s">
        <v>437</v>
      </c>
      <c r="B628" s="4">
        <v>154</v>
      </c>
      <c r="C628" s="4">
        <v>54</v>
      </c>
      <c r="D628" s="5">
        <f>tbl_details5[[#This Row],[Profit]]/tbl_details5[[#This Row],[Revenue]]</f>
        <v>0.35064935064935066</v>
      </c>
      <c r="E628">
        <v>3</v>
      </c>
      <c r="F628" t="s">
        <v>885</v>
      </c>
      <c r="G628" t="s">
        <v>887</v>
      </c>
      <c r="H628" s="1">
        <f>VLOOKUP(tbl_details5[[#This Row],[Order ID]],Orders!A:F,2,FALSE)</f>
        <v>43382</v>
      </c>
      <c r="I628" s="1" t="str">
        <f>TEXT(tbl_details5[[#This Row],[Order Date]],"mmm-yy")</f>
        <v>Oct-18</v>
      </c>
      <c r="J628" t="str">
        <f>VLOOKUP(tbl_details5[[#This Row],[Order ID]],Table1[],4,FALSE)</f>
        <v>Suman</v>
      </c>
      <c r="K628" t="str">
        <f>VLOOKUP(tbl_details5[[#This Row],[Order ID]],Table1[],5,FALSE)</f>
        <v xml:space="preserve">Kerala </v>
      </c>
      <c r="L628" t="str">
        <f>VLOOKUP(tbl_details5[[#This Row],[Order ID]],Table1[],6,FALSE)</f>
        <v>Thiruvananthapuram</v>
      </c>
    </row>
    <row r="629" spans="1:12" x14ac:dyDescent="0.25">
      <c r="A629" t="s">
        <v>437</v>
      </c>
      <c r="B629" s="4">
        <v>53</v>
      </c>
      <c r="C629" s="4">
        <v>24</v>
      </c>
      <c r="D629" s="5">
        <f>tbl_details5[[#This Row],[Profit]]/tbl_details5[[#This Row],[Revenue]]</f>
        <v>0.45283018867924529</v>
      </c>
      <c r="E629">
        <v>1</v>
      </c>
      <c r="F629" t="s">
        <v>885</v>
      </c>
      <c r="G629" t="s">
        <v>887</v>
      </c>
      <c r="H629" s="1">
        <f>VLOOKUP(tbl_details5[[#This Row],[Order ID]],Orders!A:F,2,FALSE)</f>
        <v>43382</v>
      </c>
      <c r="I629" s="1" t="str">
        <f>TEXT(tbl_details5[[#This Row],[Order Date]],"mmm-yy")</f>
        <v>Oct-18</v>
      </c>
      <c r="J629" t="str">
        <f>VLOOKUP(tbl_details5[[#This Row],[Order ID]],Table1[],4,FALSE)</f>
        <v>Suman</v>
      </c>
      <c r="K629" t="str">
        <f>VLOOKUP(tbl_details5[[#This Row],[Order ID]],Table1[],5,FALSE)</f>
        <v xml:space="preserve">Kerala </v>
      </c>
      <c r="L629" t="str">
        <f>VLOOKUP(tbl_details5[[#This Row],[Order ID]],Table1[],6,FALSE)</f>
        <v>Thiruvananthapuram</v>
      </c>
    </row>
    <row r="630" spans="1:12" x14ac:dyDescent="0.25">
      <c r="A630" t="s">
        <v>439</v>
      </c>
      <c r="B630" s="4">
        <v>26</v>
      </c>
      <c r="C630" s="4">
        <v>10</v>
      </c>
      <c r="D630" s="5">
        <f>tbl_details5[[#This Row],[Profit]]/tbl_details5[[#This Row],[Revenue]]</f>
        <v>0.38461538461538464</v>
      </c>
      <c r="E630">
        <v>4</v>
      </c>
      <c r="F630" t="s">
        <v>885</v>
      </c>
      <c r="G630" t="s">
        <v>887</v>
      </c>
      <c r="H630" s="1">
        <f>VLOOKUP(tbl_details5[[#This Row],[Order ID]],Orders!A:F,2,FALSE)</f>
        <v>43383</v>
      </c>
      <c r="I630" s="1" t="str">
        <f>TEXT(tbl_details5[[#This Row],[Order Date]],"mmm-yy")</f>
        <v>Oct-18</v>
      </c>
      <c r="J630" t="str">
        <f>VLOOKUP(tbl_details5[[#This Row],[Order ID]],Table1[],4,FALSE)</f>
        <v>Nripraj</v>
      </c>
      <c r="K630" t="str">
        <f>VLOOKUP(tbl_details5[[#This Row],[Order ID]],Table1[],5,FALSE)</f>
        <v>Punjab</v>
      </c>
      <c r="L630" t="str">
        <f>VLOOKUP(tbl_details5[[#This Row],[Order ID]],Table1[],6,FALSE)</f>
        <v>Chandigarh</v>
      </c>
    </row>
    <row r="631" spans="1:12" x14ac:dyDescent="0.25">
      <c r="A631" t="s">
        <v>439</v>
      </c>
      <c r="B631" s="4">
        <v>1120</v>
      </c>
      <c r="C631" s="4">
        <v>199</v>
      </c>
      <c r="D631" s="5">
        <f>tbl_details5[[#This Row],[Profit]]/tbl_details5[[#This Row],[Revenue]]</f>
        <v>0.17767857142857144</v>
      </c>
      <c r="E631">
        <v>6</v>
      </c>
      <c r="F631" t="s">
        <v>885</v>
      </c>
      <c r="G631" t="s">
        <v>891</v>
      </c>
      <c r="H631" s="1">
        <f>VLOOKUP(tbl_details5[[#This Row],[Order ID]],Orders!A:F,2,FALSE)</f>
        <v>43383</v>
      </c>
      <c r="I631" s="1" t="str">
        <f>TEXT(tbl_details5[[#This Row],[Order Date]],"mmm-yy")</f>
        <v>Oct-18</v>
      </c>
      <c r="J631" t="str">
        <f>VLOOKUP(tbl_details5[[#This Row],[Order ID]],Table1[],4,FALSE)</f>
        <v>Nripraj</v>
      </c>
      <c r="K631" t="str">
        <f>VLOOKUP(tbl_details5[[#This Row],[Order ID]],Table1[],5,FALSE)</f>
        <v>Punjab</v>
      </c>
      <c r="L631" t="str">
        <f>VLOOKUP(tbl_details5[[#This Row],[Order ID]],Table1[],6,FALSE)</f>
        <v>Chandigarh</v>
      </c>
    </row>
    <row r="632" spans="1:12" x14ac:dyDescent="0.25">
      <c r="A632" t="s">
        <v>439</v>
      </c>
      <c r="B632" s="4">
        <v>45</v>
      </c>
      <c r="C632" s="4">
        <v>6</v>
      </c>
      <c r="D632" s="5">
        <f>tbl_details5[[#This Row],[Profit]]/tbl_details5[[#This Row],[Revenue]]</f>
        <v>0.13333333333333333</v>
      </c>
      <c r="E632">
        <v>3</v>
      </c>
      <c r="F632" t="s">
        <v>885</v>
      </c>
      <c r="G632" t="s">
        <v>896</v>
      </c>
      <c r="H632" s="1">
        <f>VLOOKUP(tbl_details5[[#This Row],[Order ID]],Orders!A:F,2,FALSE)</f>
        <v>43383</v>
      </c>
      <c r="I632" s="1" t="str">
        <f>TEXT(tbl_details5[[#This Row],[Order Date]],"mmm-yy")</f>
        <v>Oct-18</v>
      </c>
      <c r="J632" t="str">
        <f>VLOOKUP(tbl_details5[[#This Row],[Order ID]],Table1[],4,FALSE)</f>
        <v>Nripraj</v>
      </c>
      <c r="K632" t="str">
        <f>VLOOKUP(tbl_details5[[#This Row],[Order ID]],Table1[],5,FALSE)</f>
        <v>Punjab</v>
      </c>
      <c r="L632" t="str">
        <f>VLOOKUP(tbl_details5[[#This Row],[Order ID]],Table1[],6,FALSE)</f>
        <v>Chandigarh</v>
      </c>
    </row>
    <row r="633" spans="1:12" x14ac:dyDescent="0.25">
      <c r="A633" t="s">
        <v>439</v>
      </c>
      <c r="B633" s="4">
        <v>307</v>
      </c>
      <c r="C633" s="4">
        <v>74</v>
      </c>
      <c r="D633" s="5">
        <f>tbl_details5[[#This Row],[Profit]]/tbl_details5[[#This Row],[Revenue]]</f>
        <v>0.24104234527687296</v>
      </c>
      <c r="E633">
        <v>3</v>
      </c>
      <c r="F633" t="s">
        <v>888</v>
      </c>
      <c r="G633" t="s">
        <v>900</v>
      </c>
      <c r="H633" s="1">
        <f>VLOOKUP(tbl_details5[[#This Row],[Order ID]],Orders!A:F,2,FALSE)</f>
        <v>43383</v>
      </c>
      <c r="I633" s="1" t="str">
        <f>TEXT(tbl_details5[[#This Row],[Order Date]],"mmm-yy")</f>
        <v>Oct-18</v>
      </c>
      <c r="J633" t="str">
        <f>VLOOKUP(tbl_details5[[#This Row],[Order ID]],Table1[],4,FALSE)</f>
        <v>Nripraj</v>
      </c>
      <c r="K633" t="str">
        <f>VLOOKUP(tbl_details5[[#This Row],[Order ID]],Table1[],5,FALSE)</f>
        <v>Punjab</v>
      </c>
      <c r="L633" t="str">
        <f>VLOOKUP(tbl_details5[[#This Row],[Order ID]],Table1[],6,FALSE)</f>
        <v>Chandigarh</v>
      </c>
    </row>
    <row r="634" spans="1:12" x14ac:dyDescent="0.25">
      <c r="A634" t="s">
        <v>439</v>
      </c>
      <c r="B634" s="4">
        <v>92</v>
      </c>
      <c r="C634" s="4">
        <v>42</v>
      </c>
      <c r="D634" s="5">
        <f>tbl_details5[[#This Row],[Profit]]/tbl_details5[[#This Row],[Revenue]]</f>
        <v>0.45652173913043476</v>
      </c>
      <c r="E634">
        <v>2</v>
      </c>
      <c r="F634" t="s">
        <v>885</v>
      </c>
      <c r="G634" t="s">
        <v>886</v>
      </c>
      <c r="H634" s="1">
        <f>VLOOKUP(tbl_details5[[#This Row],[Order ID]],Orders!A:F,2,FALSE)</f>
        <v>43383</v>
      </c>
      <c r="I634" s="1" t="str">
        <f>TEXT(tbl_details5[[#This Row],[Order Date]],"mmm-yy")</f>
        <v>Oct-18</v>
      </c>
      <c r="J634" t="str">
        <f>VLOOKUP(tbl_details5[[#This Row],[Order ID]],Table1[],4,FALSE)</f>
        <v>Nripraj</v>
      </c>
      <c r="K634" t="str">
        <f>VLOOKUP(tbl_details5[[#This Row],[Order ID]],Table1[],5,FALSE)</f>
        <v>Punjab</v>
      </c>
      <c r="L634" t="str">
        <f>VLOOKUP(tbl_details5[[#This Row],[Order ID]],Table1[],6,FALSE)</f>
        <v>Chandigarh</v>
      </c>
    </row>
    <row r="635" spans="1:12" x14ac:dyDescent="0.25">
      <c r="A635" t="s">
        <v>439</v>
      </c>
      <c r="B635" s="4">
        <v>29</v>
      </c>
      <c r="C635" s="4">
        <v>8</v>
      </c>
      <c r="D635" s="5">
        <f>tbl_details5[[#This Row],[Profit]]/tbl_details5[[#This Row],[Revenue]]</f>
        <v>0.27586206896551724</v>
      </c>
      <c r="E635">
        <v>5</v>
      </c>
      <c r="F635" t="s">
        <v>885</v>
      </c>
      <c r="G635" t="s">
        <v>887</v>
      </c>
      <c r="H635" s="1">
        <f>VLOOKUP(tbl_details5[[#This Row],[Order ID]],Orders!A:F,2,FALSE)</f>
        <v>43383</v>
      </c>
      <c r="I635" s="1" t="str">
        <f>TEXT(tbl_details5[[#This Row],[Order Date]],"mmm-yy")</f>
        <v>Oct-18</v>
      </c>
      <c r="J635" t="str">
        <f>VLOOKUP(tbl_details5[[#This Row],[Order ID]],Table1[],4,FALSE)</f>
        <v>Nripraj</v>
      </c>
      <c r="K635" t="str">
        <f>VLOOKUP(tbl_details5[[#This Row],[Order ID]],Table1[],5,FALSE)</f>
        <v>Punjab</v>
      </c>
      <c r="L635" t="str">
        <f>VLOOKUP(tbl_details5[[#This Row],[Order ID]],Table1[],6,FALSE)</f>
        <v>Chandigarh</v>
      </c>
    </row>
    <row r="636" spans="1:12" x14ac:dyDescent="0.25">
      <c r="A636" t="s">
        <v>441</v>
      </c>
      <c r="B636" s="4">
        <v>126</v>
      </c>
      <c r="C636" s="4">
        <v>52</v>
      </c>
      <c r="D636" s="5">
        <f>tbl_details5[[#This Row],[Profit]]/tbl_details5[[#This Row],[Revenue]]</f>
        <v>0.41269841269841268</v>
      </c>
      <c r="E636">
        <v>4</v>
      </c>
      <c r="F636" t="s">
        <v>885</v>
      </c>
      <c r="G636" t="s">
        <v>887</v>
      </c>
      <c r="H636" s="1">
        <f>VLOOKUP(tbl_details5[[#This Row],[Order ID]],Orders!A:F,2,FALSE)</f>
        <v>43383</v>
      </c>
      <c r="I636" s="1" t="str">
        <f>TEXT(tbl_details5[[#This Row],[Order Date]],"mmm-yy")</f>
        <v>Oct-18</v>
      </c>
      <c r="J636" t="str">
        <f>VLOOKUP(tbl_details5[[#This Row],[Order ID]],Table1[],4,FALSE)</f>
        <v>Utsav</v>
      </c>
      <c r="K636" t="str">
        <f>VLOOKUP(tbl_details5[[#This Row],[Order ID]],Table1[],5,FALSE)</f>
        <v>Maharashtra</v>
      </c>
      <c r="L636" t="str">
        <f>VLOOKUP(tbl_details5[[#This Row],[Order ID]],Table1[],6,FALSE)</f>
        <v>Mumbai</v>
      </c>
    </row>
    <row r="637" spans="1:12" x14ac:dyDescent="0.25">
      <c r="A637" t="s">
        <v>443</v>
      </c>
      <c r="B637" s="4">
        <v>259</v>
      </c>
      <c r="C637" s="4">
        <v>47</v>
      </c>
      <c r="D637" s="5">
        <f>tbl_details5[[#This Row],[Profit]]/tbl_details5[[#This Row],[Revenue]]</f>
        <v>0.18146718146718147</v>
      </c>
      <c r="E637">
        <v>5</v>
      </c>
      <c r="F637" t="s">
        <v>885</v>
      </c>
      <c r="G637" t="s">
        <v>887</v>
      </c>
      <c r="H637" s="1">
        <f>VLOOKUP(tbl_details5[[#This Row],[Order ID]],Orders!A:F,2,FALSE)</f>
        <v>43383</v>
      </c>
      <c r="I637" s="1" t="str">
        <f>TEXT(tbl_details5[[#This Row],[Order Date]],"mmm-yy")</f>
        <v>Oct-18</v>
      </c>
      <c r="J637" t="str">
        <f>VLOOKUP(tbl_details5[[#This Row],[Order ID]],Table1[],4,FALSE)</f>
        <v>Kshitij</v>
      </c>
      <c r="K637" t="str">
        <f>VLOOKUP(tbl_details5[[#This Row],[Order ID]],Table1[],5,FALSE)</f>
        <v>Madhya Pradesh</v>
      </c>
      <c r="L637" t="str">
        <f>VLOOKUP(tbl_details5[[#This Row],[Order ID]],Table1[],6,FALSE)</f>
        <v>Indore</v>
      </c>
    </row>
    <row r="638" spans="1:12" x14ac:dyDescent="0.25">
      <c r="A638" t="s">
        <v>445</v>
      </c>
      <c r="B638" s="4">
        <v>911</v>
      </c>
      <c r="C638" s="4">
        <v>202</v>
      </c>
      <c r="D638" s="5">
        <f>tbl_details5[[#This Row],[Profit]]/tbl_details5[[#This Row],[Revenue]]</f>
        <v>0.22173435784851811</v>
      </c>
      <c r="E638">
        <v>7</v>
      </c>
      <c r="F638" t="s">
        <v>883</v>
      </c>
      <c r="G638" t="s">
        <v>893</v>
      </c>
      <c r="H638" s="1">
        <f>VLOOKUP(tbl_details5[[#This Row],[Order ID]],Orders!A:F,2,FALSE)</f>
        <v>43383</v>
      </c>
      <c r="I638" s="1" t="str">
        <f>TEXT(tbl_details5[[#This Row],[Order Date]],"mmm-yy")</f>
        <v>Oct-18</v>
      </c>
      <c r="J638" t="str">
        <f>VLOOKUP(tbl_details5[[#This Row],[Order ID]],Table1[],4,FALSE)</f>
        <v>Hrisheekesh</v>
      </c>
      <c r="K638" t="str">
        <f>VLOOKUP(tbl_details5[[#This Row],[Order ID]],Table1[],5,FALSE)</f>
        <v>Maharashtra</v>
      </c>
      <c r="L638" t="str">
        <f>VLOOKUP(tbl_details5[[#This Row],[Order ID]],Table1[],6,FALSE)</f>
        <v>Mumbai</v>
      </c>
    </row>
    <row r="639" spans="1:12" x14ac:dyDescent="0.25">
      <c r="A639" t="s">
        <v>447</v>
      </c>
      <c r="B639" s="4">
        <v>118</v>
      </c>
      <c r="C639" s="4">
        <v>35</v>
      </c>
      <c r="D639" s="5">
        <f>tbl_details5[[#This Row],[Profit]]/tbl_details5[[#This Row],[Revenue]]</f>
        <v>0.29661016949152541</v>
      </c>
      <c r="E639">
        <v>7</v>
      </c>
      <c r="F639" t="s">
        <v>885</v>
      </c>
      <c r="G639" t="s">
        <v>895</v>
      </c>
      <c r="H639" s="1">
        <f>VLOOKUP(tbl_details5[[#This Row],[Order ID]],Orders!A:F,2,FALSE)</f>
        <v>43383</v>
      </c>
      <c r="I639" s="1" t="str">
        <f>TEXT(tbl_details5[[#This Row],[Order Date]],"mmm-yy")</f>
        <v>Oct-18</v>
      </c>
      <c r="J639" t="str">
        <f>VLOOKUP(tbl_details5[[#This Row],[Order ID]],Table1[],4,FALSE)</f>
        <v>Swapnil</v>
      </c>
      <c r="K639" t="str">
        <f>VLOOKUP(tbl_details5[[#This Row],[Order ID]],Table1[],5,FALSE)</f>
        <v>Madhya Pradesh</v>
      </c>
      <c r="L639" t="str">
        <f>VLOOKUP(tbl_details5[[#This Row],[Order ID]],Table1[],6,FALSE)</f>
        <v>Indore</v>
      </c>
    </row>
    <row r="640" spans="1:12" x14ac:dyDescent="0.25">
      <c r="A640" t="s">
        <v>447</v>
      </c>
      <c r="B640" s="4">
        <v>462</v>
      </c>
      <c r="C640" s="4">
        <v>169</v>
      </c>
      <c r="D640" s="5">
        <f>tbl_details5[[#This Row],[Profit]]/tbl_details5[[#This Row],[Revenue]]</f>
        <v>0.36580086580086579</v>
      </c>
      <c r="E640">
        <v>4</v>
      </c>
      <c r="F640" t="s">
        <v>885</v>
      </c>
      <c r="G640" t="s">
        <v>891</v>
      </c>
      <c r="H640" s="1">
        <f>VLOOKUP(tbl_details5[[#This Row],[Order ID]],Orders!A:F,2,FALSE)</f>
        <v>43383</v>
      </c>
      <c r="I640" s="1" t="str">
        <f>TEXT(tbl_details5[[#This Row],[Order Date]],"mmm-yy")</f>
        <v>Oct-18</v>
      </c>
      <c r="J640" t="str">
        <f>VLOOKUP(tbl_details5[[#This Row],[Order ID]],Table1[],4,FALSE)</f>
        <v>Swapnil</v>
      </c>
      <c r="K640" t="str">
        <f>VLOOKUP(tbl_details5[[#This Row],[Order ID]],Table1[],5,FALSE)</f>
        <v>Madhya Pradesh</v>
      </c>
      <c r="L640" t="str">
        <f>VLOOKUP(tbl_details5[[#This Row],[Order ID]],Table1[],6,FALSE)</f>
        <v>Indore</v>
      </c>
    </row>
    <row r="641" spans="1:12" x14ac:dyDescent="0.25">
      <c r="A641" t="s">
        <v>449</v>
      </c>
      <c r="B641" s="4">
        <v>35</v>
      </c>
      <c r="C641" s="4">
        <v>14</v>
      </c>
      <c r="D641" s="5">
        <f>tbl_details5[[#This Row],[Profit]]/tbl_details5[[#This Row],[Revenue]]</f>
        <v>0.4</v>
      </c>
      <c r="E641">
        <v>2</v>
      </c>
      <c r="F641" t="s">
        <v>885</v>
      </c>
      <c r="G641" t="s">
        <v>886</v>
      </c>
      <c r="H641" s="1">
        <f>VLOOKUP(tbl_details5[[#This Row],[Order ID]],Orders!A:F,2,FALSE)</f>
        <v>43383</v>
      </c>
      <c r="I641" s="1" t="str">
        <f>TEXT(tbl_details5[[#This Row],[Order Date]],"mmm-yy")</f>
        <v>Oct-18</v>
      </c>
      <c r="J641" t="str">
        <f>VLOOKUP(tbl_details5[[#This Row],[Order ID]],Table1[],4,FALSE)</f>
        <v>Harsh</v>
      </c>
      <c r="K641" t="str">
        <f>VLOOKUP(tbl_details5[[#This Row],[Order ID]],Table1[],5,FALSE)</f>
        <v>Nagaland</v>
      </c>
      <c r="L641" t="str">
        <f>VLOOKUP(tbl_details5[[#This Row],[Order ID]],Table1[],6,FALSE)</f>
        <v>Kohima</v>
      </c>
    </row>
    <row r="642" spans="1:12" x14ac:dyDescent="0.25">
      <c r="A642" t="s">
        <v>450</v>
      </c>
      <c r="B642" s="4">
        <v>391</v>
      </c>
      <c r="C642" s="4">
        <v>113</v>
      </c>
      <c r="D642" s="5">
        <f>tbl_details5[[#This Row],[Profit]]/tbl_details5[[#This Row],[Revenue]]</f>
        <v>0.28900255754475701</v>
      </c>
      <c r="E642">
        <v>8</v>
      </c>
      <c r="F642" t="s">
        <v>885</v>
      </c>
      <c r="G642" t="s">
        <v>886</v>
      </c>
      <c r="H642" s="1">
        <f>VLOOKUP(tbl_details5[[#This Row],[Order ID]],Orders!A:F,2,FALSE)</f>
        <v>43385</v>
      </c>
      <c r="I642" s="1" t="str">
        <f>TEXT(tbl_details5[[#This Row],[Order Date]],"mmm-yy")</f>
        <v>Oct-18</v>
      </c>
      <c r="J642" t="str">
        <f>VLOOKUP(tbl_details5[[#This Row],[Order ID]],Table1[],4,FALSE)</f>
        <v>Mane</v>
      </c>
      <c r="K642" t="str">
        <f>VLOOKUP(tbl_details5[[#This Row],[Order ID]],Table1[],5,FALSE)</f>
        <v>Andhra Pradesh</v>
      </c>
      <c r="L642" t="str">
        <f>VLOOKUP(tbl_details5[[#This Row],[Order ID]],Table1[],6,FALSE)</f>
        <v>Hyderabad</v>
      </c>
    </row>
    <row r="643" spans="1:12" x14ac:dyDescent="0.25">
      <c r="A643" t="s">
        <v>452</v>
      </c>
      <c r="B643" s="4">
        <v>743</v>
      </c>
      <c r="C643" s="4">
        <v>89</v>
      </c>
      <c r="D643" s="5">
        <f>tbl_details5[[#This Row],[Profit]]/tbl_details5[[#This Row],[Revenue]]</f>
        <v>0.11978465679676985</v>
      </c>
      <c r="E643">
        <v>5</v>
      </c>
      <c r="F643" t="s">
        <v>888</v>
      </c>
      <c r="G643" t="s">
        <v>899</v>
      </c>
      <c r="H643" s="1">
        <f>VLOOKUP(tbl_details5[[#This Row],[Order ID]],Orders!A:F,2,FALSE)</f>
        <v>43386</v>
      </c>
      <c r="I643" s="1" t="str">
        <f>TEXT(tbl_details5[[#This Row],[Order Date]],"mmm-yy")</f>
        <v>Oct-18</v>
      </c>
      <c r="J643" t="str">
        <f>VLOOKUP(tbl_details5[[#This Row],[Order ID]],Table1[],4,FALSE)</f>
        <v>Praneet</v>
      </c>
      <c r="K643" t="str">
        <f>VLOOKUP(tbl_details5[[#This Row],[Order ID]],Table1[],5,FALSE)</f>
        <v>Maharashtra</v>
      </c>
      <c r="L643" t="str">
        <f>VLOOKUP(tbl_details5[[#This Row],[Order ID]],Table1[],6,FALSE)</f>
        <v>Mumbai</v>
      </c>
    </row>
    <row r="644" spans="1:12" x14ac:dyDescent="0.25">
      <c r="A644" t="s">
        <v>454</v>
      </c>
      <c r="B644" s="4">
        <v>75</v>
      </c>
      <c r="C644" s="4">
        <v>28</v>
      </c>
      <c r="D644" s="5">
        <f>tbl_details5[[#This Row],[Profit]]/tbl_details5[[#This Row],[Revenue]]</f>
        <v>0.37333333333333335</v>
      </c>
      <c r="E644">
        <v>9</v>
      </c>
      <c r="F644" t="s">
        <v>885</v>
      </c>
      <c r="G644" t="s">
        <v>887</v>
      </c>
      <c r="H644" s="1">
        <f>VLOOKUP(tbl_details5[[#This Row],[Order ID]],Orders!A:F,2,FALSE)</f>
        <v>43387</v>
      </c>
      <c r="I644" s="1" t="str">
        <f>TEXT(tbl_details5[[#This Row],[Order Date]],"mmm-yy")</f>
        <v>Oct-18</v>
      </c>
      <c r="J644" t="str">
        <f>VLOOKUP(tbl_details5[[#This Row],[Order ID]],Table1[],4,FALSE)</f>
        <v>Sandeep</v>
      </c>
      <c r="K644" t="str">
        <f>VLOOKUP(tbl_details5[[#This Row],[Order ID]],Table1[],5,FALSE)</f>
        <v>Madhya Pradesh</v>
      </c>
      <c r="L644" t="str">
        <f>VLOOKUP(tbl_details5[[#This Row],[Order ID]],Table1[],6,FALSE)</f>
        <v>Indore</v>
      </c>
    </row>
    <row r="645" spans="1:12" x14ac:dyDescent="0.25">
      <c r="A645" t="s">
        <v>454</v>
      </c>
      <c r="B645" s="4">
        <v>36</v>
      </c>
      <c r="C645" s="4">
        <v>0</v>
      </c>
      <c r="D645" s="5">
        <f>tbl_details5[[#This Row],[Profit]]/tbl_details5[[#This Row],[Revenue]]</f>
        <v>0</v>
      </c>
      <c r="E645">
        <v>4</v>
      </c>
      <c r="F645" t="s">
        <v>885</v>
      </c>
      <c r="G645" t="s">
        <v>894</v>
      </c>
      <c r="H645" s="1">
        <f>VLOOKUP(tbl_details5[[#This Row],[Order ID]],Orders!A:F,2,FALSE)</f>
        <v>43387</v>
      </c>
      <c r="I645" s="1" t="str">
        <f>TEXT(tbl_details5[[#This Row],[Order Date]],"mmm-yy")</f>
        <v>Oct-18</v>
      </c>
      <c r="J645" t="str">
        <f>VLOOKUP(tbl_details5[[#This Row],[Order ID]],Table1[],4,FALSE)</f>
        <v>Sandeep</v>
      </c>
      <c r="K645" t="str">
        <f>VLOOKUP(tbl_details5[[#This Row],[Order ID]],Table1[],5,FALSE)</f>
        <v>Madhya Pradesh</v>
      </c>
      <c r="L645" t="str">
        <f>VLOOKUP(tbl_details5[[#This Row],[Order ID]],Table1[],6,FALSE)</f>
        <v>Indore</v>
      </c>
    </row>
    <row r="646" spans="1:12" x14ac:dyDescent="0.25">
      <c r="A646" t="s">
        <v>454</v>
      </c>
      <c r="B646" s="4">
        <v>32</v>
      </c>
      <c r="C646" s="4">
        <v>11</v>
      </c>
      <c r="D646" s="5">
        <f>tbl_details5[[#This Row],[Profit]]/tbl_details5[[#This Row],[Revenue]]</f>
        <v>0.34375</v>
      </c>
      <c r="E646">
        <v>2</v>
      </c>
      <c r="F646" t="s">
        <v>885</v>
      </c>
      <c r="G646" t="s">
        <v>897</v>
      </c>
      <c r="H646" s="1">
        <f>VLOOKUP(tbl_details5[[#This Row],[Order ID]],Orders!A:F,2,FALSE)</f>
        <v>43387</v>
      </c>
      <c r="I646" s="1" t="str">
        <f>TEXT(tbl_details5[[#This Row],[Order Date]],"mmm-yy")</f>
        <v>Oct-18</v>
      </c>
      <c r="J646" t="str">
        <f>VLOOKUP(tbl_details5[[#This Row],[Order ID]],Table1[],4,FALSE)</f>
        <v>Sandeep</v>
      </c>
      <c r="K646" t="str">
        <f>VLOOKUP(tbl_details5[[#This Row],[Order ID]],Table1[],5,FALSE)</f>
        <v>Madhya Pradesh</v>
      </c>
      <c r="L646" t="str">
        <f>VLOOKUP(tbl_details5[[#This Row],[Order ID]],Table1[],6,FALSE)</f>
        <v>Indore</v>
      </c>
    </row>
    <row r="647" spans="1:12" x14ac:dyDescent="0.25">
      <c r="A647" t="s">
        <v>454</v>
      </c>
      <c r="B647" s="4">
        <v>94</v>
      </c>
      <c r="C647" s="4">
        <v>20</v>
      </c>
      <c r="D647" s="5">
        <f>tbl_details5[[#This Row],[Profit]]/tbl_details5[[#This Row],[Revenue]]</f>
        <v>0.21276595744680851</v>
      </c>
      <c r="E647">
        <v>2</v>
      </c>
      <c r="F647" t="s">
        <v>883</v>
      </c>
      <c r="G647" t="s">
        <v>901</v>
      </c>
      <c r="H647" s="1">
        <f>VLOOKUP(tbl_details5[[#This Row],[Order ID]],Orders!A:F,2,FALSE)</f>
        <v>43387</v>
      </c>
      <c r="I647" s="1" t="str">
        <f>TEXT(tbl_details5[[#This Row],[Order Date]],"mmm-yy")</f>
        <v>Oct-18</v>
      </c>
      <c r="J647" t="str">
        <f>VLOOKUP(tbl_details5[[#This Row],[Order ID]],Table1[],4,FALSE)</f>
        <v>Sandeep</v>
      </c>
      <c r="K647" t="str">
        <f>VLOOKUP(tbl_details5[[#This Row],[Order ID]],Table1[],5,FALSE)</f>
        <v>Madhya Pradesh</v>
      </c>
      <c r="L647" t="str">
        <f>VLOOKUP(tbl_details5[[#This Row],[Order ID]],Table1[],6,FALSE)</f>
        <v>Indore</v>
      </c>
    </row>
    <row r="648" spans="1:12" x14ac:dyDescent="0.25">
      <c r="A648" t="s">
        <v>454</v>
      </c>
      <c r="B648" s="4">
        <v>28</v>
      </c>
      <c r="C648" s="4">
        <v>14</v>
      </c>
      <c r="D648" s="5">
        <f>tbl_details5[[#This Row],[Profit]]/tbl_details5[[#This Row],[Revenue]]</f>
        <v>0.5</v>
      </c>
      <c r="E648">
        <v>4</v>
      </c>
      <c r="F648" t="s">
        <v>885</v>
      </c>
      <c r="G648" t="s">
        <v>887</v>
      </c>
      <c r="H648" s="1">
        <f>VLOOKUP(tbl_details5[[#This Row],[Order ID]],Orders!A:F,2,FALSE)</f>
        <v>43387</v>
      </c>
      <c r="I648" s="1" t="str">
        <f>TEXT(tbl_details5[[#This Row],[Order Date]],"mmm-yy")</f>
        <v>Oct-18</v>
      </c>
      <c r="J648" t="str">
        <f>VLOOKUP(tbl_details5[[#This Row],[Order ID]],Table1[],4,FALSE)</f>
        <v>Sandeep</v>
      </c>
      <c r="K648" t="str">
        <f>VLOOKUP(tbl_details5[[#This Row],[Order ID]],Table1[],5,FALSE)</f>
        <v>Madhya Pradesh</v>
      </c>
      <c r="L648" t="str">
        <f>VLOOKUP(tbl_details5[[#This Row],[Order ID]],Table1[],6,FALSE)</f>
        <v>Indore</v>
      </c>
    </row>
    <row r="649" spans="1:12" x14ac:dyDescent="0.25">
      <c r="A649" t="s">
        <v>456</v>
      </c>
      <c r="B649" s="4">
        <v>417</v>
      </c>
      <c r="C649" s="4">
        <v>49</v>
      </c>
      <c r="D649" s="5">
        <f>tbl_details5[[#This Row],[Profit]]/tbl_details5[[#This Row],[Revenue]]</f>
        <v>0.11750599520383694</v>
      </c>
      <c r="E649">
        <v>3</v>
      </c>
      <c r="F649" t="s">
        <v>888</v>
      </c>
      <c r="G649" t="s">
        <v>889</v>
      </c>
      <c r="H649" s="1">
        <f>VLOOKUP(tbl_details5[[#This Row],[Order ID]],Orders!A:F,2,FALSE)</f>
        <v>43388</v>
      </c>
      <c r="I649" s="1" t="str">
        <f>TEXT(tbl_details5[[#This Row],[Order Date]],"mmm-yy")</f>
        <v>Oct-18</v>
      </c>
      <c r="J649" t="str">
        <f>VLOOKUP(tbl_details5[[#This Row],[Order ID]],Table1[],4,FALSE)</f>
        <v>Ankur</v>
      </c>
      <c r="K649" t="str">
        <f>VLOOKUP(tbl_details5[[#This Row],[Order ID]],Table1[],5,FALSE)</f>
        <v>Madhya Pradesh</v>
      </c>
      <c r="L649" t="str">
        <f>VLOOKUP(tbl_details5[[#This Row],[Order ID]],Table1[],6,FALSE)</f>
        <v>Bhopal</v>
      </c>
    </row>
    <row r="650" spans="1:12" x14ac:dyDescent="0.25">
      <c r="A650" t="s">
        <v>458</v>
      </c>
      <c r="B650" s="4">
        <v>119</v>
      </c>
      <c r="C650" s="4">
        <v>1</v>
      </c>
      <c r="D650" s="5">
        <f>tbl_details5[[#This Row],[Profit]]/tbl_details5[[#This Row],[Revenue]]</f>
        <v>8.4033613445378148E-3</v>
      </c>
      <c r="E650">
        <v>1</v>
      </c>
      <c r="F650" t="s">
        <v>883</v>
      </c>
      <c r="G650" t="s">
        <v>893</v>
      </c>
      <c r="H650" s="1">
        <f>VLOOKUP(tbl_details5[[#This Row],[Order ID]],Orders!A:F,2,FALSE)</f>
        <v>43389</v>
      </c>
      <c r="I650" s="1" t="str">
        <f>TEXT(tbl_details5[[#This Row],[Order Date]],"mmm-yy")</f>
        <v>Oct-18</v>
      </c>
      <c r="J650" t="str">
        <f>VLOOKUP(tbl_details5[[#This Row],[Order ID]],Table1[],4,FALSE)</f>
        <v>Dheeraj</v>
      </c>
      <c r="K650" t="str">
        <f>VLOOKUP(tbl_details5[[#This Row],[Order ID]],Table1[],5,FALSE)</f>
        <v>Rajasthan</v>
      </c>
      <c r="L650" t="str">
        <f>VLOOKUP(tbl_details5[[#This Row],[Order ID]],Table1[],6,FALSE)</f>
        <v>Jaipur</v>
      </c>
    </row>
    <row r="651" spans="1:12" x14ac:dyDescent="0.25">
      <c r="A651" t="s">
        <v>460</v>
      </c>
      <c r="B651" s="4">
        <v>60</v>
      </c>
      <c r="C651" s="4">
        <v>21</v>
      </c>
      <c r="D651" s="5">
        <f>tbl_details5[[#This Row],[Profit]]/tbl_details5[[#This Row],[Revenue]]</f>
        <v>0.35</v>
      </c>
      <c r="E651">
        <v>4</v>
      </c>
      <c r="F651" t="s">
        <v>885</v>
      </c>
      <c r="G651" t="s">
        <v>886</v>
      </c>
      <c r="H651" s="1">
        <f>VLOOKUP(tbl_details5[[#This Row],[Order ID]],Orders!A:F,2,FALSE)</f>
        <v>43389</v>
      </c>
      <c r="I651" s="1" t="str">
        <f>TEXT(tbl_details5[[#This Row],[Order Date]],"mmm-yy")</f>
        <v>Oct-18</v>
      </c>
      <c r="J651" t="str">
        <f>VLOOKUP(tbl_details5[[#This Row],[Order ID]],Table1[],4,FALSE)</f>
        <v>Ajay</v>
      </c>
      <c r="K651" t="str">
        <f>VLOOKUP(tbl_details5[[#This Row],[Order ID]],Table1[],5,FALSE)</f>
        <v>West Bengal</v>
      </c>
      <c r="L651" t="str">
        <f>VLOOKUP(tbl_details5[[#This Row],[Order ID]],Table1[],6,FALSE)</f>
        <v>Kolkata</v>
      </c>
    </row>
    <row r="652" spans="1:12" x14ac:dyDescent="0.25">
      <c r="A652" t="s">
        <v>460</v>
      </c>
      <c r="B652" s="4">
        <v>17</v>
      </c>
      <c r="C652" s="4">
        <v>0</v>
      </c>
      <c r="D652" s="5">
        <f>tbl_details5[[#This Row],[Profit]]/tbl_details5[[#This Row],[Revenue]]</f>
        <v>0</v>
      </c>
      <c r="E652">
        <v>1</v>
      </c>
      <c r="F652" t="s">
        <v>885</v>
      </c>
      <c r="G652" t="s">
        <v>887</v>
      </c>
      <c r="H652" s="1">
        <f>VLOOKUP(tbl_details5[[#This Row],[Order ID]],Orders!A:F,2,FALSE)</f>
        <v>43389</v>
      </c>
      <c r="I652" s="1" t="str">
        <f>TEXT(tbl_details5[[#This Row],[Order Date]],"mmm-yy")</f>
        <v>Oct-18</v>
      </c>
      <c r="J652" t="str">
        <f>VLOOKUP(tbl_details5[[#This Row],[Order ID]],Table1[],4,FALSE)</f>
        <v>Ajay</v>
      </c>
      <c r="K652" t="str">
        <f>VLOOKUP(tbl_details5[[#This Row],[Order ID]],Table1[],5,FALSE)</f>
        <v>West Bengal</v>
      </c>
      <c r="L652" t="str">
        <f>VLOOKUP(tbl_details5[[#This Row],[Order ID]],Table1[],6,FALSE)</f>
        <v>Kolkata</v>
      </c>
    </row>
    <row r="653" spans="1:12" x14ac:dyDescent="0.25">
      <c r="A653" t="s">
        <v>460</v>
      </c>
      <c r="B653" s="4">
        <v>125</v>
      </c>
      <c r="C653" s="4">
        <v>0</v>
      </c>
      <c r="D653" s="5">
        <f>tbl_details5[[#This Row],[Profit]]/tbl_details5[[#This Row],[Revenue]]</f>
        <v>0</v>
      </c>
      <c r="E653">
        <v>3</v>
      </c>
      <c r="F653" t="s">
        <v>888</v>
      </c>
      <c r="G653" t="s">
        <v>900</v>
      </c>
      <c r="H653" s="1">
        <f>VLOOKUP(tbl_details5[[#This Row],[Order ID]],Orders!A:F,2,FALSE)</f>
        <v>43389</v>
      </c>
      <c r="I653" s="1" t="str">
        <f>TEXT(tbl_details5[[#This Row],[Order Date]],"mmm-yy")</f>
        <v>Oct-18</v>
      </c>
      <c r="J653" t="str">
        <f>VLOOKUP(tbl_details5[[#This Row],[Order ID]],Table1[],4,FALSE)</f>
        <v>Ajay</v>
      </c>
      <c r="K653" t="str">
        <f>VLOOKUP(tbl_details5[[#This Row],[Order ID]],Table1[],5,FALSE)</f>
        <v>West Bengal</v>
      </c>
      <c r="L653" t="str">
        <f>VLOOKUP(tbl_details5[[#This Row],[Order ID]],Table1[],6,FALSE)</f>
        <v>Kolkata</v>
      </c>
    </row>
    <row r="654" spans="1:12" x14ac:dyDescent="0.25">
      <c r="A654" t="s">
        <v>461</v>
      </c>
      <c r="B654" s="4">
        <v>34</v>
      </c>
      <c r="C654" s="4">
        <v>13</v>
      </c>
      <c r="D654" s="5">
        <f>tbl_details5[[#This Row],[Profit]]/tbl_details5[[#This Row],[Revenue]]</f>
        <v>0.38235294117647056</v>
      </c>
      <c r="E654">
        <v>2</v>
      </c>
      <c r="F654" t="s">
        <v>885</v>
      </c>
      <c r="G654" t="s">
        <v>891</v>
      </c>
      <c r="H654" s="1">
        <f>VLOOKUP(tbl_details5[[#This Row],[Order ID]],Orders!A:F,2,FALSE)</f>
        <v>43391</v>
      </c>
      <c r="I654" s="1" t="str">
        <f>TEXT(tbl_details5[[#This Row],[Order Date]],"mmm-yy")</f>
        <v>Oct-18</v>
      </c>
      <c r="J654" t="str">
        <f>VLOOKUP(tbl_details5[[#This Row],[Order ID]],Table1[],4,FALSE)</f>
        <v>Tejas</v>
      </c>
      <c r="K654" t="str">
        <f>VLOOKUP(tbl_details5[[#This Row],[Order ID]],Table1[],5,FALSE)</f>
        <v>Karnataka</v>
      </c>
      <c r="L654" t="str">
        <f>VLOOKUP(tbl_details5[[#This Row],[Order ID]],Table1[],6,FALSE)</f>
        <v>Bangalore</v>
      </c>
    </row>
    <row r="655" spans="1:12" x14ac:dyDescent="0.25">
      <c r="A655" t="s">
        <v>463</v>
      </c>
      <c r="B655" s="4">
        <v>2103</v>
      </c>
      <c r="C655" s="4">
        <v>322</v>
      </c>
      <c r="D655" s="5">
        <f>tbl_details5[[#This Row],[Profit]]/tbl_details5[[#This Row],[Revenue]]</f>
        <v>0.15311459819305753</v>
      </c>
      <c r="E655">
        <v>8</v>
      </c>
      <c r="F655" t="s">
        <v>888</v>
      </c>
      <c r="G655" t="s">
        <v>889</v>
      </c>
      <c r="H655" s="1">
        <f>VLOOKUP(tbl_details5[[#This Row],[Order ID]],Orders!A:F,2,FALSE)</f>
        <v>43391</v>
      </c>
      <c r="I655" s="1" t="str">
        <f>TEXT(tbl_details5[[#This Row],[Order Date]],"mmm-yy")</f>
        <v>Oct-18</v>
      </c>
      <c r="J655" t="str">
        <f>VLOOKUP(tbl_details5[[#This Row],[Order ID]],Table1[],4,FALSE)</f>
        <v>Rohan</v>
      </c>
      <c r="K655" t="str">
        <f>VLOOKUP(tbl_details5[[#This Row],[Order ID]],Table1[],5,FALSE)</f>
        <v>Maharashtra</v>
      </c>
      <c r="L655" t="str">
        <f>VLOOKUP(tbl_details5[[#This Row],[Order ID]],Table1[],6,FALSE)</f>
        <v>Mumbai</v>
      </c>
    </row>
    <row r="656" spans="1:12" x14ac:dyDescent="0.25">
      <c r="A656" t="s">
        <v>463</v>
      </c>
      <c r="B656" s="4">
        <v>104</v>
      </c>
      <c r="C656" s="4">
        <v>2</v>
      </c>
      <c r="D656" s="5">
        <f>tbl_details5[[#This Row],[Profit]]/tbl_details5[[#This Row],[Revenue]]</f>
        <v>1.9230769230769232E-2</v>
      </c>
      <c r="E656">
        <v>2</v>
      </c>
      <c r="F656" t="s">
        <v>883</v>
      </c>
      <c r="G656" t="s">
        <v>901</v>
      </c>
      <c r="H656" s="1">
        <f>VLOOKUP(tbl_details5[[#This Row],[Order ID]],Orders!A:F,2,FALSE)</f>
        <v>43391</v>
      </c>
      <c r="I656" s="1" t="str">
        <f>TEXT(tbl_details5[[#This Row],[Order Date]],"mmm-yy")</f>
        <v>Oct-18</v>
      </c>
      <c r="J656" t="str">
        <f>VLOOKUP(tbl_details5[[#This Row],[Order ID]],Table1[],4,FALSE)</f>
        <v>Rohan</v>
      </c>
      <c r="K656" t="str">
        <f>VLOOKUP(tbl_details5[[#This Row],[Order ID]],Table1[],5,FALSE)</f>
        <v>Maharashtra</v>
      </c>
      <c r="L656" t="str">
        <f>VLOOKUP(tbl_details5[[#This Row],[Order ID]],Table1[],6,FALSE)</f>
        <v>Mumbai</v>
      </c>
    </row>
    <row r="657" spans="1:12" x14ac:dyDescent="0.25">
      <c r="A657" t="s">
        <v>463</v>
      </c>
      <c r="B657" s="4">
        <v>59</v>
      </c>
      <c r="C657" s="4">
        <v>6</v>
      </c>
      <c r="D657" s="5">
        <f>tbl_details5[[#This Row],[Profit]]/tbl_details5[[#This Row],[Revenue]]</f>
        <v>0.10169491525423729</v>
      </c>
      <c r="E657">
        <v>1</v>
      </c>
      <c r="F657" t="s">
        <v>888</v>
      </c>
      <c r="G657" t="s">
        <v>900</v>
      </c>
      <c r="H657" s="1">
        <f>VLOOKUP(tbl_details5[[#This Row],[Order ID]],Orders!A:F,2,FALSE)</f>
        <v>43391</v>
      </c>
      <c r="I657" s="1" t="str">
        <f>TEXT(tbl_details5[[#This Row],[Order Date]],"mmm-yy")</f>
        <v>Oct-18</v>
      </c>
      <c r="J657" t="str">
        <f>VLOOKUP(tbl_details5[[#This Row],[Order ID]],Table1[],4,FALSE)</f>
        <v>Rohan</v>
      </c>
      <c r="K657" t="str">
        <f>VLOOKUP(tbl_details5[[#This Row],[Order ID]],Table1[],5,FALSE)</f>
        <v>Maharashtra</v>
      </c>
      <c r="L657" t="str">
        <f>VLOOKUP(tbl_details5[[#This Row],[Order ID]],Table1[],6,FALSE)</f>
        <v>Mumbai</v>
      </c>
    </row>
    <row r="658" spans="1:12" x14ac:dyDescent="0.25">
      <c r="A658" t="s">
        <v>463</v>
      </c>
      <c r="B658" s="4">
        <v>103</v>
      </c>
      <c r="C658" s="4">
        <v>50</v>
      </c>
      <c r="D658" s="5">
        <f>tbl_details5[[#This Row],[Profit]]/tbl_details5[[#This Row],[Revenue]]</f>
        <v>0.4854368932038835</v>
      </c>
      <c r="E658">
        <v>2</v>
      </c>
      <c r="F658" t="s">
        <v>883</v>
      </c>
      <c r="G658" t="s">
        <v>901</v>
      </c>
      <c r="H658" s="1">
        <f>VLOOKUP(tbl_details5[[#This Row],[Order ID]],Orders!A:F,2,FALSE)</f>
        <v>43391</v>
      </c>
      <c r="I658" s="1" t="str">
        <f>TEXT(tbl_details5[[#This Row],[Order Date]],"mmm-yy")</f>
        <v>Oct-18</v>
      </c>
      <c r="J658" t="str">
        <f>VLOOKUP(tbl_details5[[#This Row],[Order ID]],Table1[],4,FALSE)</f>
        <v>Rohan</v>
      </c>
      <c r="K658" t="str">
        <f>VLOOKUP(tbl_details5[[#This Row],[Order ID]],Table1[],5,FALSE)</f>
        <v>Maharashtra</v>
      </c>
      <c r="L658" t="str">
        <f>VLOOKUP(tbl_details5[[#This Row],[Order ID]],Table1[],6,FALSE)</f>
        <v>Mumbai</v>
      </c>
    </row>
    <row r="659" spans="1:12" x14ac:dyDescent="0.25">
      <c r="A659" t="s">
        <v>465</v>
      </c>
      <c r="B659" s="4">
        <v>101</v>
      </c>
      <c r="C659" s="4">
        <v>38</v>
      </c>
      <c r="D659" s="5">
        <f>tbl_details5[[#This Row],[Profit]]/tbl_details5[[#This Row],[Revenue]]</f>
        <v>0.37623762376237624</v>
      </c>
      <c r="E659">
        <v>2</v>
      </c>
      <c r="F659" t="s">
        <v>883</v>
      </c>
      <c r="G659" t="s">
        <v>901</v>
      </c>
      <c r="H659" s="1">
        <f>VLOOKUP(tbl_details5[[#This Row],[Order ID]],Orders!A:F,2,FALSE)</f>
        <v>43393</v>
      </c>
      <c r="I659" s="1" t="str">
        <f>TEXT(tbl_details5[[#This Row],[Order Date]],"mmm-yy")</f>
        <v>Oct-18</v>
      </c>
      <c r="J659" t="str">
        <f>VLOOKUP(tbl_details5[[#This Row],[Order ID]],Table1[],4,FALSE)</f>
        <v>Shyam</v>
      </c>
      <c r="K659" t="str">
        <f>VLOOKUP(tbl_details5[[#This Row],[Order ID]],Table1[],5,FALSE)</f>
        <v>Madhya Pradesh</v>
      </c>
      <c r="L659" t="str">
        <f>VLOOKUP(tbl_details5[[#This Row],[Order ID]],Table1[],6,FALSE)</f>
        <v>Indore</v>
      </c>
    </row>
    <row r="660" spans="1:12" x14ac:dyDescent="0.25">
      <c r="A660" t="s">
        <v>467</v>
      </c>
      <c r="B660" s="4">
        <v>911</v>
      </c>
      <c r="C660" s="4">
        <v>355</v>
      </c>
      <c r="D660" s="5">
        <f>tbl_details5[[#This Row],[Profit]]/tbl_details5[[#This Row],[Revenue]]</f>
        <v>0.3896816684961581</v>
      </c>
      <c r="E660">
        <v>5</v>
      </c>
      <c r="F660" t="s">
        <v>888</v>
      </c>
      <c r="G660" t="s">
        <v>890</v>
      </c>
      <c r="H660" s="1">
        <f>VLOOKUP(tbl_details5[[#This Row],[Order ID]],Orders!A:F,2,FALSE)</f>
        <v>43394</v>
      </c>
      <c r="I660" s="1" t="str">
        <f>TEXT(tbl_details5[[#This Row],[Order Date]],"mmm-yy")</f>
        <v>Oct-18</v>
      </c>
      <c r="J660" t="str">
        <f>VLOOKUP(tbl_details5[[#This Row],[Order ID]],Table1[],4,FALSE)</f>
        <v>Kartik</v>
      </c>
      <c r="K660" t="str">
        <f>VLOOKUP(tbl_details5[[#This Row],[Order ID]],Table1[],5,FALSE)</f>
        <v>Madhya Pradesh</v>
      </c>
      <c r="L660" t="str">
        <f>VLOOKUP(tbl_details5[[#This Row],[Order ID]],Table1[],6,FALSE)</f>
        <v>Indore</v>
      </c>
    </row>
    <row r="661" spans="1:12" x14ac:dyDescent="0.25">
      <c r="A661" t="s">
        <v>467</v>
      </c>
      <c r="B661" s="4">
        <v>115</v>
      </c>
      <c r="C661" s="4">
        <v>25</v>
      </c>
      <c r="D661" s="5">
        <f>tbl_details5[[#This Row],[Profit]]/tbl_details5[[#This Row],[Revenue]]</f>
        <v>0.21739130434782608</v>
      </c>
      <c r="E661">
        <v>6</v>
      </c>
      <c r="F661" t="s">
        <v>885</v>
      </c>
      <c r="G661" t="s">
        <v>886</v>
      </c>
      <c r="H661" s="1">
        <f>VLOOKUP(tbl_details5[[#This Row],[Order ID]],Orders!A:F,2,FALSE)</f>
        <v>43394</v>
      </c>
      <c r="I661" s="1" t="str">
        <f>TEXT(tbl_details5[[#This Row],[Order Date]],"mmm-yy")</f>
        <v>Oct-18</v>
      </c>
      <c r="J661" t="str">
        <f>VLOOKUP(tbl_details5[[#This Row],[Order ID]],Table1[],4,FALSE)</f>
        <v>Kartik</v>
      </c>
      <c r="K661" t="str">
        <f>VLOOKUP(tbl_details5[[#This Row],[Order ID]],Table1[],5,FALSE)</f>
        <v>Madhya Pradesh</v>
      </c>
      <c r="L661" t="str">
        <f>VLOOKUP(tbl_details5[[#This Row],[Order ID]],Table1[],6,FALSE)</f>
        <v>Indore</v>
      </c>
    </row>
    <row r="662" spans="1:12" x14ac:dyDescent="0.25">
      <c r="A662" t="s">
        <v>467</v>
      </c>
      <c r="B662" s="4">
        <v>140</v>
      </c>
      <c r="C662" s="4">
        <v>6</v>
      </c>
      <c r="D662" s="5">
        <f>tbl_details5[[#This Row],[Profit]]/tbl_details5[[#This Row],[Revenue]]</f>
        <v>4.2857142857142858E-2</v>
      </c>
      <c r="E662">
        <v>5</v>
      </c>
      <c r="F662" t="s">
        <v>885</v>
      </c>
      <c r="G662" t="s">
        <v>891</v>
      </c>
      <c r="H662" s="1">
        <f>VLOOKUP(tbl_details5[[#This Row],[Order ID]],Orders!A:F,2,FALSE)</f>
        <v>43394</v>
      </c>
      <c r="I662" s="1" t="str">
        <f>TEXT(tbl_details5[[#This Row],[Order Date]],"mmm-yy")</f>
        <v>Oct-18</v>
      </c>
      <c r="J662" t="str">
        <f>VLOOKUP(tbl_details5[[#This Row],[Order ID]],Table1[],4,FALSE)</f>
        <v>Kartik</v>
      </c>
      <c r="K662" t="str">
        <f>VLOOKUP(tbl_details5[[#This Row],[Order ID]],Table1[],5,FALSE)</f>
        <v>Madhya Pradesh</v>
      </c>
      <c r="L662" t="str">
        <f>VLOOKUP(tbl_details5[[#This Row],[Order ID]],Table1[],6,FALSE)</f>
        <v>Indore</v>
      </c>
    </row>
    <row r="663" spans="1:12" x14ac:dyDescent="0.25">
      <c r="A663" t="s">
        <v>468</v>
      </c>
      <c r="B663" s="4">
        <v>637</v>
      </c>
      <c r="C663" s="4">
        <v>261</v>
      </c>
      <c r="D663" s="5">
        <f>tbl_details5[[#This Row],[Profit]]/tbl_details5[[#This Row],[Revenue]]</f>
        <v>0.40973312401883832</v>
      </c>
      <c r="E663">
        <v>2</v>
      </c>
      <c r="F663" t="s">
        <v>888</v>
      </c>
      <c r="G663" t="s">
        <v>899</v>
      </c>
      <c r="H663" s="1">
        <f>VLOOKUP(tbl_details5[[#This Row],[Order ID]],Orders!A:F,2,FALSE)</f>
        <v>43395</v>
      </c>
      <c r="I663" s="1" t="str">
        <f>TEXT(tbl_details5[[#This Row],[Order Date]],"mmm-yy")</f>
        <v>Oct-18</v>
      </c>
      <c r="J663" t="str">
        <f>VLOOKUP(tbl_details5[[#This Row],[Order ID]],Table1[],4,FALSE)</f>
        <v>Tanushree</v>
      </c>
      <c r="K663" t="str">
        <f>VLOOKUP(tbl_details5[[#This Row],[Order ID]],Table1[],5,FALSE)</f>
        <v>Maharashtra</v>
      </c>
      <c r="L663" t="str">
        <f>VLOOKUP(tbl_details5[[#This Row],[Order ID]],Table1[],6,FALSE)</f>
        <v>Mumbai</v>
      </c>
    </row>
    <row r="664" spans="1:12" x14ac:dyDescent="0.25">
      <c r="A664" t="s">
        <v>470</v>
      </c>
      <c r="B664" s="4">
        <v>156</v>
      </c>
      <c r="C664" s="4">
        <v>21</v>
      </c>
      <c r="D664" s="5">
        <f>tbl_details5[[#This Row],[Profit]]/tbl_details5[[#This Row],[Revenue]]</f>
        <v>0.13461538461538461</v>
      </c>
      <c r="E664">
        <v>3</v>
      </c>
      <c r="F664" t="s">
        <v>883</v>
      </c>
      <c r="G664" t="s">
        <v>893</v>
      </c>
      <c r="H664" s="1">
        <f>VLOOKUP(tbl_details5[[#This Row],[Order ID]],Orders!A:F,2,FALSE)</f>
        <v>43396</v>
      </c>
      <c r="I664" s="1" t="str">
        <f>TEXT(tbl_details5[[#This Row],[Order Date]],"mmm-yy")</f>
        <v>Oct-18</v>
      </c>
      <c r="J664" t="str">
        <f>VLOOKUP(tbl_details5[[#This Row],[Order ID]],Table1[],4,FALSE)</f>
        <v>Sheetal</v>
      </c>
      <c r="K664" t="str">
        <f>VLOOKUP(tbl_details5[[#This Row],[Order ID]],Table1[],5,FALSE)</f>
        <v>Madhya Pradesh</v>
      </c>
      <c r="L664" t="str">
        <f>VLOOKUP(tbl_details5[[#This Row],[Order ID]],Table1[],6,FALSE)</f>
        <v>Indore</v>
      </c>
    </row>
    <row r="665" spans="1:12" x14ac:dyDescent="0.25">
      <c r="A665" t="s">
        <v>471</v>
      </c>
      <c r="B665" s="4">
        <v>537</v>
      </c>
      <c r="C665" s="4">
        <v>107</v>
      </c>
      <c r="D665" s="5">
        <f>tbl_details5[[#This Row],[Profit]]/tbl_details5[[#This Row],[Revenue]]</f>
        <v>0.19925512104283055</v>
      </c>
      <c r="E665">
        <v>3</v>
      </c>
      <c r="F665" t="s">
        <v>885</v>
      </c>
      <c r="G665" t="s">
        <v>891</v>
      </c>
      <c r="H665" s="1">
        <f>VLOOKUP(tbl_details5[[#This Row],[Order ID]],Orders!A:F,2,FALSE)</f>
        <v>43397</v>
      </c>
      <c r="I665" s="1" t="str">
        <f>TEXT(tbl_details5[[#This Row],[Order Date]],"mmm-yy")</f>
        <v>Oct-18</v>
      </c>
      <c r="J665" t="str">
        <f>VLOOKUP(tbl_details5[[#This Row],[Order ID]],Table1[],4,FALSE)</f>
        <v>Nikita</v>
      </c>
      <c r="K665" t="str">
        <f>VLOOKUP(tbl_details5[[#This Row],[Order ID]],Table1[],5,FALSE)</f>
        <v>Punjab</v>
      </c>
      <c r="L665" t="str">
        <f>VLOOKUP(tbl_details5[[#This Row],[Order ID]],Table1[],6,FALSE)</f>
        <v>Chandigarh</v>
      </c>
    </row>
    <row r="666" spans="1:12" x14ac:dyDescent="0.25">
      <c r="A666" t="s">
        <v>471</v>
      </c>
      <c r="B666" s="4">
        <v>15</v>
      </c>
      <c r="C666" s="4">
        <v>2</v>
      </c>
      <c r="D666" s="5">
        <f>tbl_details5[[#This Row],[Profit]]/tbl_details5[[#This Row],[Revenue]]</f>
        <v>0.13333333333333333</v>
      </c>
      <c r="E666">
        <v>1</v>
      </c>
      <c r="F666" t="s">
        <v>885</v>
      </c>
      <c r="G666" t="s">
        <v>897</v>
      </c>
      <c r="H666" s="1">
        <f>VLOOKUP(tbl_details5[[#This Row],[Order ID]],Orders!A:F,2,FALSE)</f>
        <v>43397</v>
      </c>
      <c r="I666" s="1" t="str">
        <f>TEXT(tbl_details5[[#This Row],[Order Date]],"mmm-yy")</f>
        <v>Oct-18</v>
      </c>
      <c r="J666" t="str">
        <f>VLOOKUP(tbl_details5[[#This Row],[Order ID]],Table1[],4,FALSE)</f>
        <v>Nikita</v>
      </c>
      <c r="K666" t="str">
        <f>VLOOKUP(tbl_details5[[#This Row],[Order ID]],Table1[],5,FALSE)</f>
        <v>Punjab</v>
      </c>
      <c r="L666" t="str">
        <f>VLOOKUP(tbl_details5[[#This Row],[Order ID]],Table1[],6,FALSE)</f>
        <v>Chandigarh</v>
      </c>
    </row>
    <row r="667" spans="1:12" x14ac:dyDescent="0.25">
      <c r="A667" t="s">
        <v>471</v>
      </c>
      <c r="B667" s="4">
        <v>128</v>
      </c>
      <c r="C667" s="4">
        <v>-3</v>
      </c>
      <c r="D667" s="5">
        <f>tbl_details5[[#This Row],[Profit]]/tbl_details5[[#This Row],[Revenue]]</f>
        <v>-2.34375E-2</v>
      </c>
      <c r="E667">
        <v>3</v>
      </c>
      <c r="F667" t="s">
        <v>885</v>
      </c>
      <c r="G667" t="s">
        <v>891</v>
      </c>
      <c r="H667" s="1">
        <f>VLOOKUP(tbl_details5[[#This Row],[Order ID]],Orders!A:F,2,FALSE)</f>
        <v>43397</v>
      </c>
      <c r="I667" s="1" t="str">
        <f>TEXT(tbl_details5[[#This Row],[Order Date]],"mmm-yy")</f>
        <v>Oct-18</v>
      </c>
      <c r="J667" t="str">
        <f>VLOOKUP(tbl_details5[[#This Row],[Order ID]],Table1[],4,FALSE)</f>
        <v>Nikita</v>
      </c>
      <c r="K667" t="str">
        <f>VLOOKUP(tbl_details5[[#This Row],[Order ID]],Table1[],5,FALSE)</f>
        <v>Punjab</v>
      </c>
      <c r="L667" t="str">
        <f>VLOOKUP(tbl_details5[[#This Row],[Order ID]],Table1[],6,FALSE)</f>
        <v>Chandigarh</v>
      </c>
    </row>
    <row r="668" spans="1:12" x14ac:dyDescent="0.25">
      <c r="A668" t="s">
        <v>471</v>
      </c>
      <c r="B668" s="4">
        <v>222</v>
      </c>
      <c r="C668" s="4">
        <v>35</v>
      </c>
      <c r="D668" s="5">
        <f>tbl_details5[[#This Row],[Profit]]/tbl_details5[[#This Row],[Revenue]]</f>
        <v>0.15765765765765766</v>
      </c>
      <c r="E668">
        <v>5</v>
      </c>
      <c r="F668" t="s">
        <v>885</v>
      </c>
      <c r="G668" t="s">
        <v>891</v>
      </c>
      <c r="H668" s="1">
        <f>VLOOKUP(tbl_details5[[#This Row],[Order ID]],Orders!A:F,2,FALSE)</f>
        <v>43397</v>
      </c>
      <c r="I668" s="1" t="str">
        <f>TEXT(tbl_details5[[#This Row],[Order Date]],"mmm-yy")</f>
        <v>Oct-18</v>
      </c>
      <c r="J668" t="str">
        <f>VLOOKUP(tbl_details5[[#This Row],[Order ID]],Table1[],4,FALSE)</f>
        <v>Nikita</v>
      </c>
      <c r="K668" t="str">
        <f>VLOOKUP(tbl_details5[[#This Row],[Order ID]],Table1[],5,FALSE)</f>
        <v>Punjab</v>
      </c>
      <c r="L668" t="str">
        <f>VLOOKUP(tbl_details5[[#This Row],[Order ID]],Table1[],6,FALSE)</f>
        <v>Chandigarh</v>
      </c>
    </row>
    <row r="669" spans="1:12" x14ac:dyDescent="0.25">
      <c r="A669" t="s">
        <v>473</v>
      </c>
      <c r="B669" s="4">
        <v>345</v>
      </c>
      <c r="C669" s="4">
        <v>38</v>
      </c>
      <c r="D669" s="5">
        <f>tbl_details5[[#This Row],[Profit]]/tbl_details5[[#This Row],[Revenue]]</f>
        <v>0.11014492753623188</v>
      </c>
      <c r="E669">
        <v>7</v>
      </c>
      <c r="F669" t="s">
        <v>885</v>
      </c>
      <c r="G669" t="s">
        <v>887</v>
      </c>
      <c r="H669" s="1">
        <f>VLOOKUP(tbl_details5[[#This Row],[Order ID]],Orders!A:F,2,FALSE)</f>
        <v>43398</v>
      </c>
      <c r="I669" s="1" t="str">
        <f>TEXT(tbl_details5[[#This Row],[Order Date]],"mmm-yy")</f>
        <v>Oct-18</v>
      </c>
      <c r="J669" t="str">
        <f>VLOOKUP(tbl_details5[[#This Row],[Order ID]],Table1[],4,FALSE)</f>
        <v>Apoorva</v>
      </c>
      <c r="K669" t="str">
        <f>VLOOKUP(tbl_details5[[#This Row],[Order ID]],Table1[],5,FALSE)</f>
        <v>Haryana</v>
      </c>
      <c r="L669" t="str">
        <f>VLOOKUP(tbl_details5[[#This Row],[Order ID]],Table1[],6,FALSE)</f>
        <v>Chandigarh</v>
      </c>
    </row>
    <row r="670" spans="1:12" x14ac:dyDescent="0.25">
      <c r="A670" t="s">
        <v>475</v>
      </c>
      <c r="B670" s="4">
        <v>41</v>
      </c>
      <c r="C670" s="4">
        <v>11</v>
      </c>
      <c r="D670" s="5">
        <f>tbl_details5[[#This Row],[Profit]]/tbl_details5[[#This Row],[Revenue]]</f>
        <v>0.26829268292682928</v>
      </c>
      <c r="E670">
        <v>6</v>
      </c>
      <c r="F670" t="s">
        <v>885</v>
      </c>
      <c r="G670" t="s">
        <v>887</v>
      </c>
      <c r="H670" s="1">
        <f>VLOOKUP(tbl_details5[[#This Row],[Order ID]],Orders!A:F,2,FALSE)</f>
        <v>43399</v>
      </c>
      <c r="I670" s="1" t="str">
        <f>TEXT(tbl_details5[[#This Row],[Order Date]],"mmm-yy")</f>
        <v>Oct-18</v>
      </c>
      <c r="J670" t="str">
        <f>VLOOKUP(tbl_details5[[#This Row],[Order ID]],Table1[],4,FALSE)</f>
        <v>Aastha</v>
      </c>
      <c r="K670" t="str">
        <f>VLOOKUP(tbl_details5[[#This Row],[Order ID]],Table1[],5,FALSE)</f>
        <v>Himachal Pradesh</v>
      </c>
      <c r="L670" t="str">
        <f>VLOOKUP(tbl_details5[[#This Row],[Order ID]],Table1[],6,FALSE)</f>
        <v>Simla</v>
      </c>
    </row>
    <row r="671" spans="1:12" x14ac:dyDescent="0.25">
      <c r="A671" t="s">
        <v>475</v>
      </c>
      <c r="B671" s="4">
        <v>54</v>
      </c>
      <c r="C671" s="4">
        <v>1</v>
      </c>
      <c r="D671" s="5">
        <f>tbl_details5[[#This Row],[Profit]]/tbl_details5[[#This Row],[Revenue]]</f>
        <v>1.8518518518518517E-2</v>
      </c>
      <c r="E671">
        <v>2</v>
      </c>
      <c r="F671" t="s">
        <v>885</v>
      </c>
      <c r="G671" t="s">
        <v>891</v>
      </c>
      <c r="H671" s="1">
        <f>VLOOKUP(tbl_details5[[#This Row],[Order ID]],Orders!A:F,2,FALSE)</f>
        <v>43399</v>
      </c>
      <c r="I671" s="1" t="str">
        <f>TEXT(tbl_details5[[#This Row],[Order Date]],"mmm-yy")</f>
        <v>Oct-18</v>
      </c>
      <c r="J671" t="str">
        <f>VLOOKUP(tbl_details5[[#This Row],[Order ID]],Table1[],4,FALSE)</f>
        <v>Aastha</v>
      </c>
      <c r="K671" t="str">
        <f>VLOOKUP(tbl_details5[[#This Row],[Order ID]],Table1[],5,FALSE)</f>
        <v>Himachal Pradesh</v>
      </c>
      <c r="L671" t="str">
        <f>VLOOKUP(tbl_details5[[#This Row],[Order ID]],Table1[],6,FALSE)</f>
        <v>Simla</v>
      </c>
    </row>
    <row r="672" spans="1:12" x14ac:dyDescent="0.25">
      <c r="A672" t="s">
        <v>475</v>
      </c>
      <c r="B672" s="4">
        <v>71</v>
      </c>
      <c r="C672" s="4">
        <v>0</v>
      </c>
      <c r="D672" s="5">
        <f>tbl_details5[[#This Row],[Profit]]/tbl_details5[[#This Row],[Revenue]]</f>
        <v>0</v>
      </c>
      <c r="E672">
        <v>8</v>
      </c>
      <c r="F672" t="s">
        <v>885</v>
      </c>
      <c r="G672" t="s">
        <v>902</v>
      </c>
      <c r="H672" s="1">
        <f>VLOOKUP(tbl_details5[[#This Row],[Order ID]],Orders!A:F,2,FALSE)</f>
        <v>43399</v>
      </c>
      <c r="I672" s="1" t="str">
        <f>TEXT(tbl_details5[[#This Row],[Order Date]],"mmm-yy")</f>
        <v>Oct-18</v>
      </c>
      <c r="J672" t="str">
        <f>VLOOKUP(tbl_details5[[#This Row],[Order ID]],Table1[],4,FALSE)</f>
        <v>Aastha</v>
      </c>
      <c r="K672" t="str">
        <f>VLOOKUP(tbl_details5[[#This Row],[Order ID]],Table1[],5,FALSE)</f>
        <v>Himachal Pradesh</v>
      </c>
      <c r="L672" t="str">
        <f>VLOOKUP(tbl_details5[[#This Row],[Order ID]],Table1[],6,FALSE)</f>
        <v>Simla</v>
      </c>
    </row>
    <row r="673" spans="1:12" x14ac:dyDescent="0.25">
      <c r="A673" t="s">
        <v>475</v>
      </c>
      <c r="B673" s="4">
        <v>93</v>
      </c>
      <c r="C673" s="4">
        <v>15</v>
      </c>
      <c r="D673" s="5">
        <f>tbl_details5[[#This Row],[Profit]]/tbl_details5[[#This Row],[Revenue]]</f>
        <v>0.16129032258064516</v>
      </c>
      <c r="E673">
        <v>2</v>
      </c>
      <c r="F673" t="s">
        <v>888</v>
      </c>
      <c r="G673" t="s">
        <v>900</v>
      </c>
      <c r="H673" s="1">
        <f>VLOOKUP(tbl_details5[[#This Row],[Order ID]],Orders!A:F,2,FALSE)</f>
        <v>43399</v>
      </c>
      <c r="I673" s="1" t="str">
        <f>TEXT(tbl_details5[[#This Row],[Order Date]],"mmm-yy")</f>
        <v>Oct-18</v>
      </c>
      <c r="J673" t="str">
        <f>VLOOKUP(tbl_details5[[#This Row],[Order ID]],Table1[],4,FALSE)</f>
        <v>Aastha</v>
      </c>
      <c r="K673" t="str">
        <f>VLOOKUP(tbl_details5[[#This Row],[Order ID]],Table1[],5,FALSE)</f>
        <v>Himachal Pradesh</v>
      </c>
      <c r="L673" t="str">
        <f>VLOOKUP(tbl_details5[[#This Row],[Order ID]],Table1[],6,FALSE)</f>
        <v>Simla</v>
      </c>
    </row>
    <row r="674" spans="1:12" x14ac:dyDescent="0.25">
      <c r="A674" t="s">
        <v>475</v>
      </c>
      <c r="B674" s="4">
        <v>1063</v>
      </c>
      <c r="C674" s="4">
        <v>64</v>
      </c>
      <c r="D674" s="5">
        <f>tbl_details5[[#This Row],[Profit]]/tbl_details5[[#This Row],[Revenue]]</f>
        <v>6.0206961429915336E-2</v>
      </c>
      <c r="E674">
        <v>7</v>
      </c>
      <c r="F674" t="s">
        <v>888</v>
      </c>
      <c r="G674" t="s">
        <v>890</v>
      </c>
      <c r="H674" s="1">
        <f>VLOOKUP(tbl_details5[[#This Row],[Order ID]],Orders!A:F,2,FALSE)</f>
        <v>43399</v>
      </c>
      <c r="I674" s="1" t="str">
        <f>TEXT(tbl_details5[[#This Row],[Order Date]],"mmm-yy")</f>
        <v>Oct-18</v>
      </c>
      <c r="J674" t="str">
        <f>VLOOKUP(tbl_details5[[#This Row],[Order ID]],Table1[],4,FALSE)</f>
        <v>Aastha</v>
      </c>
      <c r="K674" t="str">
        <f>VLOOKUP(tbl_details5[[#This Row],[Order ID]],Table1[],5,FALSE)</f>
        <v>Himachal Pradesh</v>
      </c>
      <c r="L674" t="str">
        <f>VLOOKUP(tbl_details5[[#This Row],[Order ID]],Table1[],6,FALSE)</f>
        <v>Simla</v>
      </c>
    </row>
    <row r="675" spans="1:12" x14ac:dyDescent="0.25">
      <c r="A675" t="s">
        <v>475</v>
      </c>
      <c r="B675" s="4">
        <v>1954</v>
      </c>
      <c r="C675" s="4">
        <v>782</v>
      </c>
      <c r="D675" s="5">
        <f>tbl_details5[[#This Row],[Profit]]/tbl_details5[[#This Row],[Revenue]]</f>
        <v>0.40020470829068577</v>
      </c>
      <c r="E675">
        <v>3</v>
      </c>
      <c r="F675" t="s">
        <v>888</v>
      </c>
      <c r="G675" t="s">
        <v>890</v>
      </c>
      <c r="H675" s="1">
        <f>VLOOKUP(tbl_details5[[#This Row],[Order ID]],Orders!A:F,2,FALSE)</f>
        <v>43399</v>
      </c>
      <c r="I675" s="1" t="str">
        <f>TEXT(tbl_details5[[#This Row],[Order Date]],"mmm-yy")</f>
        <v>Oct-18</v>
      </c>
      <c r="J675" t="str">
        <f>VLOOKUP(tbl_details5[[#This Row],[Order ID]],Table1[],4,FALSE)</f>
        <v>Aastha</v>
      </c>
      <c r="K675" t="str">
        <f>VLOOKUP(tbl_details5[[#This Row],[Order ID]],Table1[],5,FALSE)</f>
        <v>Himachal Pradesh</v>
      </c>
      <c r="L675" t="str">
        <f>VLOOKUP(tbl_details5[[#This Row],[Order ID]],Table1[],6,FALSE)</f>
        <v>Simla</v>
      </c>
    </row>
    <row r="676" spans="1:12" x14ac:dyDescent="0.25">
      <c r="A676" t="s">
        <v>477</v>
      </c>
      <c r="B676" s="4">
        <v>693</v>
      </c>
      <c r="C676" s="4">
        <v>254</v>
      </c>
      <c r="D676" s="5">
        <f>tbl_details5[[#This Row],[Profit]]/tbl_details5[[#This Row],[Revenue]]</f>
        <v>0.36652236652236653</v>
      </c>
      <c r="E676">
        <v>6</v>
      </c>
      <c r="F676" t="s">
        <v>885</v>
      </c>
      <c r="G676" t="s">
        <v>891</v>
      </c>
      <c r="H676" s="1">
        <f>VLOOKUP(tbl_details5[[#This Row],[Order ID]],Orders!A:F,2,FALSE)</f>
        <v>43400</v>
      </c>
      <c r="I676" s="1" t="str">
        <f>TEXT(tbl_details5[[#This Row],[Order Date]],"mmm-yy")</f>
        <v>Oct-18</v>
      </c>
      <c r="J676" t="str">
        <f>VLOOKUP(tbl_details5[[#This Row],[Order ID]],Table1[],4,FALSE)</f>
        <v>Mahima</v>
      </c>
      <c r="K676" t="str">
        <f>VLOOKUP(tbl_details5[[#This Row],[Order ID]],Table1[],5,FALSE)</f>
        <v>Sikkim</v>
      </c>
      <c r="L676" t="str">
        <f>VLOOKUP(tbl_details5[[#This Row],[Order ID]],Table1[],6,FALSE)</f>
        <v>Gangtok</v>
      </c>
    </row>
    <row r="677" spans="1:12" x14ac:dyDescent="0.25">
      <c r="A677" t="s">
        <v>478</v>
      </c>
      <c r="B677" s="4">
        <v>504</v>
      </c>
      <c r="C677" s="4">
        <v>116</v>
      </c>
      <c r="D677" s="5">
        <f>tbl_details5[[#This Row],[Profit]]/tbl_details5[[#This Row],[Revenue]]</f>
        <v>0.23015873015873015</v>
      </c>
      <c r="E677">
        <v>3</v>
      </c>
      <c r="F677" t="s">
        <v>883</v>
      </c>
      <c r="G677" t="s">
        <v>884</v>
      </c>
      <c r="H677" s="1">
        <f>VLOOKUP(tbl_details5[[#This Row],[Order ID]],Orders!A:F,2,FALSE)</f>
        <v>43401</v>
      </c>
      <c r="I677" s="1" t="str">
        <f>TEXT(tbl_details5[[#This Row],[Order Date]],"mmm-yy")</f>
        <v>Oct-18</v>
      </c>
      <c r="J677" t="str">
        <f>VLOOKUP(tbl_details5[[#This Row],[Order ID]],Table1[],4,FALSE)</f>
        <v>Harshita</v>
      </c>
      <c r="K677" t="str">
        <f>VLOOKUP(tbl_details5[[#This Row],[Order ID]],Table1[],5,FALSE)</f>
        <v>Maharashtra</v>
      </c>
      <c r="L677" t="str">
        <f>VLOOKUP(tbl_details5[[#This Row],[Order ID]],Table1[],6,FALSE)</f>
        <v>Mumbai</v>
      </c>
    </row>
    <row r="678" spans="1:12" x14ac:dyDescent="0.25">
      <c r="A678" t="s">
        <v>480</v>
      </c>
      <c r="B678" s="4">
        <v>64</v>
      </c>
      <c r="C678" s="4">
        <v>27</v>
      </c>
      <c r="D678" s="5">
        <f>tbl_details5[[#This Row],[Profit]]/tbl_details5[[#This Row],[Revenue]]</f>
        <v>0.421875</v>
      </c>
      <c r="E678">
        <v>5</v>
      </c>
      <c r="F678" t="s">
        <v>885</v>
      </c>
      <c r="G678" t="s">
        <v>887</v>
      </c>
      <c r="H678" s="1">
        <f>VLOOKUP(tbl_details5[[#This Row],[Order ID]],Orders!A:F,2,FALSE)</f>
        <v>43402</v>
      </c>
      <c r="I678" s="1" t="str">
        <f>TEXT(tbl_details5[[#This Row],[Order Date]],"mmm-yy")</f>
        <v>Oct-18</v>
      </c>
      <c r="J678" t="str">
        <f>VLOOKUP(tbl_details5[[#This Row],[Order ID]],Table1[],4,FALSE)</f>
        <v>Krishna</v>
      </c>
      <c r="K678" t="str">
        <f>VLOOKUP(tbl_details5[[#This Row],[Order ID]],Table1[],5,FALSE)</f>
        <v>Madhya Pradesh</v>
      </c>
      <c r="L678" t="str">
        <f>VLOOKUP(tbl_details5[[#This Row],[Order ID]],Table1[],6,FALSE)</f>
        <v>Indore</v>
      </c>
    </row>
    <row r="679" spans="1:12" x14ac:dyDescent="0.25">
      <c r="A679" t="s">
        <v>480</v>
      </c>
      <c r="B679" s="4">
        <v>36</v>
      </c>
      <c r="C679" s="4">
        <v>4</v>
      </c>
      <c r="D679" s="5">
        <f>tbl_details5[[#This Row],[Profit]]/tbl_details5[[#This Row],[Revenue]]</f>
        <v>0.1111111111111111</v>
      </c>
      <c r="E679">
        <v>9</v>
      </c>
      <c r="F679" t="s">
        <v>885</v>
      </c>
      <c r="G679" t="s">
        <v>887</v>
      </c>
      <c r="H679" s="1">
        <f>VLOOKUP(tbl_details5[[#This Row],[Order ID]],Orders!A:F,2,FALSE)</f>
        <v>43402</v>
      </c>
      <c r="I679" s="1" t="str">
        <f>TEXT(tbl_details5[[#This Row],[Order Date]],"mmm-yy")</f>
        <v>Oct-18</v>
      </c>
      <c r="J679" t="str">
        <f>VLOOKUP(tbl_details5[[#This Row],[Order ID]],Table1[],4,FALSE)</f>
        <v>Krishna</v>
      </c>
      <c r="K679" t="str">
        <f>VLOOKUP(tbl_details5[[#This Row],[Order ID]],Table1[],5,FALSE)</f>
        <v>Madhya Pradesh</v>
      </c>
      <c r="L679" t="str">
        <f>VLOOKUP(tbl_details5[[#This Row],[Order ID]],Table1[],6,FALSE)</f>
        <v>Indore</v>
      </c>
    </row>
    <row r="680" spans="1:12" x14ac:dyDescent="0.25">
      <c r="A680" t="s">
        <v>480</v>
      </c>
      <c r="B680" s="4">
        <v>45</v>
      </c>
      <c r="C680" s="4">
        <v>16</v>
      </c>
      <c r="D680" s="5">
        <f>tbl_details5[[#This Row],[Profit]]/tbl_details5[[#This Row],[Revenue]]</f>
        <v>0.35555555555555557</v>
      </c>
      <c r="E680">
        <v>3</v>
      </c>
      <c r="F680" t="s">
        <v>885</v>
      </c>
      <c r="G680" t="s">
        <v>886</v>
      </c>
      <c r="H680" s="1">
        <f>VLOOKUP(tbl_details5[[#This Row],[Order ID]],Orders!A:F,2,FALSE)</f>
        <v>43402</v>
      </c>
      <c r="I680" s="1" t="str">
        <f>TEXT(tbl_details5[[#This Row],[Order Date]],"mmm-yy")</f>
        <v>Oct-18</v>
      </c>
      <c r="J680" t="str">
        <f>VLOOKUP(tbl_details5[[#This Row],[Order ID]],Table1[],4,FALSE)</f>
        <v>Krishna</v>
      </c>
      <c r="K680" t="str">
        <f>VLOOKUP(tbl_details5[[#This Row],[Order ID]],Table1[],5,FALSE)</f>
        <v>Madhya Pradesh</v>
      </c>
      <c r="L680" t="str">
        <f>VLOOKUP(tbl_details5[[#This Row],[Order ID]],Table1[],6,FALSE)</f>
        <v>Indore</v>
      </c>
    </row>
    <row r="681" spans="1:12" x14ac:dyDescent="0.25">
      <c r="A681" t="s">
        <v>482</v>
      </c>
      <c r="B681" s="4">
        <v>16</v>
      </c>
      <c r="C681" s="4">
        <v>5</v>
      </c>
      <c r="D681" s="5">
        <f>tbl_details5[[#This Row],[Profit]]/tbl_details5[[#This Row],[Revenue]]</f>
        <v>0.3125</v>
      </c>
      <c r="E681">
        <v>1</v>
      </c>
      <c r="F681" t="s">
        <v>885</v>
      </c>
      <c r="G681" t="s">
        <v>886</v>
      </c>
      <c r="H681" s="1">
        <f>VLOOKUP(tbl_details5[[#This Row],[Order ID]],Orders!A:F,2,FALSE)</f>
        <v>43402</v>
      </c>
      <c r="I681" s="1" t="str">
        <f>TEXT(tbl_details5[[#This Row],[Order Date]],"mmm-yy")</f>
        <v>Oct-18</v>
      </c>
      <c r="J681" t="str">
        <f>VLOOKUP(tbl_details5[[#This Row],[Order ID]],Table1[],4,FALSE)</f>
        <v>Ananya</v>
      </c>
      <c r="K681" t="str">
        <f>VLOOKUP(tbl_details5[[#This Row],[Order ID]],Table1[],5,FALSE)</f>
        <v>Andhra Pradesh</v>
      </c>
      <c r="L681" t="str">
        <f>VLOOKUP(tbl_details5[[#This Row],[Order ID]],Table1[],6,FALSE)</f>
        <v>Hyderabad</v>
      </c>
    </row>
    <row r="682" spans="1:12" x14ac:dyDescent="0.25">
      <c r="A682" t="s">
        <v>484</v>
      </c>
      <c r="B682" s="4">
        <v>52</v>
      </c>
      <c r="C682" s="4">
        <v>11</v>
      </c>
      <c r="D682" s="5">
        <f>tbl_details5[[#This Row],[Profit]]/tbl_details5[[#This Row],[Revenue]]</f>
        <v>0.21153846153846154</v>
      </c>
      <c r="E682">
        <v>5</v>
      </c>
      <c r="F682" t="s">
        <v>885</v>
      </c>
      <c r="G682" t="s">
        <v>897</v>
      </c>
      <c r="H682" s="1">
        <f>VLOOKUP(tbl_details5[[#This Row],[Order ID]],Orders!A:F,2,FALSE)</f>
        <v>43402</v>
      </c>
      <c r="I682" s="1" t="str">
        <f>TEXT(tbl_details5[[#This Row],[Order Date]],"mmm-yy")</f>
        <v>Oct-18</v>
      </c>
      <c r="J682" t="str">
        <f>VLOOKUP(tbl_details5[[#This Row],[Order ID]],Table1[],4,FALSE)</f>
        <v>Moumita</v>
      </c>
      <c r="K682" t="str">
        <f>VLOOKUP(tbl_details5[[#This Row],[Order ID]],Table1[],5,FALSE)</f>
        <v>Gujarat</v>
      </c>
      <c r="L682" t="str">
        <f>VLOOKUP(tbl_details5[[#This Row],[Order ID]],Table1[],6,FALSE)</f>
        <v>Ahmedabad</v>
      </c>
    </row>
    <row r="683" spans="1:12" x14ac:dyDescent="0.25">
      <c r="A683" t="s">
        <v>484</v>
      </c>
      <c r="B683" s="4">
        <v>27</v>
      </c>
      <c r="C683" s="4">
        <v>2</v>
      </c>
      <c r="D683" s="5">
        <f>tbl_details5[[#This Row],[Profit]]/tbl_details5[[#This Row],[Revenue]]</f>
        <v>7.407407407407407E-2</v>
      </c>
      <c r="E683">
        <v>2</v>
      </c>
      <c r="F683" t="s">
        <v>885</v>
      </c>
      <c r="G683" t="s">
        <v>897</v>
      </c>
      <c r="H683" s="1">
        <f>VLOOKUP(tbl_details5[[#This Row],[Order ID]],Orders!A:F,2,FALSE)</f>
        <v>43402</v>
      </c>
      <c r="I683" s="1" t="str">
        <f>TEXT(tbl_details5[[#This Row],[Order Date]],"mmm-yy")</f>
        <v>Oct-18</v>
      </c>
      <c r="J683" t="str">
        <f>VLOOKUP(tbl_details5[[#This Row],[Order ID]],Table1[],4,FALSE)</f>
        <v>Moumita</v>
      </c>
      <c r="K683" t="str">
        <f>VLOOKUP(tbl_details5[[#This Row],[Order ID]],Table1[],5,FALSE)</f>
        <v>Gujarat</v>
      </c>
      <c r="L683" t="str">
        <f>VLOOKUP(tbl_details5[[#This Row],[Order ID]],Table1[],6,FALSE)</f>
        <v>Ahmedabad</v>
      </c>
    </row>
    <row r="684" spans="1:12" x14ac:dyDescent="0.25">
      <c r="A684" t="s">
        <v>484</v>
      </c>
      <c r="B684" s="4">
        <v>155</v>
      </c>
      <c r="C684" s="4">
        <v>26</v>
      </c>
      <c r="D684" s="5">
        <f>tbl_details5[[#This Row],[Profit]]/tbl_details5[[#This Row],[Revenue]]</f>
        <v>0.16774193548387098</v>
      </c>
      <c r="E684">
        <v>3</v>
      </c>
      <c r="F684" t="s">
        <v>885</v>
      </c>
      <c r="G684" t="s">
        <v>886</v>
      </c>
      <c r="H684" s="1">
        <f>VLOOKUP(tbl_details5[[#This Row],[Order ID]],Orders!A:F,2,FALSE)</f>
        <v>43402</v>
      </c>
      <c r="I684" s="1" t="str">
        <f>TEXT(tbl_details5[[#This Row],[Order Date]],"mmm-yy")</f>
        <v>Oct-18</v>
      </c>
      <c r="J684" t="str">
        <f>VLOOKUP(tbl_details5[[#This Row],[Order ID]],Table1[],4,FALSE)</f>
        <v>Moumita</v>
      </c>
      <c r="K684" t="str">
        <f>VLOOKUP(tbl_details5[[#This Row],[Order ID]],Table1[],5,FALSE)</f>
        <v>Gujarat</v>
      </c>
      <c r="L684" t="str">
        <f>VLOOKUP(tbl_details5[[#This Row],[Order ID]],Table1[],6,FALSE)</f>
        <v>Ahmedabad</v>
      </c>
    </row>
    <row r="685" spans="1:12" x14ac:dyDescent="0.25">
      <c r="A685" t="s">
        <v>486</v>
      </c>
      <c r="B685" s="4">
        <v>1298</v>
      </c>
      <c r="C685" s="4">
        <v>65</v>
      </c>
      <c r="D685" s="5">
        <f>tbl_details5[[#This Row],[Profit]]/tbl_details5[[#This Row],[Revenue]]</f>
        <v>5.007704160246533E-2</v>
      </c>
      <c r="E685">
        <v>9</v>
      </c>
      <c r="F685" t="s">
        <v>888</v>
      </c>
      <c r="G685" t="s">
        <v>899</v>
      </c>
      <c r="H685" s="1">
        <f>VLOOKUP(tbl_details5[[#This Row],[Order ID]],Orders!A:F,2,FALSE)</f>
        <v>43402</v>
      </c>
      <c r="I685" s="1" t="str">
        <f>TEXT(tbl_details5[[#This Row],[Order Date]],"mmm-yy")</f>
        <v>Oct-18</v>
      </c>
      <c r="J685" t="str">
        <f>VLOOKUP(tbl_details5[[#This Row],[Order ID]],Table1[],4,FALSE)</f>
        <v>Arti</v>
      </c>
      <c r="K685" t="str">
        <f>VLOOKUP(tbl_details5[[#This Row],[Order ID]],Table1[],5,FALSE)</f>
        <v>Maharashtra</v>
      </c>
      <c r="L685" t="str">
        <f>VLOOKUP(tbl_details5[[#This Row],[Order ID]],Table1[],6,FALSE)</f>
        <v>Pune</v>
      </c>
    </row>
    <row r="686" spans="1:12" x14ac:dyDescent="0.25">
      <c r="A686" t="s">
        <v>488</v>
      </c>
      <c r="B686" s="4">
        <v>263</v>
      </c>
      <c r="C686" s="4">
        <v>50</v>
      </c>
      <c r="D686" s="5">
        <f>tbl_details5[[#This Row],[Profit]]/tbl_details5[[#This Row],[Revenue]]</f>
        <v>0.19011406844106463</v>
      </c>
      <c r="E686">
        <v>5</v>
      </c>
      <c r="F686" t="s">
        <v>885</v>
      </c>
      <c r="G686" t="s">
        <v>886</v>
      </c>
      <c r="H686" s="1">
        <f>VLOOKUP(tbl_details5[[#This Row],[Order ID]],Orders!A:F,2,FALSE)</f>
        <v>43402</v>
      </c>
      <c r="I686" s="1" t="str">
        <f>TEXT(tbl_details5[[#This Row],[Order Date]],"mmm-yy")</f>
        <v>Oct-18</v>
      </c>
      <c r="J686" t="str">
        <f>VLOOKUP(tbl_details5[[#This Row],[Order ID]],Table1[],4,FALSE)</f>
        <v>Palak</v>
      </c>
      <c r="K686" t="str">
        <f>VLOOKUP(tbl_details5[[#This Row],[Order ID]],Table1[],5,FALSE)</f>
        <v>Maharashtra</v>
      </c>
      <c r="L686" t="str">
        <f>VLOOKUP(tbl_details5[[#This Row],[Order ID]],Table1[],6,FALSE)</f>
        <v>Mumbai</v>
      </c>
    </row>
    <row r="687" spans="1:12" x14ac:dyDescent="0.25">
      <c r="A687" t="s">
        <v>490</v>
      </c>
      <c r="B687" s="4">
        <v>70</v>
      </c>
      <c r="C687" s="4">
        <v>26</v>
      </c>
      <c r="D687" s="5">
        <f>tbl_details5[[#This Row],[Profit]]/tbl_details5[[#This Row],[Revenue]]</f>
        <v>0.37142857142857144</v>
      </c>
      <c r="E687">
        <v>5</v>
      </c>
      <c r="F687" t="s">
        <v>885</v>
      </c>
      <c r="G687" t="s">
        <v>887</v>
      </c>
      <c r="H687" s="1">
        <f>VLOOKUP(tbl_details5[[#This Row],[Order ID]],Orders!A:F,2,FALSE)</f>
        <v>43402</v>
      </c>
      <c r="I687" s="1" t="str">
        <f>TEXT(tbl_details5[[#This Row],[Order Date]],"mmm-yy")</f>
        <v>Oct-18</v>
      </c>
      <c r="J687" t="str">
        <f>VLOOKUP(tbl_details5[[#This Row],[Order ID]],Table1[],4,FALSE)</f>
        <v>Sanjana</v>
      </c>
      <c r="K687" t="str">
        <f>VLOOKUP(tbl_details5[[#This Row],[Order ID]],Table1[],5,FALSE)</f>
        <v>Madhya Pradesh</v>
      </c>
      <c r="L687" t="str">
        <f>VLOOKUP(tbl_details5[[#This Row],[Order ID]],Table1[],6,FALSE)</f>
        <v>Indore</v>
      </c>
    </row>
    <row r="688" spans="1:12" x14ac:dyDescent="0.25">
      <c r="A688" t="s">
        <v>490</v>
      </c>
      <c r="B688" s="4">
        <v>81</v>
      </c>
      <c r="C688" s="4">
        <v>19</v>
      </c>
      <c r="D688" s="5">
        <f>tbl_details5[[#This Row],[Profit]]/tbl_details5[[#This Row],[Revenue]]</f>
        <v>0.23456790123456789</v>
      </c>
      <c r="E688">
        <v>7</v>
      </c>
      <c r="F688" t="s">
        <v>885</v>
      </c>
      <c r="G688" t="s">
        <v>887</v>
      </c>
      <c r="H688" s="1">
        <f>VLOOKUP(tbl_details5[[#This Row],[Order ID]],Orders!A:F,2,FALSE)</f>
        <v>43402</v>
      </c>
      <c r="I688" s="1" t="str">
        <f>TEXT(tbl_details5[[#This Row],[Order Date]],"mmm-yy")</f>
        <v>Oct-18</v>
      </c>
      <c r="J688" t="str">
        <f>VLOOKUP(tbl_details5[[#This Row],[Order ID]],Table1[],4,FALSE)</f>
        <v>Sanjana</v>
      </c>
      <c r="K688" t="str">
        <f>VLOOKUP(tbl_details5[[#This Row],[Order ID]],Table1[],5,FALSE)</f>
        <v>Madhya Pradesh</v>
      </c>
      <c r="L688" t="str">
        <f>VLOOKUP(tbl_details5[[#This Row],[Order ID]],Table1[],6,FALSE)</f>
        <v>Indore</v>
      </c>
    </row>
    <row r="689" spans="1:12" x14ac:dyDescent="0.25">
      <c r="A689" t="s">
        <v>490</v>
      </c>
      <c r="B689" s="4">
        <v>955</v>
      </c>
      <c r="C689" s="4">
        <v>305</v>
      </c>
      <c r="D689" s="5">
        <f>tbl_details5[[#This Row],[Profit]]/tbl_details5[[#This Row],[Revenue]]</f>
        <v>0.3193717277486911</v>
      </c>
      <c r="E689">
        <v>3</v>
      </c>
      <c r="F689" t="s">
        <v>888</v>
      </c>
      <c r="G689" t="s">
        <v>899</v>
      </c>
      <c r="H689" s="1">
        <f>VLOOKUP(tbl_details5[[#This Row],[Order ID]],Orders!A:F,2,FALSE)</f>
        <v>43402</v>
      </c>
      <c r="I689" s="1" t="str">
        <f>TEXT(tbl_details5[[#This Row],[Order Date]],"mmm-yy")</f>
        <v>Oct-18</v>
      </c>
      <c r="J689" t="str">
        <f>VLOOKUP(tbl_details5[[#This Row],[Order ID]],Table1[],4,FALSE)</f>
        <v>Sanjana</v>
      </c>
      <c r="K689" t="str">
        <f>VLOOKUP(tbl_details5[[#This Row],[Order ID]],Table1[],5,FALSE)</f>
        <v>Madhya Pradesh</v>
      </c>
      <c r="L689" t="str">
        <f>VLOOKUP(tbl_details5[[#This Row],[Order ID]],Table1[],6,FALSE)</f>
        <v>Indore</v>
      </c>
    </row>
    <row r="690" spans="1:12" x14ac:dyDescent="0.25">
      <c r="A690" t="s">
        <v>490</v>
      </c>
      <c r="B690" s="4">
        <v>161</v>
      </c>
      <c r="C690" s="4">
        <v>40</v>
      </c>
      <c r="D690" s="5">
        <f>tbl_details5[[#This Row],[Profit]]/tbl_details5[[#This Row],[Revenue]]</f>
        <v>0.2484472049689441</v>
      </c>
      <c r="E690">
        <v>3</v>
      </c>
      <c r="F690" t="s">
        <v>885</v>
      </c>
      <c r="G690" t="s">
        <v>886</v>
      </c>
      <c r="H690" s="1">
        <f>VLOOKUP(tbl_details5[[#This Row],[Order ID]],Orders!A:F,2,FALSE)</f>
        <v>43402</v>
      </c>
      <c r="I690" s="1" t="str">
        <f>TEXT(tbl_details5[[#This Row],[Order Date]],"mmm-yy")</f>
        <v>Oct-18</v>
      </c>
      <c r="J690" t="str">
        <f>VLOOKUP(tbl_details5[[#This Row],[Order ID]],Table1[],4,FALSE)</f>
        <v>Sanjana</v>
      </c>
      <c r="K690" t="str">
        <f>VLOOKUP(tbl_details5[[#This Row],[Order ID]],Table1[],5,FALSE)</f>
        <v>Madhya Pradesh</v>
      </c>
      <c r="L690" t="str">
        <f>VLOOKUP(tbl_details5[[#This Row],[Order ID]],Table1[],6,FALSE)</f>
        <v>Indore</v>
      </c>
    </row>
    <row r="691" spans="1:12" x14ac:dyDescent="0.25">
      <c r="A691" t="s">
        <v>491</v>
      </c>
      <c r="B691" s="4">
        <v>1250</v>
      </c>
      <c r="C691" s="4">
        <v>486</v>
      </c>
      <c r="D691" s="5">
        <f>tbl_details5[[#This Row],[Profit]]/tbl_details5[[#This Row],[Revenue]]</f>
        <v>0.38879999999999998</v>
      </c>
      <c r="E691">
        <v>7</v>
      </c>
      <c r="F691" t="s">
        <v>885</v>
      </c>
      <c r="G691" t="s">
        <v>891</v>
      </c>
      <c r="H691" s="1">
        <f>VLOOKUP(tbl_details5[[#This Row],[Order ID]],Orders!A:F,2,FALSE)</f>
        <v>43403</v>
      </c>
      <c r="I691" s="1" t="str">
        <f>TEXT(tbl_details5[[#This Row],[Order Date]],"mmm-yy")</f>
        <v>Oct-18</v>
      </c>
      <c r="J691" t="str">
        <f>VLOOKUP(tbl_details5[[#This Row],[Order ID]],Table1[],4,FALSE)</f>
        <v>Pranjali</v>
      </c>
      <c r="K691" t="str">
        <f>VLOOKUP(tbl_details5[[#This Row],[Order ID]],Table1[],5,FALSE)</f>
        <v>West Bengal</v>
      </c>
      <c r="L691" t="str">
        <f>VLOOKUP(tbl_details5[[#This Row],[Order ID]],Table1[],6,FALSE)</f>
        <v>Kolkata</v>
      </c>
    </row>
    <row r="692" spans="1:12" x14ac:dyDescent="0.25">
      <c r="A692" t="s">
        <v>493</v>
      </c>
      <c r="B692" s="4">
        <v>246</v>
      </c>
      <c r="C692" s="4">
        <v>61</v>
      </c>
      <c r="D692" s="5">
        <f>tbl_details5[[#This Row],[Profit]]/tbl_details5[[#This Row],[Revenue]]</f>
        <v>0.24796747967479674</v>
      </c>
      <c r="E692">
        <v>2</v>
      </c>
      <c r="F692" t="s">
        <v>883</v>
      </c>
      <c r="G692" t="s">
        <v>884</v>
      </c>
      <c r="H692" s="1">
        <f>VLOOKUP(tbl_details5[[#This Row],[Order ID]],Orders!A:F,2,FALSE)</f>
        <v>43404</v>
      </c>
      <c r="I692" s="1" t="str">
        <f>TEXT(tbl_details5[[#This Row],[Order Date]],"mmm-yy")</f>
        <v>Oct-18</v>
      </c>
      <c r="J692" t="str">
        <f>VLOOKUP(tbl_details5[[#This Row],[Order ID]],Table1[],4,FALSE)</f>
        <v>Sneha</v>
      </c>
      <c r="K692" t="str">
        <f>VLOOKUP(tbl_details5[[#This Row],[Order ID]],Table1[],5,FALSE)</f>
        <v>Karnataka</v>
      </c>
      <c r="L692" t="str">
        <f>VLOOKUP(tbl_details5[[#This Row],[Order ID]],Table1[],6,FALSE)</f>
        <v>Bangalore</v>
      </c>
    </row>
    <row r="693" spans="1:12" x14ac:dyDescent="0.25">
      <c r="A693" t="s">
        <v>493</v>
      </c>
      <c r="B693" s="4">
        <v>298</v>
      </c>
      <c r="C693" s="4">
        <v>74</v>
      </c>
      <c r="D693" s="5">
        <f>tbl_details5[[#This Row],[Profit]]/tbl_details5[[#This Row],[Revenue]]</f>
        <v>0.24832214765100671</v>
      </c>
      <c r="E693">
        <v>2</v>
      </c>
      <c r="F693" t="s">
        <v>883</v>
      </c>
      <c r="G693" t="s">
        <v>884</v>
      </c>
      <c r="H693" s="1">
        <f>VLOOKUP(tbl_details5[[#This Row],[Order ID]],Orders!A:F,2,FALSE)</f>
        <v>43404</v>
      </c>
      <c r="I693" s="1" t="str">
        <f>TEXT(tbl_details5[[#This Row],[Order Date]],"mmm-yy")</f>
        <v>Oct-18</v>
      </c>
      <c r="J693" t="str">
        <f>VLOOKUP(tbl_details5[[#This Row],[Order ID]],Table1[],4,FALSE)</f>
        <v>Sneha</v>
      </c>
      <c r="K693" t="str">
        <f>VLOOKUP(tbl_details5[[#This Row],[Order ID]],Table1[],5,FALSE)</f>
        <v>Karnataka</v>
      </c>
      <c r="L693" t="str">
        <f>VLOOKUP(tbl_details5[[#This Row],[Order ID]],Table1[],6,FALSE)</f>
        <v>Bangalore</v>
      </c>
    </row>
    <row r="694" spans="1:12" x14ac:dyDescent="0.25">
      <c r="A694" t="s">
        <v>493</v>
      </c>
      <c r="B694" s="4">
        <v>262</v>
      </c>
      <c r="C694" s="4">
        <v>64</v>
      </c>
      <c r="D694" s="5">
        <f>tbl_details5[[#This Row],[Profit]]/tbl_details5[[#This Row],[Revenue]]</f>
        <v>0.24427480916030533</v>
      </c>
      <c r="E694">
        <v>6</v>
      </c>
      <c r="F694" t="s">
        <v>885</v>
      </c>
      <c r="G694" t="s">
        <v>891</v>
      </c>
      <c r="H694" s="1">
        <f>VLOOKUP(tbl_details5[[#This Row],[Order ID]],Orders!A:F,2,FALSE)</f>
        <v>43404</v>
      </c>
      <c r="I694" s="1" t="str">
        <f>TEXT(tbl_details5[[#This Row],[Order Date]],"mmm-yy")</f>
        <v>Oct-18</v>
      </c>
      <c r="J694" t="str">
        <f>VLOOKUP(tbl_details5[[#This Row],[Order ID]],Table1[],4,FALSE)</f>
        <v>Sneha</v>
      </c>
      <c r="K694" t="str">
        <f>VLOOKUP(tbl_details5[[#This Row],[Order ID]],Table1[],5,FALSE)</f>
        <v>Karnataka</v>
      </c>
      <c r="L694" t="str">
        <f>VLOOKUP(tbl_details5[[#This Row],[Order ID]],Table1[],6,FALSE)</f>
        <v>Bangalore</v>
      </c>
    </row>
    <row r="695" spans="1:12" x14ac:dyDescent="0.25">
      <c r="A695" t="s">
        <v>495</v>
      </c>
      <c r="B695" s="4">
        <v>22</v>
      </c>
      <c r="C695" s="4">
        <v>11</v>
      </c>
      <c r="D695" s="5">
        <f>tbl_details5[[#This Row],[Profit]]/tbl_details5[[#This Row],[Revenue]]</f>
        <v>0.5</v>
      </c>
      <c r="E695">
        <v>2</v>
      </c>
      <c r="F695" t="s">
        <v>885</v>
      </c>
      <c r="G695" t="s">
        <v>902</v>
      </c>
      <c r="H695" s="1">
        <f>VLOOKUP(tbl_details5[[#This Row],[Order ID]],Orders!A:F,2,FALSE)</f>
        <v>43405</v>
      </c>
      <c r="I695" s="1" t="str">
        <f>TEXT(tbl_details5[[#This Row],[Order Date]],"mmm-yy")</f>
        <v>Nov-18</v>
      </c>
      <c r="J695" t="str">
        <f>VLOOKUP(tbl_details5[[#This Row],[Order ID]],Table1[],4,FALSE)</f>
        <v>Ashvini</v>
      </c>
      <c r="K695" t="str">
        <f>VLOOKUP(tbl_details5[[#This Row],[Order ID]],Table1[],5,FALSE)</f>
        <v>Maharashtra</v>
      </c>
      <c r="L695" t="str">
        <f>VLOOKUP(tbl_details5[[#This Row],[Order ID]],Table1[],6,FALSE)</f>
        <v>Mumbai</v>
      </c>
    </row>
    <row r="696" spans="1:12" x14ac:dyDescent="0.25">
      <c r="A696" t="s">
        <v>497</v>
      </c>
      <c r="B696" s="4">
        <v>1543</v>
      </c>
      <c r="C696" s="4">
        <v>370</v>
      </c>
      <c r="D696" s="5">
        <f>tbl_details5[[#This Row],[Profit]]/tbl_details5[[#This Row],[Revenue]]</f>
        <v>0.23979261179520414</v>
      </c>
      <c r="E696">
        <v>8</v>
      </c>
      <c r="F696" t="s">
        <v>888</v>
      </c>
      <c r="G696" t="s">
        <v>899</v>
      </c>
      <c r="H696" s="1">
        <f>VLOOKUP(tbl_details5[[#This Row],[Order ID]],Orders!A:F,2,FALSE)</f>
        <v>43406</v>
      </c>
      <c r="I696" s="1" t="str">
        <f>TEXT(tbl_details5[[#This Row],[Order Date]],"mmm-yy")</f>
        <v>Nov-18</v>
      </c>
      <c r="J696" t="str">
        <f>VLOOKUP(tbl_details5[[#This Row],[Order ID]],Table1[],4,FALSE)</f>
        <v>Sheetal</v>
      </c>
      <c r="K696" t="str">
        <f>VLOOKUP(tbl_details5[[#This Row],[Order ID]],Table1[],5,FALSE)</f>
        <v>Madhya Pradesh</v>
      </c>
      <c r="L696" t="str">
        <f>VLOOKUP(tbl_details5[[#This Row],[Order ID]],Table1[],6,FALSE)</f>
        <v>Indore</v>
      </c>
    </row>
    <row r="697" spans="1:12" x14ac:dyDescent="0.25">
      <c r="A697" t="s">
        <v>498</v>
      </c>
      <c r="B697" s="4">
        <v>50</v>
      </c>
      <c r="C697" s="4">
        <v>7</v>
      </c>
      <c r="D697" s="5">
        <f>tbl_details5[[#This Row],[Profit]]/tbl_details5[[#This Row],[Revenue]]</f>
        <v>0.14000000000000001</v>
      </c>
      <c r="E697">
        <v>6</v>
      </c>
      <c r="F697" t="s">
        <v>885</v>
      </c>
      <c r="G697" t="s">
        <v>902</v>
      </c>
      <c r="H697" s="1">
        <f>VLOOKUP(tbl_details5[[#This Row],[Order ID]],Orders!A:F,2,FALSE)</f>
        <v>43407</v>
      </c>
      <c r="I697" s="1" t="str">
        <f>TEXT(tbl_details5[[#This Row],[Order Date]],"mmm-yy")</f>
        <v>Nov-18</v>
      </c>
      <c r="J697" t="str">
        <f>VLOOKUP(tbl_details5[[#This Row],[Order ID]],Table1[],4,FALSE)</f>
        <v>Mrunal</v>
      </c>
      <c r="K697" t="str">
        <f>VLOOKUP(tbl_details5[[#This Row],[Order ID]],Table1[],5,FALSE)</f>
        <v>Maharashtra</v>
      </c>
      <c r="L697" t="str">
        <f>VLOOKUP(tbl_details5[[#This Row],[Order ID]],Table1[],6,FALSE)</f>
        <v>Mumbai</v>
      </c>
    </row>
    <row r="698" spans="1:12" x14ac:dyDescent="0.25">
      <c r="A698" t="s">
        <v>498</v>
      </c>
      <c r="B698" s="4">
        <v>214</v>
      </c>
      <c r="C698" s="4">
        <v>30</v>
      </c>
      <c r="D698" s="5">
        <f>tbl_details5[[#This Row],[Profit]]/tbl_details5[[#This Row],[Revenue]]</f>
        <v>0.14018691588785046</v>
      </c>
      <c r="E698">
        <v>3</v>
      </c>
      <c r="F698" t="s">
        <v>888</v>
      </c>
      <c r="G698" t="s">
        <v>900</v>
      </c>
      <c r="H698" s="1">
        <f>VLOOKUP(tbl_details5[[#This Row],[Order ID]],Orders!A:F,2,FALSE)</f>
        <v>43407</v>
      </c>
      <c r="I698" s="1" t="str">
        <f>TEXT(tbl_details5[[#This Row],[Order Date]],"mmm-yy")</f>
        <v>Nov-18</v>
      </c>
      <c r="J698" t="str">
        <f>VLOOKUP(tbl_details5[[#This Row],[Order ID]],Table1[],4,FALSE)</f>
        <v>Mrunal</v>
      </c>
      <c r="K698" t="str">
        <f>VLOOKUP(tbl_details5[[#This Row],[Order ID]],Table1[],5,FALSE)</f>
        <v>Maharashtra</v>
      </c>
      <c r="L698" t="str">
        <f>VLOOKUP(tbl_details5[[#This Row],[Order ID]],Table1[],6,FALSE)</f>
        <v>Mumbai</v>
      </c>
    </row>
    <row r="699" spans="1:12" x14ac:dyDescent="0.25">
      <c r="A699" t="s">
        <v>498</v>
      </c>
      <c r="B699" s="4">
        <v>255</v>
      </c>
      <c r="C699" s="4">
        <v>74</v>
      </c>
      <c r="D699" s="5">
        <f>tbl_details5[[#This Row],[Profit]]/tbl_details5[[#This Row],[Revenue]]</f>
        <v>0.29019607843137257</v>
      </c>
      <c r="E699">
        <v>5</v>
      </c>
      <c r="F699" t="s">
        <v>885</v>
      </c>
      <c r="G699" t="s">
        <v>887</v>
      </c>
      <c r="H699" s="1">
        <f>VLOOKUP(tbl_details5[[#This Row],[Order ID]],Orders!A:F,2,FALSE)</f>
        <v>43407</v>
      </c>
      <c r="I699" s="1" t="str">
        <f>TEXT(tbl_details5[[#This Row],[Order Date]],"mmm-yy")</f>
        <v>Nov-18</v>
      </c>
      <c r="J699" t="str">
        <f>VLOOKUP(tbl_details5[[#This Row],[Order ID]],Table1[],4,FALSE)</f>
        <v>Mrunal</v>
      </c>
      <c r="K699" t="str">
        <f>VLOOKUP(tbl_details5[[#This Row],[Order ID]],Table1[],5,FALSE)</f>
        <v>Maharashtra</v>
      </c>
      <c r="L699" t="str">
        <f>VLOOKUP(tbl_details5[[#This Row],[Order ID]],Table1[],6,FALSE)</f>
        <v>Mumbai</v>
      </c>
    </row>
    <row r="700" spans="1:12" x14ac:dyDescent="0.25">
      <c r="A700" t="s">
        <v>498</v>
      </c>
      <c r="B700" s="4">
        <v>18</v>
      </c>
      <c r="C700" s="4">
        <v>6</v>
      </c>
      <c r="D700" s="5">
        <f>tbl_details5[[#This Row],[Profit]]/tbl_details5[[#This Row],[Revenue]]</f>
        <v>0.33333333333333331</v>
      </c>
      <c r="E700">
        <v>3</v>
      </c>
      <c r="F700" t="s">
        <v>885</v>
      </c>
      <c r="G700" t="s">
        <v>887</v>
      </c>
      <c r="H700" s="1">
        <f>VLOOKUP(tbl_details5[[#This Row],[Order ID]],Orders!A:F,2,FALSE)</f>
        <v>43407</v>
      </c>
      <c r="I700" s="1" t="str">
        <f>TEXT(tbl_details5[[#This Row],[Order Date]],"mmm-yy")</f>
        <v>Nov-18</v>
      </c>
      <c r="J700" t="str">
        <f>VLOOKUP(tbl_details5[[#This Row],[Order ID]],Table1[],4,FALSE)</f>
        <v>Mrunal</v>
      </c>
      <c r="K700" t="str">
        <f>VLOOKUP(tbl_details5[[#This Row],[Order ID]],Table1[],5,FALSE)</f>
        <v>Maharashtra</v>
      </c>
      <c r="L700" t="str">
        <f>VLOOKUP(tbl_details5[[#This Row],[Order ID]],Table1[],6,FALSE)</f>
        <v>Mumbai</v>
      </c>
    </row>
    <row r="701" spans="1:12" x14ac:dyDescent="0.25">
      <c r="A701" t="s">
        <v>498</v>
      </c>
      <c r="B701" s="4">
        <v>45</v>
      </c>
      <c r="C701" s="4">
        <v>0</v>
      </c>
      <c r="D701" s="5">
        <f>tbl_details5[[#This Row],[Profit]]/tbl_details5[[#This Row],[Revenue]]</f>
        <v>0</v>
      </c>
      <c r="E701">
        <v>2</v>
      </c>
      <c r="F701" t="s">
        <v>885</v>
      </c>
      <c r="G701" t="s">
        <v>886</v>
      </c>
      <c r="H701" s="1">
        <f>VLOOKUP(tbl_details5[[#This Row],[Order ID]],Orders!A:F,2,FALSE)</f>
        <v>43407</v>
      </c>
      <c r="I701" s="1" t="str">
        <f>TEXT(tbl_details5[[#This Row],[Order Date]],"mmm-yy")</f>
        <v>Nov-18</v>
      </c>
      <c r="J701" t="str">
        <f>VLOOKUP(tbl_details5[[#This Row],[Order ID]],Table1[],4,FALSE)</f>
        <v>Mrunal</v>
      </c>
      <c r="K701" t="str">
        <f>VLOOKUP(tbl_details5[[#This Row],[Order ID]],Table1[],5,FALSE)</f>
        <v>Maharashtra</v>
      </c>
      <c r="L701" t="str">
        <f>VLOOKUP(tbl_details5[[#This Row],[Order ID]],Table1[],6,FALSE)</f>
        <v>Mumbai</v>
      </c>
    </row>
    <row r="702" spans="1:12" x14ac:dyDescent="0.25">
      <c r="A702" t="s">
        <v>500</v>
      </c>
      <c r="B702" s="4">
        <v>86</v>
      </c>
      <c r="C702" s="4">
        <v>8</v>
      </c>
      <c r="D702" s="5">
        <f>tbl_details5[[#This Row],[Profit]]/tbl_details5[[#This Row],[Revenue]]</f>
        <v>9.3023255813953487E-2</v>
      </c>
      <c r="E702">
        <v>2</v>
      </c>
      <c r="F702" t="s">
        <v>885</v>
      </c>
      <c r="G702" t="s">
        <v>891</v>
      </c>
      <c r="H702" s="1">
        <f>VLOOKUP(tbl_details5[[#This Row],[Order ID]],Orders!A:F,2,FALSE)</f>
        <v>43407</v>
      </c>
      <c r="I702" s="1" t="str">
        <f>TEXT(tbl_details5[[#This Row],[Order Date]],"mmm-yy")</f>
        <v>Nov-18</v>
      </c>
      <c r="J702" t="str">
        <f>VLOOKUP(tbl_details5[[#This Row],[Order ID]],Table1[],4,FALSE)</f>
        <v>Swati</v>
      </c>
      <c r="K702" t="str">
        <f>VLOOKUP(tbl_details5[[#This Row],[Order ID]],Table1[],5,FALSE)</f>
        <v>Madhya Pradesh</v>
      </c>
      <c r="L702" t="str">
        <f>VLOOKUP(tbl_details5[[#This Row],[Order ID]],Table1[],6,FALSE)</f>
        <v>Indore</v>
      </c>
    </row>
    <row r="703" spans="1:12" x14ac:dyDescent="0.25">
      <c r="A703" t="s">
        <v>502</v>
      </c>
      <c r="B703" s="4">
        <v>274</v>
      </c>
      <c r="C703" s="4">
        <v>-7</v>
      </c>
      <c r="D703" s="5">
        <f>tbl_details5[[#This Row],[Profit]]/tbl_details5[[#This Row],[Revenue]]</f>
        <v>-2.5547445255474453E-2</v>
      </c>
      <c r="E703">
        <v>4</v>
      </c>
      <c r="F703" t="s">
        <v>888</v>
      </c>
      <c r="G703" t="s">
        <v>890</v>
      </c>
      <c r="H703" s="1">
        <f>VLOOKUP(tbl_details5[[#This Row],[Order ID]],Orders!A:F,2,FALSE)</f>
        <v>43407</v>
      </c>
      <c r="I703" s="1" t="str">
        <f>TEXT(tbl_details5[[#This Row],[Order Date]],"mmm-yy")</f>
        <v>Nov-18</v>
      </c>
      <c r="J703" t="str">
        <f>VLOOKUP(tbl_details5[[#This Row],[Order ID]],Table1[],4,FALSE)</f>
        <v>Snel</v>
      </c>
      <c r="K703" t="str">
        <f>VLOOKUP(tbl_details5[[#This Row],[Order ID]],Table1[],5,FALSE)</f>
        <v xml:space="preserve">Kerala </v>
      </c>
      <c r="L703" t="str">
        <f>VLOOKUP(tbl_details5[[#This Row],[Order ID]],Table1[],6,FALSE)</f>
        <v>Thiruvananthapuram</v>
      </c>
    </row>
    <row r="704" spans="1:12" x14ac:dyDescent="0.25">
      <c r="A704" t="s">
        <v>502</v>
      </c>
      <c r="B704" s="4">
        <v>82</v>
      </c>
      <c r="C704" s="4">
        <v>33</v>
      </c>
      <c r="D704" s="5">
        <f>tbl_details5[[#This Row],[Profit]]/tbl_details5[[#This Row],[Revenue]]</f>
        <v>0.40243902439024393</v>
      </c>
      <c r="E704">
        <v>4</v>
      </c>
      <c r="F704" t="s">
        <v>885</v>
      </c>
      <c r="G704" t="s">
        <v>894</v>
      </c>
      <c r="H704" s="1">
        <f>VLOOKUP(tbl_details5[[#This Row],[Order ID]],Orders!A:F,2,FALSE)</f>
        <v>43407</v>
      </c>
      <c r="I704" s="1" t="str">
        <f>TEXT(tbl_details5[[#This Row],[Order Date]],"mmm-yy")</f>
        <v>Nov-18</v>
      </c>
      <c r="J704" t="str">
        <f>VLOOKUP(tbl_details5[[#This Row],[Order ID]],Table1[],4,FALSE)</f>
        <v>Snel</v>
      </c>
      <c r="K704" t="str">
        <f>VLOOKUP(tbl_details5[[#This Row],[Order ID]],Table1[],5,FALSE)</f>
        <v xml:space="preserve">Kerala </v>
      </c>
      <c r="L704" t="str">
        <f>VLOOKUP(tbl_details5[[#This Row],[Order ID]],Table1[],6,FALSE)</f>
        <v>Thiruvananthapuram</v>
      </c>
    </row>
    <row r="705" spans="1:12" x14ac:dyDescent="0.25">
      <c r="A705" t="s">
        <v>502</v>
      </c>
      <c r="B705" s="4">
        <v>757</v>
      </c>
      <c r="C705" s="4">
        <v>371</v>
      </c>
      <c r="D705" s="5">
        <f>tbl_details5[[#This Row],[Profit]]/tbl_details5[[#This Row],[Revenue]]</f>
        <v>0.49009247027741082</v>
      </c>
      <c r="E705">
        <v>2</v>
      </c>
      <c r="F705" t="s">
        <v>888</v>
      </c>
      <c r="G705" t="s">
        <v>899</v>
      </c>
      <c r="H705" s="1">
        <f>VLOOKUP(tbl_details5[[#This Row],[Order ID]],Orders!A:F,2,FALSE)</f>
        <v>43407</v>
      </c>
      <c r="I705" s="1" t="str">
        <f>TEXT(tbl_details5[[#This Row],[Order Date]],"mmm-yy")</f>
        <v>Nov-18</v>
      </c>
      <c r="J705" t="str">
        <f>VLOOKUP(tbl_details5[[#This Row],[Order ID]],Table1[],4,FALSE)</f>
        <v>Snel</v>
      </c>
      <c r="K705" t="str">
        <f>VLOOKUP(tbl_details5[[#This Row],[Order ID]],Table1[],5,FALSE)</f>
        <v xml:space="preserve">Kerala </v>
      </c>
      <c r="L705" t="str">
        <f>VLOOKUP(tbl_details5[[#This Row],[Order ID]],Table1[],6,FALSE)</f>
        <v>Thiruvananthapuram</v>
      </c>
    </row>
    <row r="706" spans="1:12" x14ac:dyDescent="0.25">
      <c r="A706" t="s">
        <v>502</v>
      </c>
      <c r="B706" s="4">
        <v>132</v>
      </c>
      <c r="C706" s="4">
        <v>54</v>
      </c>
      <c r="D706" s="5">
        <f>tbl_details5[[#This Row],[Profit]]/tbl_details5[[#This Row],[Revenue]]</f>
        <v>0.40909090909090912</v>
      </c>
      <c r="E706">
        <v>5</v>
      </c>
      <c r="F706" t="s">
        <v>885</v>
      </c>
      <c r="G706" t="s">
        <v>886</v>
      </c>
      <c r="H706" s="1">
        <f>VLOOKUP(tbl_details5[[#This Row],[Order ID]],Orders!A:F,2,FALSE)</f>
        <v>43407</v>
      </c>
      <c r="I706" s="1" t="str">
        <f>TEXT(tbl_details5[[#This Row],[Order Date]],"mmm-yy")</f>
        <v>Nov-18</v>
      </c>
      <c r="J706" t="str">
        <f>VLOOKUP(tbl_details5[[#This Row],[Order ID]],Table1[],4,FALSE)</f>
        <v>Snel</v>
      </c>
      <c r="K706" t="str">
        <f>VLOOKUP(tbl_details5[[#This Row],[Order ID]],Table1[],5,FALSE)</f>
        <v xml:space="preserve">Kerala </v>
      </c>
      <c r="L706" t="str">
        <f>VLOOKUP(tbl_details5[[#This Row],[Order ID]],Table1[],6,FALSE)</f>
        <v>Thiruvananthapuram</v>
      </c>
    </row>
    <row r="707" spans="1:12" x14ac:dyDescent="0.25">
      <c r="A707" t="s">
        <v>504</v>
      </c>
      <c r="B707" s="4">
        <v>94</v>
      </c>
      <c r="C707" s="4">
        <v>7</v>
      </c>
      <c r="D707" s="5">
        <f>tbl_details5[[#This Row],[Profit]]/tbl_details5[[#This Row],[Revenue]]</f>
        <v>7.4468085106382975E-2</v>
      </c>
      <c r="E707">
        <v>7</v>
      </c>
      <c r="F707" t="s">
        <v>885</v>
      </c>
      <c r="G707" t="s">
        <v>897</v>
      </c>
      <c r="H707" s="1">
        <f>VLOOKUP(tbl_details5[[#This Row],[Order ID]],Orders!A:F,2,FALSE)</f>
        <v>43407</v>
      </c>
      <c r="I707" s="1" t="str">
        <f>TEXT(tbl_details5[[#This Row],[Order Date]],"mmm-yy")</f>
        <v>Nov-18</v>
      </c>
      <c r="J707" t="str">
        <f>VLOOKUP(tbl_details5[[#This Row],[Order ID]],Table1[],4,FALSE)</f>
        <v>Soodesh</v>
      </c>
      <c r="K707" t="str">
        <f>VLOOKUP(tbl_details5[[#This Row],[Order ID]],Table1[],5,FALSE)</f>
        <v>Punjab</v>
      </c>
      <c r="L707" t="str">
        <f>VLOOKUP(tbl_details5[[#This Row],[Order ID]],Table1[],6,FALSE)</f>
        <v>Chandigarh</v>
      </c>
    </row>
    <row r="708" spans="1:12" x14ac:dyDescent="0.25">
      <c r="A708" t="s">
        <v>506</v>
      </c>
      <c r="B708" s="4">
        <v>643</v>
      </c>
      <c r="C708" s="4">
        <v>225</v>
      </c>
      <c r="D708" s="5">
        <f>tbl_details5[[#This Row],[Profit]]/tbl_details5[[#This Row],[Revenue]]</f>
        <v>0.34992223950233281</v>
      </c>
      <c r="E708">
        <v>2</v>
      </c>
      <c r="F708" t="s">
        <v>888</v>
      </c>
      <c r="G708" t="s">
        <v>899</v>
      </c>
      <c r="H708" s="1">
        <f>VLOOKUP(tbl_details5[[#This Row],[Order ID]],Orders!A:F,2,FALSE)</f>
        <v>43407</v>
      </c>
      <c r="I708" s="1" t="str">
        <f>TEXT(tbl_details5[[#This Row],[Order Date]],"mmm-yy")</f>
        <v>Nov-18</v>
      </c>
      <c r="J708" t="str">
        <f>VLOOKUP(tbl_details5[[#This Row],[Order ID]],Table1[],4,FALSE)</f>
        <v>Aniket</v>
      </c>
      <c r="K708" t="str">
        <f>VLOOKUP(tbl_details5[[#This Row],[Order ID]],Table1[],5,FALSE)</f>
        <v>Haryana</v>
      </c>
      <c r="L708" t="str">
        <f>VLOOKUP(tbl_details5[[#This Row],[Order ID]],Table1[],6,FALSE)</f>
        <v>Chandigarh</v>
      </c>
    </row>
    <row r="709" spans="1:12" x14ac:dyDescent="0.25">
      <c r="A709" t="s">
        <v>506</v>
      </c>
      <c r="B709" s="4">
        <v>264</v>
      </c>
      <c r="C709" s="4">
        <v>71</v>
      </c>
      <c r="D709" s="5">
        <f>tbl_details5[[#This Row],[Profit]]/tbl_details5[[#This Row],[Revenue]]</f>
        <v>0.26893939393939392</v>
      </c>
      <c r="E709">
        <v>10</v>
      </c>
      <c r="F709" t="s">
        <v>883</v>
      </c>
      <c r="G709" t="s">
        <v>901</v>
      </c>
      <c r="H709" s="1">
        <f>VLOOKUP(tbl_details5[[#This Row],[Order ID]],Orders!A:F,2,FALSE)</f>
        <v>43407</v>
      </c>
      <c r="I709" s="1" t="str">
        <f>TEXT(tbl_details5[[#This Row],[Order Date]],"mmm-yy")</f>
        <v>Nov-18</v>
      </c>
      <c r="J709" t="str">
        <f>VLOOKUP(tbl_details5[[#This Row],[Order ID]],Table1[],4,FALSE)</f>
        <v>Aniket</v>
      </c>
      <c r="K709" t="str">
        <f>VLOOKUP(tbl_details5[[#This Row],[Order ID]],Table1[],5,FALSE)</f>
        <v>Haryana</v>
      </c>
      <c r="L709" t="str">
        <f>VLOOKUP(tbl_details5[[#This Row],[Order ID]],Table1[],6,FALSE)</f>
        <v>Chandigarh</v>
      </c>
    </row>
    <row r="710" spans="1:12" x14ac:dyDescent="0.25">
      <c r="A710" t="s">
        <v>508</v>
      </c>
      <c r="B710" s="4">
        <v>147</v>
      </c>
      <c r="C710" s="4">
        <v>21</v>
      </c>
      <c r="D710" s="5">
        <f>tbl_details5[[#This Row],[Profit]]/tbl_details5[[#This Row],[Revenue]]</f>
        <v>0.14285714285714285</v>
      </c>
      <c r="E710">
        <v>3</v>
      </c>
      <c r="F710" t="s">
        <v>883</v>
      </c>
      <c r="G710" t="s">
        <v>901</v>
      </c>
      <c r="H710" s="1">
        <f>VLOOKUP(tbl_details5[[#This Row],[Order ID]],Orders!A:F,2,FALSE)</f>
        <v>43407</v>
      </c>
      <c r="I710" s="1" t="str">
        <f>TEXT(tbl_details5[[#This Row],[Order Date]],"mmm-yy")</f>
        <v>Nov-18</v>
      </c>
      <c r="J710" t="str">
        <f>VLOOKUP(tbl_details5[[#This Row],[Order ID]],Table1[],4,FALSE)</f>
        <v>Rohan</v>
      </c>
      <c r="K710" t="str">
        <f>VLOOKUP(tbl_details5[[#This Row],[Order ID]],Table1[],5,FALSE)</f>
        <v>Himachal Pradesh</v>
      </c>
      <c r="L710" t="str">
        <f>VLOOKUP(tbl_details5[[#This Row],[Order ID]],Table1[],6,FALSE)</f>
        <v>Simla</v>
      </c>
    </row>
    <row r="711" spans="1:12" x14ac:dyDescent="0.25">
      <c r="A711" t="s">
        <v>508</v>
      </c>
      <c r="B711" s="4">
        <v>16</v>
      </c>
      <c r="C711" s="4">
        <v>8</v>
      </c>
      <c r="D711" s="5">
        <f>tbl_details5[[#This Row],[Profit]]/tbl_details5[[#This Row],[Revenue]]</f>
        <v>0.5</v>
      </c>
      <c r="E711">
        <v>2</v>
      </c>
      <c r="F711" t="s">
        <v>885</v>
      </c>
      <c r="G711" t="s">
        <v>887</v>
      </c>
      <c r="H711" s="1">
        <f>VLOOKUP(tbl_details5[[#This Row],[Order ID]],Orders!A:F,2,FALSE)</f>
        <v>43407</v>
      </c>
      <c r="I711" s="1" t="str">
        <f>TEXT(tbl_details5[[#This Row],[Order Date]],"mmm-yy")</f>
        <v>Nov-18</v>
      </c>
      <c r="J711" t="str">
        <f>VLOOKUP(tbl_details5[[#This Row],[Order ID]],Table1[],4,FALSE)</f>
        <v>Rohan</v>
      </c>
      <c r="K711" t="str">
        <f>VLOOKUP(tbl_details5[[#This Row],[Order ID]],Table1[],5,FALSE)</f>
        <v>Himachal Pradesh</v>
      </c>
      <c r="L711" t="str">
        <f>VLOOKUP(tbl_details5[[#This Row],[Order ID]],Table1[],6,FALSE)</f>
        <v>Simla</v>
      </c>
    </row>
    <row r="712" spans="1:12" x14ac:dyDescent="0.25">
      <c r="A712" t="s">
        <v>508</v>
      </c>
      <c r="B712" s="4">
        <v>648</v>
      </c>
      <c r="C712" s="4">
        <v>50</v>
      </c>
      <c r="D712" s="5">
        <f>tbl_details5[[#This Row],[Profit]]/tbl_details5[[#This Row],[Revenue]]</f>
        <v>7.716049382716049E-2</v>
      </c>
      <c r="E712">
        <v>6</v>
      </c>
      <c r="F712" t="s">
        <v>888</v>
      </c>
      <c r="G712" t="s">
        <v>889</v>
      </c>
      <c r="H712" s="1">
        <f>VLOOKUP(tbl_details5[[#This Row],[Order ID]],Orders!A:F,2,FALSE)</f>
        <v>43407</v>
      </c>
      <c r="I712" s="1" t="str">
        <f>TEXT(tbl_details5[[#This Row],[Order Date]],"mmm-yy")</f>
        <v>Nov-18</v>
      </c>
      <c r="J712" t="str">
        <f>VLOOKUP(tbl_details5[[#This Row],[Order ID]],Table1[],4,FALSE)</f>
        <v>Rohan</v>
      </c>
      <c r="K712" t="str">
        <f>VLOOKUP(tbl_details5[[#This Row],[Order ID]],Table1[],5,FALSE)</f>
        <v>Himachal Pradesh</v>
      </c>
      <c r="L712" t="str">
        <f>VLOOKUP(tbl_details5[[#This Row],[Order ID]],Table1[],6,FALSE)</f>
        <v>Simla</v>
      </c>
    </row>
    <row r="713" spans="1:12" x14ac:dyDescent="0.25">
      <c r="A713" t="s">
        <v>509</v>
      </c>
      <c r="B713" s="4">
        <v>336</v>
      </c>
      <c r="C713" s="4">
        <v>123</v>
      </c>
      <c r="D713" s="5">
        <f>tbl_details5[[#This Row],[Profit]]/tbl_details5[[#This Row],[Revenue]]</f>
        <v>0.36607142857142855</v>
      </c>
      <c r="E713">
        <v>3</v>
      </c>
      <c r="F713" t="s">
        <v>888</v>
      </c>
      <c r="G713" t="s">
        <v>890</v>
      </c>
      <c r="H713" s="1">
        <f>VLOOKUP(tbl_details5[[#This Row],[Order ID]],Orders!A:F,2,FALSE)</f>
        <v>43408</v>
      </c>
      <c r="I713" s="1" t="str">
        <f>TEXT(tbl_details5[[#This Row],[Order Date]],"mmm-yy")</f>
        <v>Nov-18</v>
      </c>
      <c r="J713" t="str">
        <f>VLOOKUP(tbl_details5[[#This Row],[Order ID]],Table1[],4,FALSE)</f>
        <v>K</v>
      </c>
      <c r="K713" t="str">
        <f>VLOOKUP(tbl_details5[[#This Row],[Order ID]],Table1[],5,FALSE)</f>
        <v>Sikkim</v>
      </c>
      <c r="L713" t="str">
        <f>VLOOKUP(tbl_details5[[#This Row],[Order ID]],Table1[],6,FALSE)</f>
        <v>Gangtok</v>
      </c>
    </row>
    <row r="714" spans="1:12" x14ac:dyDescent="0.25">
      <c r="A714" t="s">
        <v>511</v>
      </c>
      <c r="B714" s="4">
        <v>45</v>
      </c>
      <c r="C714" s="4">
        <v>1</v>
      </c>
      <c r="D714" s="5">
        <f>tbl_details5[[#This Row],[Profit]]/tbl_details5[[#This Row],[Revenue]]</f>
        <v>2.2222222222222223E-2</v>
      </c>
      <c r="E714">
        <v>3</v>
      </c>
      <c r="F714" t="s">
        <v>885</v>
      </c>
      <c r="G714" t="s">
        <v>895</v>
      </c>
      <c r="H714" s="1">
        <f>VLOOKUP(tbl_details5[[#This Row],[Order ID]],Orders!A:F,2,FALSE)</f>
        <v>43409</v>
      </c>
      <c r="I714" s="1" t="str">
        <f>TEXT(tbl_details5[[#This Row],[Order Date]],"mmm-yy")</f>
        <v>Nov-18</v>
      </c>
      <c r="J714" t="str">
        <f>VLOOKUP(tbl_details5[[#This Row],[Order ID]],Table1[],4,FALSE)</f>
        <v>Abhishek</v>
      </c>
      <c r="K714" t="str">
        <f>VLOOKUP(tbl_details5[[#This Row],[Order ID]],Table1[],5,FALSE)</f>
        <v>Goa</v>
      </c>
      <c r="L714" t="str">
        <f>VLOOKUP(tbl_details5[[#This Row],[Order ID]],Table1[],6,FALSE)</f>
        <v>Goa</v>
      </c>
    </row>
    <row r="715" spans="1:12" x14ac:dyDescent="0.25">
      <c r="A715" t="s">
        <v>511</v>
      </c>
      <c r="B715" s="4">
        <v>93</v>
      </c>
      <c r="C715" s="4">
        <v>-1</v>
      </c>
      <c r="D715" s="5">
        <f>tbl_details5[[#This Row],[Profit]]/tbl_details5[[#This Row],[Revenue]]</f>
        <v>-1.0752688172043012E-2</v>
      </c>
      <c r="E715">
        <v>2</v>
      </c>
      <c r="F715" t="s">
        <v>885</v>
      </c>
      <c r="G715" t="s">
        <v>887</v>
      </c>
      <c r="H715" s="1">
        <f>VLOOKUP(tbl_details5[[#This Row],[Order ID]],Orders!A:F,2,FALSE)</f>
        <v>43409</v>
      </c>
      <c r="I715" s="1" t="str">
        <f>TEXT(tbl_details5[[#This Row],[Order Date]],"mmm-yy")</f>
        <v>Nov-18</v>
      </c>
      <c r="J715" t="str">
        <f>VLOOKUP(tbl_details5[[#This Row],[Order ID]],Table1[],4,FALSE)</f>
        <v>Abhishek</v>
      </c>
      <c r="K715" t="str">
        <f>VLOOKUP(tbl_details5[[#This Row],[Order ID]],Table1[],5,FALSE)</f>
        <v>Goa</v>
      </c>
      <c r="L715" t="str">
        <f>VLOOKUP(tbl_details5[[#This Row],[Order ID]],Table1[],6,FALSE)</f>
        <v>Goa</v>
      </c>
    </row>
    <row r="716" spans="1:12" x14ac:dyDescent="0.25">
      <c r="A716" t="s">
        <v>511</v>
      </c>
      <c r="B716" s="4">
        <v>52</v>
      </c>
      <c r="C716" s="4">
        <v>18</v>
      </c>
      <c r="D716" s="5">
        <f>tbl_details5[[#This Row],[Profit]]/tbl_details5[[#This Row],[Revenue]]</f>
        <v>0.34615384615384615</v>
      </c>
      <c r="E716">
        <v>5</v>
      </c>
      <c r="F716" t="s">
        <v>885</v>
      </c>
      <c r="G716" t="s">
        <v>897</v>
      </c>
      <c r="H716" s="1">
        <f>VLOOKUP(tbl_details5[[#This Row],[Order ID]],Orders!A:F,2,FALSE)</f>
        <v>43409</v>
      </c>
      <c r="I716" s="1" t="str">
        <f>TEXT(tbl_details5[[#This Row],[Order Date]],"mmm-yy")</f>
        <v>Nov-18</v>
      </c>
      <c r="J716" t="str">
        <f>VLOOKUP(tbl_details5[[#This Row],[Order ID]],Table1[],4,FALSE)</f>
        <v>Abhishek</v>
      </c>
      <c r="K716" t="str">
        <f>VLOOKUP(tbl_details5[[#This Row],[Order ID]],Table1[],5,FALSE)</f>
        <v>Goa</v>
      </c>
      <c r="L716" t="str">
        <f>VLOOKUP(tbl_details5[[#This Row],[Order ID]],Table1[],6,FALSE)</f>
        <v>Goa</v>
      </c>
    </row>
    <row r="717" spans="1:12" x14ac:dyDescent="0.25">
      <c r="A717" t="s">
        <v>511</v>
      </c>
      <c r="B717" s="4">
        <v>148</v>
      </c>
      <c r="C717" s="4">
        <v>24</v>
      </c>
      <c r="D717" s="5">
        <f>tbl_details5[[#This Row],[Profit]]/tbl_details5[[#This Row],[Revenue]]</f>
        <v>0.16216216216216217</v>
      </c>
      <c r="E717">
        <v>3</v>
      </c>
      <c r="F717" t="s">
        <v>885</v>
      </c>
      <c r="G717" t="s">
        <v>886</v>
      </c>
      <c r="H717" s="1">
        <f>VLOOKUP(tbl_details5[[#This Row],[Order ID]],Orders!A:F,2,FALSE)</f>
        <v>43409</v>
      </c>
      <c r="I717" s="1" t="str">
        <f>TEXT(tbl_details5[[#This Row],[Order Date]],"mmm-yy")</f>
        <v>Nov-18</v>
      </c>
      <c r="J717" t="str">
        <f>VLOOKUP(tbl_details5[[#This Row],[Order ID]],Table1[],4,FALSE)</f>
        <v>Abhishek</v>
      </c>
      <c r="K717" t="str">
        <f>VLOOKUP(tbl_details5[[#This Row],[Order ID]],Table1[],5,FALSE)</f>
        <v>Goa</v>
      </c>
      <c r="L717" t="str">
        <f>VLOOKUP(tbl_details5[[#This Row],[Order ID]],Table1[],6,FALSE)</f>
        <v>Goa</v>
      </c>
    </row>
    <row r="718" spans="1:12" x14ac:dyDescent="0.25">
      <c r="A718" t="s">
        <v>511</v>
      </c>
      <c r="B718" s="4">
        <v>24</v>
      </c>
      <c r="C718" s="4">
        <v>1</v>
      </c>
      <c r="D718" s="5">
        <f>tbl_details5[[#This Row],[Profit]]/tbl_details5[[#This Row],[Revenue]]</f>
        <v>4.1666666666666664E-2</v>
      </c>
      <c r="E718">
        <v>4</v>
      </c>
      <c r="F718" t="s">
        <v>885</v>
      </c>
      <c r="G718" t="s">
        <v>887</v>
      </c>
      <c r="H718" s="1">
        <f>VLOOKUP(tbl_details5[[#This Row],[Order ID]],Orders!A:F,2,FALSE)</f>
        <v>43409</v>
      </c>
      <c r="I718" s="1" t="str">
        <f>TEXT(tbl_details5[[#This Row],[Order Date]],"mmm-yy")</f>
        <v>Nov-18</v>
      </c>
      <c r="J718" t="str">
        <f>VLOOKUP(tbl_details5[[#This Row],[Order ID]],Table1[],4,FALSE)</f>
        <v>Abhishek</v>
      </c>
      <c r="K718" t="str">
        <f>VLOOKUP(tbl_details5[[#This Row],[Order ID]],Table1[],5,FALSE)</f>
        <v>Goa</v>
      </c>
      <c r="L718" t="str">
        <f>VLOOKUP(tbl_details5[[#This Row],[Order ID]],Table1[],6,FALSE)</f>
        <v>Goa</v>
      </c>
    </row>
    <row r="719" spans="1:12" x14ac:dyDescent="0.25">
      <c r="A719" t="s">
        <v>511</v>
      </c>
      <c r="B719" s="4">
        <v>513</v>
      </c>
      <c r="C719" s="4">
        <v>215</v>
      </c>
      <c r="D719" s="5">
        <f>tbl_details5[[#This Row],[Profit]]/tbl_details5[[#This Row],[Revenue]]</f>
        <v>0.41910331384015592</v>
      </c>
      <c r="E719">
        <v>2</v>
      </c>
      <c r="F719" t="s">
        <v>888</v>
      </c>
      <c r="G719" t="s">
        <v>900</v>
      </c>
      <c r="H719" s="1">
        <f>VLOOKUP(tbl_details5[[#This Row],[Order ID]],Orders!A:F,2,FALSE)</f>
        <v>43409</v>
      </c>
      <c r="I719" s="1" t="str">
        <f>TEXT(tbl_details5[[#This Row],[Order Date]],"mmm-yy")</f>
        <v>Nov-18</v>
      </c>
      <c r="J719" t="str">
        <f>VLOOKUP(tbl_details5[[#This Row],[Order ID]],Table1[],4,FALSE)</f>
        <v>Abhishek</v>
      </c>
      <c r="K719" t="str">
        <f>VLOOKUP(tbl_details5[[#This Row],[Order ID]],Table1[],5,FALSE)</f>
        <v>Goa</v>
      </c>
      <c r="L719" t="str">
        <f>VLOOKUP(tbl_details5[[#This Row],[Order ID]],Table1[],6,FALSE)</f>
        <v>Goa</v>
      </c>
    </row>
    <row r="720" spans="1:12" x14ac:dyDescent="0.25">
      <c r="A720" t="s">
        <v>511</v>
      </c>
      <c r="B720" s="4">
        <v>117</v>
      </c>
      <c r="C720" s="4">
        <v>36</v>
      </c>
      <c r="D720" s="5">
        <f>tbl_details5[[#This Row],[Profit]]/tbl_details5[[#This Row],[Revenue]]</f>
        <v>0.30769230769230771</v>
      </c>
      <c r="E720">
        <v>2</v>
      </c>
      <c r="F720" t="s">
        <v>885</v>
      </c>
      <c r="G720" t="s">
        <v>892</v>
      </c>
      <c r="H720" s="1">
        <f>VLOOKUP(tbl_details5[[#This Row],[Order ID]],Orders!A:F,2,FALSE)</f>
        <v>43409</v>
      </c>
      <c r="I720" s="1" t="str">
        <f>TEXT(tbl_details5[[#This Row],[Order Date]],"mmm-yy")</f>
        <v>Nov-18</v>
      </c>
      <c r="J720" t="str">
        <f>VLOOKUP(tbl_details5[[#This Row],[Order ID]],Table1[],4,FALSE)</f>
        <v>Abhishek</v>
      </c>
      <c r="K720" t="str">
        <f>VLOOKUP(tbl_details5[[#This Row],[Order ID]],Table1[],5,FALSE)</f>
        <v>Goa</v>
      </c>
      <c r="L720" t="str">
        <f>VLOOKUP(tbl_details5[[#This Row],[Order ID]],Table1[],6,FALSE)</f>
        <v>Goa</v>
      </c>
    </row>
    <row r="721" spans="1:12" x14ac:dyDescent="0.25">
      <c r="A721" t="s">
        <v>511</v>
      </c>
      <c r="B721" s="4">
        <v>916</v>
      </c>
      <c r="C721" s="4">
        <v>192</v>
      </c>
      <c r="D721" s="5">
        <f>tbl_details5[[#This Row],[Profit]]/tbl_details5[[#This Row],[Revenue]]</f>
        <v>0.20960698689956331</v>
      </c>
      <c r="E721">
        <v>11</v>
      </c>
      <c r="F721" t="s">
        <v>888</v>
      </c>
      <c r="G721" t="s">
        <v>890</v>
      </c>
      <c r="H721" s="1">
        <f>VLOOKUP(tbl_details5[[#This Row],[Order ID]],Orders!A:F,2,FALSE)</f>
        <v>43409</v>
      </c>
      <c r="I721" s="1" t="str">
        <f>TEXT(tbl_details5[[#This Row],[Order Date]],"mmm-yy")</f>
        <v>Nov-18</v>
      </c>
      <c r="J721" t="str">
        <f>VLOOKUP(tbl_details5[[#This Row],[Order ID]],Table1[],4,FALSE)</f>
        <v>Abhishek</v>
      </c>
      <c r="K721" t="str">
        <f>VLOOKUP(tbl_details5[[#This Row],[Order ID]],Table1[],5,FALSE)</f>
        <v>Goa</v>
      </c>
      <c r="L721" t="str">
        <f>VLOOKUP(tbl_details5[[#This Row],[Order ID]],Table1[],6,FALSE)</f>
        <v>Goa</v>
      </c>
    </row>
    <row r="722" spans="1:12" x14ac:dyDescent="0.25">
      <c r="A722" t="s">
        <v>511</v>
      </c>
      <c r="B722" s="4">
        <v>485</v>
      </c>
      <c r="C722" s="4">
        <v>199</v>
      </c>
      <c r="D722" s="5">
        <f>tbl_details5[[#This Row],[Profit]]/tbl_details5[[#This Row],[Revenue]]</f>
        <v>0.41030927835051545</v>
      </c>
      <c r="E722">
        <v>4</v>
      </c>
      <c r="F722" t="s">
        <v>885</v>
      </c>
      <c r="G722" t="s">
        <v>891</v>
      </c>
      <c r="H722" s="1">
        <f>VLOOKUP(tbl_details5[[#This Row],[Order ID]],Orders!A:F,2,FALSE)</f>
        <v>43409</v>
      </c>
      <c r="I722" s="1" t="str">
        <f>TEXT(tbl_details5[[#This Row],[Order Date]],"mmm-yy")</f>
        <v>Nov-18</v>
      </c>
      <c r="J722" t="str">
        <f>VLOOKUP(tbl_details5[[#This Row],[Order ID]],Table1[],4,FALSE)</f>
        <v>Abhishek</v>
      </c>
      <c r="K722" t="str">
        <f>VLOOKUP(tbl_details5[[#This Row],[Order ID]],Table1[],5,FALSE)</f>
        <v>Goa</v>
      </c>
      <c r="L722" t="str">
        <f>VLOOKUP(tbl_details5[[#This Row],[Order ID]],Table1[],6,FALSE)</f>
        <v>Goa</v>
      </c>
    </row>
    <row r="723" spans="1:12" x14ac:dyDescent="0.25">
      <c r="A723" t="s">
        <v>512</v>
      </c>
      <c r="B723" s="4">
        <v>10</v>
      </c>
      <c r="C723" s="4">
        <v>2</v>
      </c>
      <c r="D723" s="5">
        <f>tbl_details5[[#This Row],[Profit]]/tbl_details5[[#This Row],[Revenue]]</f>
        <v>0.2</v>
      </c>
      <c r="E723">
        <v>2</v>
      </c>
      <c r="F723" t="s">
        <v>885</v>
      </c>
      <c r="G723" t="s">
        <v>887</v>
      </c>
      <c r="H723" s="1">
        <f>VLOOKUP(tbl_details5[[#This Row],[Order ID]],Orders!A:F,2,FALSE)</f>
        <v>43410</v>
      </c>
      <c r="I723" s="1" t="str">
        <f>TEXT(tbl_details5[[#This Row],[Order Date]],"mmm-yy")</f>
        <v>Nov-18</v>
      </c>
      <c r="J723" t="str">
        <f>VLOOKUP(tbl_details5[[#This Row],[Order ID]],Table1[],4,FALSE)</f>
        <v>Kushal</v>
      </c>
      <c r="K723" t="str">
        <f>VLOOKUP(tbl_details5[[#This Row],[Order ID]],Table1[],5,FALSE)</f>
        <v>Nagaland</v>
      </c>
      <c r="L723" t="str">
        <f>VLOOKUP(tbl_details5[[#This Row],[Order ID]],Table1[],6,FALSE)</f>
        <v>Kohima</v>
      </c>
    </row>
    <row r="724" spans="1:12" x14ac:dyDescent="0.25">
      <c r="A724" t="s">
        <v>512</v>
      </c>
      <c r="B724" s="4">
        <v>300</v>
      </c>
      <c r="C724" s="4">
        <v>42</v>
      </c>
      <c r="D724" s="5">
        <f>tbl_details5[[#This Row],[Profit]]/tbl_details5[[#This Row],[Revenue]]</f>
        <v>0.14000000000000001</v>
      </c>
      <c r="E724">
        <v>2</v>
      </c>
      <c r="F724" t="s">
        <v>888</v>
      </c>
      <c r="G724" t="s">
        <v>899</v>
      </c>
      <c r="H724" s="1">
        <f>VLOOKUP(tbl_details5[[#This Row],[Order ID]],Orders!A:F,2,FALSE)</f>
        <v>43410</v>
      </c>
      <c r="I724" s="1" t="str">
        <f>TEXT(tbl_details5[[#This Row],[Order Date]],"mmm-yy")</f>
        <v>Nov-18</v>
      </c>
      <c r="J724" t="str">
        <f>VLOOKUP(tbl_details5[[#This Row],[Order ID]],Table1[],4,FALSE)</f>
        <v>Kushal</v>
      </c>
      <c r="K724" t="str">
        <f>VLOOKUP(tbl_details5[[#This Row],[Order ID]],Table1[],5,FALSE)</f>
        <v>Nagaland</v>
      </c>
      <c r="L724" t="str">
        <f>VLOOKUP(tbl_details5[[#This Row],[Order ID]],Table1[],6,FALSE)</f>
        <v>Kohima</v>
      </c>
    </row>
    <row r="725" spans="1:12" x14ac:dyDescent="0.25">
      <c r="A725" t="s">
        <v>512</v>
      </c>
      <c r="B725" s="4">
        <v>57</v>
      </c>
      <c r="C725" s="4">
        <v>27</v>
      </c>
      <c r="D725" s="5">
        <f>tbl_details5[[#This Row],[Profit]]/tbl_details5[[#This Row],[Revenue]]</f>
        <v>0.47368421052631576</v>
      </c>
      <c r="E725">
        <v>2</v>
      </c>
      <c r="F725" t="s">
        <v>885</v>
      </c>
      <c r="G725" t="s">
        <v>895</v>
      </c>
      <c r="H725" s="1">
        <f>VLOOKUP(tbl_details5[[#This Row],[Order ID]],Orders!A:F,2,FALSE)</f>
        <v>43410</v>
      </c>
      <c r="I725" s="1" t="str">
        <f>TEXT(tbl_details5[[#This Row],[Order Date]],"mmm-yy")</f>
        <v>Nov-18</v>
      </c>
      <c r="J725" t="str">
        <f>VLOOKUP(tbl_details5[[#This Row],[Order ID]],Table1[],4,FALSE)</f>
        <v>Kushal</v>
      </c>
      <c r="K725" t="str">
        <f>VLOOKUP(tbl_details5[[#This Row],[Order ID]],Table1[],5,FALSE)</f>
        <v>Nagaland</v>
      </c>
      <c r="L725" t="str">
        <f>VLOOKUP(tbl_details5[[#This Row],[Order ID]],Table1[],6,FALSE)</f>
        <v>Kohima</v>
      </c>
    </row>
    <row r="726" spans="1:12" x14ac:dyDescent="0.25">
      <c r="A726" t="s">
        <v>512</v>
      </c>
      <c r="B726" s="4">
        <v>103</v>
      </c>
      <c r="C726" s="4">
        <v>46</v>
      </c>
      <c r="D726" s="5">
        <f>tbl_details5[[#This Row],[Profit]]/tbl_details5[[#This Row],[Revenue]]</f>
        <v>0.44660194174757284</v>
      </c>
      <c r="E726">
        <v>2</v>
      </c>
      <c r="F726" t="s">
        <v>885</v>
      </c>
      <c r="G726" t="s">
        <v>891</v>
      </c>
      <c r="H726" s="1">
        <f>VLOOKUP(tbl_details5[[#This Row],[Order ID]],Orders!A:F,2,FALSE)</f>
        <v>43410</v>
      </c>
      <c r="I726" s="1" t="str">
        <f>TEXT(tbl_details5[[#This Row],[Order Date]],"mmm-yy")</f>
        <v>Nov-18</v>
      </c>
      <c r="J726" t="str">
        <f>VLOOKUP(tbl_details5[[#This Row],[Order ID]],Table1[],4,FALSE)</f>
        <v>Kushal</v>
      </c>
      <c r="K726" t="str">
        <f>VLOOKUP(tbl_details5[[#This Row],[Order ID]],Table1[],5,FALSE)</f>
        <v>Nagaland</v>
      </c>
      <c r="L726" t="str">
        <f>VLOOKUP(tbl_details5[[#This Row],[Order ID]],Table1[],6,FALSE)</f>
        <v>Kohima</v>
      </c>
    </row>
    <row r="727" spans="1:12" x14ac:dyDescent="0.25">
      <c r="A727" t="s">
        <v>512</v>
      </c>
      <c r="B727" s="4">
        <v>336</v>
      </c>
      <c r="C727" s="4">
        <v>71</v>
      </c>
      <c r="D727" s="5">
        <f>tbl_details5[[#This Row],[Profit]]/tbl_details5[[#This Row],[Revenue]]</f>
        <v>0.21130952380952381</v>
      </c>
      <c r="E727">
        <v>3</v>
      </c>
      <c r="F727" t="s">
        <v>883</v>
      </c>
      <c r="G727" t="s">
        <v>884</v>
      </c>
      <c r="H727" s="1">
        <f>VLOOKUP(tbl_details5[[#This Row],[Order ID]],Orders!A:F,2,FALSE)</f>
        <v>43410</v>
      </c>
      <c r="I727" s="1" t="str">
        <f>TEXT(tbl_details5[[#This Row],[Order Date]],"mmm-yy")</f>
        <v>Nov-18</v>
      </c>
      <c r="J727" t="str">
        <f>VLOOKUP(tbl_details5[[#This Row],[Order ID]],Table1[],4,FALSE)</f>
        <v>Kushal</v>
      </c>
      <c r="K727" t="str">
        <f>VLOOKUP(tbl_details5[[#This Row],[Order ID]],Table1[],5,FALSE)</f>
        <v>Nagaland</v>
      </c>
      <c r="L727" t="str">
        <f>VLOOKUP(tbl_details5[[#This Row],[Order ID]],Table1[],6,FALSE)</f>
        <v>Kohima</v>
      </c>
    </row>
    <row r="728" spans="1:12" x14ac:dyDescent="0.25">
      <c r="A728" t="s">
        <v>512</v>
      </c>
      <c r="B728" s="4">
        <v>53</v>
      </c>
      <c r="C728" s="4">
        <v>24</v>
      </c>
      <c r="D728" s="5">
        <f>tbl_details5[[#This Row],[Profit]]/tbl_details5[[#This Row],[Revenue]]</f>
        <v>0.45283018867924529</v>
      </c>
      <c r="E728">
        <v>6</v>
      </c>
      <c r="F728" t="s">
        <v>885</v>
      </c>
      <c r="G728" t="s">
        <v>887</v>
      </c>
      <c r="H728" s="1">
        <f>VLOOKUP(tbl_details5[[#This Row],[Order ID]],Orders!A:F,2,FALSE)</f>
        <v>43410</v>
      </c>
      <c r="I728" s="1" t="str">
        <f>TEXT(tbl_details5[[#This Row],[Order Date]],"mmm-yy")</f>
        <v>Nov-18</v>
      </c>
      <c r="J728" t="str">
        <f>VLOOKUP(tbl_details5[[#This Row],[Order ID]],Table1[],4,FALSE)</f>
        <v>Kushal</v>
      </c>
      <c r="K728" t="str">
        <f>VLOOKUP(tbl_details5[[#This Row],[Order ID]],Table1[],5,FALSE)</f>
        <v>Nagaland</v>
      </c>
      <c r="L728" t="str">
        <f>VLOOKUP(tbl_details5[[#This Row],[Order ID]],Table1[],6,FALSE)</f>
        <v>Kohima</v>
      </c>
    </row>
    <row r="729" spans="1:12" x14ac:dyDescent="0.25">
      <c r="A729" t="s">
        <v>512</v>
      </c>
      <c r="B729" s="4">
        <v>90</v>
      </c>
      <c r="C729" s="4">
        <v>29</v>
      </c>
      <c r="D729" s="5">
        <f>tbl_details5[[#This Row],[Profit]]/tbl_details5[[#This Row],[Revenue]]</f>
        <v>0.32222222222222224</v>
      </c>
      <c r="E729">
        <v>5</v>
      </c>
      <c r="F729" t="s">
        <v>885</v>
      </c>
      <c r="G729" t="s">
        <v>895</v>
      </c>
      <c r="H729" s="1">
        <f>VLOOKUP(tbl_details5[[#This Row],[Order ID]],Orders!A:F,2,FALSE)</f>
        <v>43410</v>
      </c>
      <c r="I729" s="1" t="str">
        <f>TEXT(tbl_details5[[#This Row],[Order Date]],"mmm-yy")</f>
        <v>Nov-18</v>
      </c>
      <c r="J729" t="str">
        <f>VLOOKUP(tbl_details5[[#This Row],[Order ID]],Table1[],4,FALSE)</f>
        <v>Kushal</v>
      </c>
      <c r="K729" t="str">
        <f>VLOOKUP(tbl_details5[[#This Row],[Order ID]],Table1[],5,FALSE)</f>
        <v>Nagaland</v>
      </c>
      <c r="L729" t="str">
        <f>VLOOKUP(tbl_details5[[#This Row],[Order ID]],Table1[],6,FALSE)</f>
        <v>Kohima</v>
      </c>
    </row>
    <row r="730" spans="1:12" x14ac:dyDescent="0.25">
      <c r="A730" t="s">
        <v>512</v>
      </c>
      <c r="B730" s="4">
        <v>62</v>
      </c>
      <c r="C730" s="4">
        <v>1</v>
      </c>
      <c r="D730" s="5">
        <f>tbl_details5[[#This Row],[Profit]]/tbl_details5[[#This Row],[Revenue]]</f>
        <v>1.6129032258064516E-2</v>
      </c>
      <c r="E730">
        <v>3</v>
      </c>
      <c r="F730" t="s">
        <v>885</v>
      </c>
      <c r="G730" t="s">
        <v>891</v>
      </c>
      <c r="H730" s="1">
        <f>VLOOKUP(tbl_details5[[#This Row],[Order ID]],Orders!A:F,2,FALSE)</f>
        <v>43410</v>
      </c>
      <c r="I730" s="1" t="str">
        <f>TEXT(tbl_details5[[#This Row],[Order Date]],"mmm-yy")</f>
        <v>Nov-18</v>
      </c>
      <c r="J730" t="str">
        <f>VLOOKUP(tbl_details5[[#This Row],[Order ID]],Table1[],4,FALSE)</f>
        <v>Kushal</v>
      </c>
      <c r="K730" t="str">
        <f>VLOOKUP(tbl_details5[[#This Row],[Order ID]],Table1[],5,FALSE)</f>
        <v>Nagaland</v>
      </c>
      <c r="L730" t="str">
        <f>VLOOKUP(tbl_details5[[#This Row],[Order ID]],Table1[],6,FALSE)</f>
        <v>Kohima</v>
      </c>
    </row>
    <row r="731" spans="1:12" x14ac:dyDescent="0.25">
      <c r="A731" t="s">
        <v>512</v>
      </c>
      <c r="B731" s="4">
        <v>135</v>
      </c>
      <c r="C731" s="4">
        <v>54</v>
      </c>
      <c r="D731" s="5">
        <f>tbl_details5[[#This Row],[Profit]]/tbl_details5[[#This Row],[Revenue]]</f>
        <v>0.4</v>
      </c>
      <c r="E731">
        <v>5</v>
      </c>
      <c r="F731" t="s">
        <v>885</v>
      </c>
      <c r="G731" t="s">
        <v>894</v>
      </c>
      <c r="H731" s="1">
        <f>VLOOKUP(tbl_details5[[#This Row],[Order ID]],Orders!A:F,2,FALSE)</f>
        <v>43410</v>
      </c>
      <c r="I731" s="1" t="str">
        <f>TEXT(tbl_details5[[#This Row],[Order Date]],"mmm-yy")</f>
        <v>Nov-18</v>
      </c>
      <c r="J731" t="str">
        <f>VLOOKUP(tbl_details5[[#This Row],[Order ID]],Table1[],4,FALSE)</f>
        <v>Kushal</v>
      </c>
      <c r="K731" t="str">
        <f>VLOOKUP(tbl_details5[[#This Row],[Order ID]],Table1[],5,FALSE)</f>
        <v>Nagaland</v>
      </c>
      <c r="L731" t="str">
        <f>VLOOKUP(tbl_details5[[#This Row],[Order ID]],Table1[],6,FALSE)</f>
        <v>Kohima</v>
      </c>
    </row>
    <row r="732" spans="1:12" x14ac:dyDescent="0.25">
      <c r="A732" t="s">
        <v>512</v>
      </c>
      <c r="B732" s="4">
        <v>237</v>
      </c>
      <c r="C732" s="4">
        <v>47</v>
      </c>
      <c r="D732" s="5">
        <f>tbl_details5[[#This Row],[Profit]]/tbl_details5[[#This Row],[Revenue]]</f>
        <v>0.19831223628691982</v>
      </c>
      <c r="E732">
        <v>9</v>
      </c>
      <c r="F732" t="s">
        <v>885</v>
      </c>
      <c r="G732" t="s">
        <v>895</v>
      </c>
      <c r="H732" s="1">
        <f>VLOOKUP(tbl_details5[[#This Row],[Order ID]],Orders!A:F,2,FALSE)</f>
        <v>43410</v>
      </c>
      <c r="I732" s="1" t="str">
        <f>TEXT(tbl_details5[[#This Row],[Order Date]],"mmm-yy")</f>
        <v>Nov-18</v>
      </c>
      <c r="J732" t="str">
        <f>VLOOKUP(tbl_details5[[#This Row],[Order ID]],Table1[],4,FALSE)</f>
        <v>Kushal</v>
      </c>
      <c r="K732" t="str">
        <f>VLOOKUP(tbl_details5[[#This Row],[Order ID]],Table1[],5,FALSE)</f>
        <v>Nagaland</v>
      </c>
      <c r="L732" t="str">
        <f>VLOOKUP(tbl_details5[[#This Row],[Order ID]],Table1[],6,FALSE)</f>
        <v>Kohima</v>
      </c>
    </row>
    <row r="733" spans="1:12" x14ac:dyDescent="0.25">
      <c r="A733" t="s">
        <v>514</v>
      </c>
      <c r="B733" s="4">
        <v>320</v>
      </c>
      <c r="C733" s="4">
        <v>144</v>
      </c>
      <c r="D733" s="5">
        <f>tbl_details5[[#This Row],[Profit]]/tbl_details5[[#This Row],[Revenue]]</f>
        <v>0.45</v>
      </c>
      <c r="E733">
        <v>1</v>
      </c>
      <c r="F733" t="s">
        <v>888</v>
      </c>
      <c r="G733" t="s">
        <v>899</v>
      </c>
      <c r="H733" s="1">
        <f>VLOOKUP(tbl_details5[[#This Row],[Order ID]],Orders!A:F,2,FALSE)</f>
        <v>43411</v>
      </c>
      <c r="I733" s="1" t="str">
        <f>TEXT(tbl_details5[[#This Row],[Order Date]],"mmm-yy")</f>
        <v>Nov-18</v>
      </c>
      <c r="J733" t="str">
        <f>VLOOKUP(tbl_details5[[#This Row],[Order ID]],Table1[],4,FALSE)</f>
        <v>Soumyabrata</v>
      </c>
      <c r="K733" t="str">
        <f>VLOOKUP(tbl_details5[[#This Row],[Order ID]],Table1[],5,FALSE)</f>
        <v>Andhra Pradesh</v>
      </c>
      <c r="L733" t="str">
        <f>VLOOKUP(tbl_details5[[#This Row],[Order ID]],Table1[],6,FALSE)</f>
        <v>Hyderabad</v>
      </c>
    </row>
    <row r="734" spans="1:12" x14ac:dyDescent="0.25">
      <c r="A734" t="s">
        <v>514</v>
      </c>
      <c r="B734" s="4">
        <v>24</v>
      </c>
      <c r="C734" s="4">
        <v>1</v>
      </c>
      <c r="D734" s="5">
        <f>tbl_details5[[#This Row],[Profit]]/tbl_details5[[#This Row],[Revenue]]</f>
        <v>4.1666666666666664E-2</v>
      </c>
      <c r="E734">
        <v>2</v>
      </c>
      <c r="F734" t="s">
        <v>885</v>
      </c>
      <c r="G734" t="s">
        <v>887</v>
      </c>
      <c r="H734" s="1">
        <f>VLOOKUP(tbl_details5[[#This Row],[Order ID]],Orders!A:F,2,FALSE)</f>
        <v>43411</v>
      </c>
      <c r="I734" s="1" t="str">
        <f>TEXT(tbl_details5[[#This Row],[Order Date]],"mmm-yy")</f>
        <v>Nov-18</v>
      </c>
      <c r="J734" t="str">
        <f>VLOOKUP(tbl_details5[[#This Row],[Order ID]],Table1[],4,FALSE)</f>
        <v>Soumyabrata</v>
      </c>
      <c r="K734" t="str">
        <f>VLOOKUP(tbl_details5[[#This Row],[Order ID]],Table1[],5,FALSE)</f>
        <v>Andhra Pradesh</v>
      </c>
      <c r="L734" t="str">
        <f>VLOOKUP(tbl_details5[[#This Row],[Order ID]],Table1[],6,FALSE)</f>
        <v>Hyderabad</v>
      </c>
    </row>
    <row r="735" spans="1:12" x14ac:dyDescent="0.25">
      <c r="A735" t="s">
        <v>514</v>
      </c>
      <c r="B735" s="4">
        <v>45</v>
      </c>
      <c r="C735" s="4">
        <v>12</v>
      </c>
      <c r="D735" s="5">
        <f>tbl_details5[[#This Row],[Profit]]/tbl_details5[[#This Row],[Revenue]]</f>
        <v>0.26666666666666666</v>
      </c>
      <c r="E735">
        <v>4</v>
      </c>
      <c r="F735" t="s">
        <v>885</v>
      </c>
      <c r="G735" t="s">
        <v>887</v>
      </c>
      <c r="H735" s="1">
        <f>VLOOKUP(tbl_details5[[#This Row],[Order ID]],Orders!A:F,2,FALSE)</f>
        <v>43411</v>
      </c>
      <c r="I735" s="1" t="str">
        <f>TEXT(tbl_details5[[#This Row],[Order Date]],"mmm-yy")</f>
        <v>Nov-18</v>
      </c>
      <c r="J735" t="str">
        <f>VLOOKUP(tbl_details5[[#This Row],[Order ID]],Table1[],4,FALSE)</f>
        <v>Soumyabrata</v>
      </c>
      <c r="K735" t="str">
        <f>VLOOKUP(tbl_details5[[#This Row],[Order ID]],Table1[],5,FALSE)</f>
        <v>Andhra Pradesh</v>
      </c>
      <c r="L735" t="str">
        <f>VLOOKUP(tbl_details5[[#This Row],[Order ID]],Table1[],6,FALSE)</f>
        <v>Hyderabad</v>
      </c>
    </row>
    <row r="736" spans="1:12" x14ac:dyDescent="0.25">
      <c r="A736" t="s">
        <v>514</v>
      </c>
      <c r="B736" s="4">
        <v>97</v>
      </c>
      <c r="C736" s="4">
        <v>17</v>
      </c>
      <c r="D736" s="5">
        <f>tbl_details5[[#This Row],[Profit]]/tbl_details5[[#This Row],[Revenue]]</f>
        <v>0.17525773195876287</v>
      </c>
      <c r="E736">
        <v>2</v>
      </c>
      <c r="F736" t="s">
        <v>885</v>
      </c>
      <c r="G736" t="s">
        <v>886</v>
      </c>
      <c r="H736" s="1">
        <f>VLOOKUP(tbl_details5[[#This Row],[Order ID]],Orders!A:F,2,FALSE)</f>
        <v>43411</v>
      </c>
      <c r="I736" s="1" t="str">
        <f>TEXT(tbl_details5[[#This Row],[Order Date]],"mmm-yy")</f>
        <v>Nov-18</v>
      </c>
      <c r="J736" t="str">
        <f>VLOOKUP(tbl_details5[[#This Row],[Order ID]],Table1[],4,FALSE)</f>
        <v>Soumyabrata</v>
      </c>
      <c r="K736" t="str">
        <f>VLOOKUP(tbl_details5[[#This Row],[Order ID]],Table1[],5,FALSE)</f>
        <v>Andhra Pradesh</v>
      </c>
      <c r="L736" t="str">
        <f>VLOOKUP(tbl_details5[[#This Row],[Order ID]],Table1[],6,FALSE)</f>
        <v>Hyderabad</v>
      </c>
    </row>
    <row r="737" spans="1:12" x14ac:dyDescent="0.25">
      <c r="A737" t="s">
        <v>514</v>
      </c>
      <c r="B737" s="4">
        <v>50</v>
      </c>
      <c r="C737" s="4">
        <v>16</v>
      </c>
      <c r="D737" s="5">
        <f>tbl_details5[[#This Row],[Profit]]/tbl_details5[[#This Row],[Revenue]]</f>
        <v>0.32</v>
      </c>
      <c r="E737">
        <v>1</v>
      </c>
      <c r="F737" t="s">
        <v>885</v>
      </c>
      <c r="G737" t="s">
        <v>886</v>
      </c>
      <c r="H737" s="1">
        <f>VLOOKUP(tbl_details5[[#This Row],[Order ID]],Orders!A:F,2,FALSE)</f>
        <v>43411</v>
      </c>
      <c r="I737" s="1" t="str">
        <f>TEXT(tbl_details5[[#This Row],[Order Date]],"mmm-yy")</f>
        <v>Nov-18</v>
      </c>
      <c r="J737" t="str">
        <f>VLOOKUP(tbl_details5[[#This Row],[Order ID]],Table1[],4,FALSE)</f>
        <v>Soumyabrata</v>
      </c>
      <c r="K737" t="str">
        <f>VLOOKUP(tbl_details5[[#This Row],[Order ID]],Table1[],5,FALSE)</f>
        <v>Andhra Pradesh</v>
      </c>
      <c r="L737" t="str">
        <f>VLOOKUP(tbl_details5[[#This Row],[Order ID]],Table1[],6,FALSE)</f>
        <v>Hyderabad</v>
      </c>
    </row>
    <row r="738" spans="1:12" x14ac:dyDescent="0.25">
      <c r="A738" t="s">
        <v>514</v>
      </c>
      <c r="B738" s="4">
        <v>869</v>
      </c>
      <c r="C738" s="4">
        <v>67</v>
      </c>
      <c r="D738" s="5">
        <f>tbl_details5[[#This Row],[Profit]]/tbl_details5[[#This Row],[Revenue]]</f>
        <v>7.7100115074798622E-2</v>
      </c>
      <c r="E738">
        <v>4</v>
      </c>
      <c r="F738" t="s">
        <v>883</v>
      </c>
      <c r="G738" t="s">
        <v>898</v>
      </c>
      <c r="H738" s="1">
        <f>VLOOKUP(tbl_details5[[#This Row],[Order ID]],Orders!A:F,2,FALSE)</f>
        <v>43411</v>
      </c>
      <c r="I738" s="1" t="str">
        <f>TEXT(tbl_details5[[#This Row],[Order Date]],"mmm-yy")</f>
        <v>Nov-18</v>
      </c>
      <c r="J738" t="str">
        <f>VLOOKUP(tbl_details5[[#This Row],[Order ID]],Table1[],4,FALSE)</f>
        <v>Soumyabrata</v>
      </c>
      <c r="K738" t="str">
        <f>VLOOKUP(tbl_details5[[#This Row],[Order ID]],Table1[],5,FALSE)</f>
        <v>Andhra Pradesh</v>
      </c>
      <c r="L738" t="str">
        <f>VLOOKUP(tbl_details5[[#This Row],[Order ID]],Table1[],6,FALSE)</f>
        <v>Hyderabad</v>
      </c>
    </row>
    <row r="739" spans="1:12" x14ac:dyDescent="0.25">
      <c r="A739" t="s">
        <v>514</v>
      </c>
      <c r="B739" s="4">
        <v>105</v>
      </c>
      <c r="C739" s="4">
        <v>33</v>
      </c>
      <c r="D739" s="5">
        <f>tbl_details5[[#This Row],[Profit]]/tbl_details5[[#This Row],[Revenue]]</f>
        <v>0.31428571428571428</v>
      </c>
      <c r="E739">
        <v>5</v>
      </c>
      <c r="F739" t="s">
        <v>885</v>
      </c>
      <c r="G739" t="s">
        <v>894</v>
      </c>
      <c r="H739" s="1">
        <f>VLOOKUP(tbl_details5[[#This Row],[Order ID]],Orders!A:F,2,FALSE)</f>
        <v>43411</v>
      </c>
      <c r="I739" s="1" t="str">
        <f>TEXT(tbl_details5[[#This Row],[Order Date]],"mmm-yy")</f>
        <v>Nov-18</v>
      </c>
      <c r="J739" t="str">
        <f>VLOOKUP(tbl_details5[[#This Row],[Order ID]],Table1[],4,FALSE)</f>
        <v>Soumyabrata</v>
      </c>
      <c r="K739" t="str">
        <f>VLOOKUP(tbl_details5[[#This Row],[Order ID]],Table1[],5,FALSE)</f>
        <v>Andhra Pradesh</v>
      </c>
      <c r="L739" t="str">
        <f>VLOOKUP(tbl_details5[[#This Row],[Order ID]],Table1[],6,FALSE)</f>
        <v>Hyderabad</v>
      </c>
    </row>
    <row r="740" spans="1:12" x14ac:dyDescent="0.25">
      <c r="A740" t="s">
        <v>516</v>
      </c>
      <c r="B740" s="4">
        <v>39</v>
      </c>
      <c r="C740" s="4">
        <v>16</v>
      </c>
      <c r="D740" s="5">
        <f>tbl_details5[[#This Row],[Profit]]/tbl_details5[[#This Row],[Revenue]]</f>
        <v>0.41025641025641024</v>
      </c>
      <c r="E740">
        <v>6</v>
      </c>
      <c r="F740" t="s">
        <v>885</v>
      </c>
      <c r="G740" t="s">
        <v>902</v>
      </c>
      <c r="H740" s="1">
        <f>VLOOKUP(tbl_details5[[#This Row],[Order ID]],Orders!A:F,2,FALSE)</f>
        <v>43412</v>
      </c>
      <c r="I740" s="1" t="str">
        <f>TEXT(tbl_details5[[#This Row],[Order Date]],"mmm-yy")</f>
        <v>Nov-18</v>
      </c>
      <c r="J740" t="str">
        <f>VLOOKUP(tbl_details5[[#This Row],[Order ID]],Table1[],4,FALSE)</f>
        <v>Gaurav</v>
      </c>
      <c r="K740" t="str">
        <f>VLOOKUP(tbl_details5[[#This Row],[Order ID]],Table1[],5,FALSE)</f>
        <v>Gujarat</v>
      </c>
      <c r="L740" t="str">
        <f>VLOOKUP(tbl_details5[[#This Row],[Order ID]],Table1[],6,FALSE)</f>
        <v>Ahmedabad</v>
      </c>
    </row>
    <row r="741" spans="1:12" x14ac:dyDescent="0.25">
      <c r="A741" t="s">
        <v>516</v>
      </c>
      <c r="B741" s="4">
        <v>30</v>
      </c>
      <c r="C741" s="4">
        <v>14</v>
      </c>
      <c r="D741" s="5">
        <f>tbl_details5[[#This Row],[Profit]]/tbl_details5[[#This Row],[Revenue]]</f>
        <v>0.46666666666666667</v>
      </c>
      <c r="E741">
        <v>3</v>
      </c>
      <c r="F741" t="s">
        <v>885</v>
      </c>
      <c r="G741" t="s">
        <v>887</v>
      </c>
      <c r="H741" s="1">
        <f>VLOOKUP(tbl_details5[[#This Row],[Order ID]],Orders!A:F,2,FALSE)</f>
        <v>43412</v>
      </c>
      <c r="I741" s="1" t="str">
        <f>TEXT(tbl_details5[[#This Row],[Order Date]],"mmm-yy")</f>
        <v>Nov-18</v>
      </c>
      <c r="J741" t="str">
        <f>VLOOKUP(tbl_details5[[#This Row],[Order ID]],Table1[],4,FALSE)</f>
        <v>Gaurav</v>
      </c>
      <c r="K741" t="str">
        <f>VLOOKUP(tbl_details5[[#This Row],[Order ID]],Table1[],5,FALSE)</f>
        <v>Gujarat</v>
      </c>
      <c r="L741" t="str">
        <f>VLOOKUP(tbl_details5[[#This Row],[Order ID]],Table1[],6,FALSE)</f>
        <v>Ahmedabad</v>
      </c>
    </row>
    <row r="742" spans="1:12" x14ac:dyDescent="0.25">
      <c r="A742" t="s">
        <v>516</v>
      </c>
      <c r="B742" s="4">
        <v>26</v>
      </c>
      <c r="C742" s="4">
        <v>11</v>
      </c>
      <c r="D742" s="5">
        <f>tbl_details5[[#This Row],[Profit]]/tbl_details5[[#This Row],[Revenue]]</f>
        <v>0.42307692307692307</v>
      </c>
      <c r="E742">
        <v>2</v>
      </c>
      <c r="F742" t="s">
        <v>885</v>
      </c>
      <c r="G742" t="s">
        <v>887</v>
      </c>
      <c r="H742" s="1">
        <f>VLOOKUP(tbl_details5[[#This Row],[Order ID]],Orders!A:F,2,FALSE)</f>
        <v>43412</v>
      </c>
      <c r="I742" s="1" t="str">
        <f>TEXT(tbl_details5[[#This Row],[Order Date]],"mmm-yy")</f>
        <v>Nov-18</v>
      </c>
      <c r="J742" t="str">
        <f>VLOOKUP(tbl_details5[[#This Row],[Order ID]],Table1[],4,FALSE)</f>
        <v>Gaurav</v>
      </c>
      <c r="K742" t="str">
        <f>VLOOKUP(tbl_details5[[#This Row],[Order ID]],Table1[],5,FALSE)</f>
        <v>Gujarat</v>
      </c>
      <c r="L742" t="str">
        <f>VLOOKUP(tbl_details5[[#This Row],[Order ID]],Table1[],6,FALSE)</f>
        <v>Ahmedabad</v>
      </c>
    </row>
    <row r="743" spans="1:12" x14ac:dyDescent="0.25">
      <c r="A743" t="s">
        <v>516</v>
      </c>
      <c r="B743" s="4">
        <v>19</v>
      </c>
      <c r="C743" s="4">
        <v>6</v>
      </c>
      <c r="D743" s="5">
        <f>tbl_details5[[#This Row],[Profit]]/tbl_details5[[#This Row],[Revenue]]</f>
        <v>0.31578947368421051</v>
      </c>
      <c r="E743">
        <v>2</v>
      </c>
      <c r="F743" t="s">
        <v>885</v>
      </c>
      <c r="G743" t="s">
        <v>891</v>
      </c>
      <c r="H743" s="1">
        <f>VLOOKUP(tbl_details5[[#This Row],[Order ID]],Orders!A:F,2,FALSE)</f>
        <v>43412</v>
      </c>
      <c r="I743" s="1" t="str">
        <f>TEXT(tbl_details5[[#This Row],[Order Date]],"mmm-yy")</f>
        <v>Nov-18</v>
      </c>
      <c r="J743" t="str">
        <f>VLOOKUP(tbl_details5[[#This Row],[Order ID]],Table1[],4,FALSE)</f>
        <v>Gaurav</v>
      </c>
      <c r="K743" t="str">
        <f>VLOOKUP(tbl_details5[[#This Row],[Order ID]],Table1[],5,FALSE)</f>
        <v>Gujarat</v>
      </c>
      <c r="L743" t="str">
        <f>VLOOKUP(tbl_details5[[#This Row],[Order ID]],Table1[],6,FALSE)</f>
        <v>Ahmedabad</v>
      </c>
    </row>
    <row r="744" spans="1:12" x14ac:dyDescent="0.25">
      <c r="A744" t="s">
        <v>516</v>
      </c>
      <c r="B744" s="4">
        <v>579</v>
      </c>
      <c r="C744" s="4">
        <v>139</v>
      </c>
      <c r="D744" s="5">
        <f>tbl_details5[[#This Row],[Profit]]/tbl_details5[[#This Row],[Revenue]]</f>
        <v>0.24006908462867013</v>
      </c>
      <c r="E744">
        <v>3</v>
      </c>
      <c r="F744" t="s">
        <v>888</v>
      </c>
      <c r="G744" t="s">
        <v>899</v>
      </c>
      <c r="H744" s="1">
        <f>VLOOKUP(tbl_details5[[#This Row],[Order ID]],Orders!A:F,2,FALSE)</f>
        <v>43412</v>
      </c>
      <c r="I744" s="1" t="str">
        <f>TEXT(tbl_details5[[#This Row],[Order Date]],"mmm-yy")</f>
        <v>Nov-18</v>
      </c>
      <c r="J744" t="str">
        <f>VLOOKUP(tbl_details5[[#This Row],[Order ID]],Table1[],4,FALSE)</f>
        <v>Gaurav</v>
      </c>
      <c r="K744" t="str">
        <f>VLOOKUP(tbl_details5[[#This Row],[Order ID]],Table1[],5,FALSE)</f>
        <v>Gujarat</v>
      </c>
      <c r="L744" t="str">
        <f>VLOOKUP(tbl_details5[[#This Row],[Order ID]],Table1[],6,FALSE)</f>
        <v>Ahmedabad</v>
      </c>
    </row>
    <row r="745" spans="1:12" x14ac:dyDescent="0.25">
      <c r="A745" t="s">
        <v>516</v>
      </c>
      <c r="B745" s="4">
        <v>2093</v>
      </c>
      <c r="C745" s="4">
        <v>721</v>
      </c>
      <c r="D745" s="5">
        <f>tbl_details5[[#This Row],[Profit]]/tbl_details5[[#This Row],[Revenue]]</f>
        <v>0.34448160535117056</v>
      </c>
      <c r="E745">
        <v>5</v>
      </c>
      <c r="F745" t="s">
        <v>883</v>
      </c>
      <c r="G745" t="s">
        <v>893</v>
      </c>
      <c r="H745" s="1">
        <f>VLOOKUP(tbl_details5[[#This Row],[Order ID]],Orders!A:F,2,FALSE)</f>
        <v>43412</v>
      </c>
      <c r="I745" s="1" t="str">
        <f>TEXT(tbl_details5[[#This Row],[Order Date]],"mmm-yy")</f>
        <v>Nov-18</v>
      </c>
      <c r="J745" t="str">
        <f>VLOOKUP(tbl_details5[[#This Row],[Order ID]],Table1[],4,FALSE)</f>
        <v>Gaurav</v>
      </c>
      <c r="K745" t="str">
        <f>VLOOKUP(tbl_details5[[#This Row],[Order ID]],Table1[],5,FALSE)</f>
        <v>Gujarat</v>
      </c>
      <c r="L745" t="str">
        <f>VLOOKUP(tbl_details5[[#This Row],[Order ID]],Table1[],6,FALSE)</f>
        <v>Ahmedabad</v>
      </c>
    </row>
    <row r="746" spans="1:12" x14ac:dyDescent="0.25">
      <c r="A746" t="s">
        <v>516</v>
      </c>
      <c r="B746" s="4">
        <v>95</v>
      </c>
      <c r="C746" s="4">
        <v>11</v>
      </c>
      <c r="D746" s="5">
        <f>tbl_details5[[#This Row],[Profit]]/tbl_details5[[#This Row],[Revenue]]</f>
        <v>0.11578947368421053</v>
      </c>
      <c r="E746">
        <v>4</v>
      </c>
      <c r="F746" t="s">
        <v>883</v>
      </c>
      <c r="G746" t="s">
        <v>901</v>
      </c>
      <c r="H746" s="1">
        <f>VLOOKUP(tbl_details5[[#This Row],[Order ID]],Orders!A:F,2,FALSE)</f>
        <v>43412</v>
      </c>
      <c r="I746" s="1" t="str">
        <f>TEXT(tbl_details5[[#This Row],[Order Date]],"mmm-yy")</f>
        <v>Nov-18</v>
      </c>
      <c r="J746" t="str">
        <f>VLOOKUP(tbl_details5[[#This Row],[Order ID]],Table1[],4,FALSE)</f>
        <v>Gaurav</v>
      </c>
      <c r="K746" t="str">
        <f>VLOOKUP(tbl_details5[[#This Row],[Order ID]],Table1[],5,FALSE)</f>
        <v>Gujarat</v>
      </c>
      <c r="L746" t="str">
        <f>VLOOKUP(tbl_details5[[#This Row],[Order ID]],Table1[],6,FALSE)</f>
        <v>Ahmedabad</v>
      </c>
    </row>
    <row r="747" spans="1:12" x14ac:dyDescent="0.25">
      <c r="A747" t="s">
        <v>516</v>
      </c>
      <c r="B747" s="4">
        <v>128</v>
      </c>
      <c r="C747" s="4">
        <v>4</v>
      </c>
      <c r="D747" s="5">
        <f>tbl_details5[[#This Row],[Profit]]/tbl_details5[[#This Row],[Revenue]]</f>
        <v>3.125E-2</v>
      </c>
      <c r="E747">
        <v>3</v>
      </c>
      <c r="F747" t="s">
        <v>885</v>
      </c>
      <c r="G747" t="s">
        <v>891</v>
      </c>
      <c r="H747" s="1">
        <f>VLOOKUP(tbl_details5[[#This Row],[Order ID]],Orders!A:F,2,FALSE)</f>
        <v>43412</v>
      </c>
      <c r="I747" s="1" t="str">
        <f>TEXT(tbl_details5[[#This Row],[Order Date]],"mmm-yy")</f>
        <v>Nov-18</v>
      </c>
      <c r="J747" t="str">
        <f>VLOOKUP(tbl_details5[[#This Row],[Order ID]],Table1[],4,FALSE)</f>
        <v>Gaurav</v>
      </c>
      <c r="K747" t="str">
        <f>VLOOKUP(tbl_details5[[#This Row],[Order ID]],Table1[],5,FALSE)</f>
        <v>Gujarat</v>
      </c>
      <c r="L747" t="str">
        <f>VLOOKUP(tbl_details5[[#This Row],[Order ID]],Table1[],6,FALSE)</f>
        <v>Ahmedabad</v>
      </c>
    </row>
    <row r="748" spans="1:12" x14ac:dyDescent="0.25">
      <c r="A748" t="s">
        <v>516</v>
      </c>
      <c r="B748" s="4">
        <v>199</v>
      </c>
      <c r="C748" s="4">
        <v>48</v>
      </c>
      <c r="D748" s="5">
        <f>tbl_details5[[#This Row],[Profit]]/tbl_details5[[#This Row],[Revenue]]</f>
        <v>0.24120603015075376</v>
      </c>
      <c r="E748">
        <v>4</v>
      </c>
      <c r="F748" t="s">
        <v>885</v>
      </c>
      <c r="G748" t="s">
        <v>886</v>
      </c>
      <c r="H748" s="1">
        <f>VLOOKUP(tbl_details5[[#This Row],[Order ID]],Orders!A:F,2,FALSE)</f>
        <v>43412</v>
      </c>
      <c r="I748" s="1" t="str">
        <f>TEXT(tbl_details5[[#This Row],[Order Date]],"mmm-yy")</f>
        <v>Nov-18</v>
      </c>
      <c r="J748" t="str">
        <f>VLOOKUP(tbl_details5[[#This Row],[Order ID]],Table1[],4,FALSE)</f>
        <v>Gaurav</v>
      </c>
      <c r="K748" t="str">
        <f>VLOOKUP(tbl_details5[[#This Row],[Order ID]],Table1[],5,FALSE)</f>
        <v>Gujarat</v>
      </c>
      <c r="L748" t="str">
        <f>VLOOKUP(tbl_details5[[#This Row],[Order ID]],Table1[],6,FALSE)</f>
        <v>Ahmedabad</v>
      </c>
    </row>
    <row r="749" spans="1:12" x14ac:dyDescent="0.25">
      <c r="A749" t="s">
        <v>518</v>
      </c>
      <c r="B749" s="4">
        <v>149</v>
      </c>
      <c r="C749" s="4">
        <v>48</v>
      </c>
      <c r="D749" s="5">
        <f>tbl_details5[[#This Row],[Profit]]/tbl_details5[[#This Row],[Revenue]]</f>
        <v>0.32214765100671139</v>
      </c>
      <c r="E749">
        <v>6</v>
      </c>
      <c r="F749" t="s">
        <v>885</v>
      </c>
      <c r="G749" t="s">
        <v>886</v>
      </c>
      <c r="H749" s="1">
        <f>VLOOKUP(tbl_details5[[#This Row],[Order ID]],Orders!A:F,2,FALSE)</f>
        <v>43412</v>
      </c>
      <c r="I749" s="1" t="str">
        <f>TEXT(tbl_details5[[#This Row],[Order Date]],"mmm-yy")</f>
        <v>Nov-18</v>
      </c>
      <c r="J749" t="str">
        <f>VLOOKUP(tbl_details5[[#This Row],[Order ID]],Table1[],4,FALSE)</f>
        <v>Shubham</v>
      </c>
      <c r="K749" t="str">
        <f>VLOOKUP(tbl_details5[[#This Row],[Order ID]],Table1[],5,FALSE)</f>
        <v>Maharashtra</v>
      </c>
      <c r="L749" t="str">
        <f>VLOOKUP(tbl_details5[[#This Row],[Order ID]],Table1[],6,FALSE)</f>
        <v>Pune</v>
      </c>
    </row>
    <row r="750" spans="1:12" x14ac:dyDescent="0.25">
      <c r="A750" t="s">
        <v>518</v>
      </c>
      <c r="B750" s="4">
        <v>436</v>
      </c>
      <c r="C750" s="4">
        <v>131</v>
      </c>
      <c r="D750" s="5">
        <f>tbl_details5[[#This Row],[Profit]]/tbl_details5[[#This Row],[Revenue]]</f>
        <v>0.30045871559633025</v>
      </c>
      <c r="E750">
        <v>9</v>
      </c>
      <c r="F750" t="s">
        <v>885</v>
      </c>
      <c r="G750" t="s">
        <v>887</v>
      </c>
      <c r="H750" s="1">
        <f>VLOOKUP(tbl_details5[[#This Row],[Order ID]],Orders!A:F,2,FALSE)</f>
        <v>43412</v>
      </c>
      <c r="I750" s="1" t="str">
        <f>TEXT(tbl_details5[[#This Row],[Order Date]],"mmm-yy")</f>
        <v>Nov-18</v>
      </c>
      <c r="J750" t="str">
        <f>VLOOKUP(tbl_details5[[#This Row],[Order ID]],Table1[],4,FALSE)</f>
        <v>Shubham</v>
      </c>
      <c r="K750" t="str">
        <f>VLOOKUP(tbl_details5[[#This Row],[Order ID]],Table1[],5,FALSE)</f>
        <v>Maharashtra</v>
      </c>
      <c r="L750" t="str">
        <f>VLOOKUP(tbl_details5[[#This Row],[Order ID]],Table1[],6,FALSE)</f>
        <v>Pune</v>
      </c>
    </row>
    <row r="751" spans="1:12" x14ac:dyDescent="0.25">
      <c r="A751" t="s">
        <v>518</v>
      </c>
      <c r="B751" s="4">
        <v>76</v>
      </c>
      <c r="C751" s="4">
        <v>19</v>
      </c>
      <c r="D751" s="5">
        <f>tbl_details5[[#This Row],[Profit]]/tbl_details5[[#This Row],[Revenue]]</f>
        <v>0.25</v>
      </c>
      <c r="E751">
        <v>3</v>
      </c>
      <c r="F751" t="s">
        <v>885</v>
      </c>
      <c r="G751" t="s">
        <v>887</v>
      </c>
      <c r="H751" s="1">
        <f>VLOOKUP(tbl_details5[[#This Row],[Order ID]],Orders!A:F,2,FALSE)</f>
        <v>43412</v>
      </c>
      <c r="I751" s="1" t="str">
        <f>TEXT(tbl_details5[[#This Row],[Order Date]],"mmm-yy")</f>
        <v>Nov-18</v>
      </c>
      <c r="J751" t="str">
        <f>VLOOKUP(tbl_details5[[#This Row],[Order ID]],Table1[],4,FALSE)</f>
        <v>Shubham</v>
      </c>
      <c r="K751" t="str">
        <f>VLOOKUP(tbl_details5[[#This Row],[Order ID]],Table1[],5,FALSE)</f>
        <v>Maharashtra</v>
      </c>
      <c r="L751" t="str">
        <f>VLOOKUP(tbl_details5[[#This Row],[Order ID]],Table1[],6,FALSE)</f>
        <v>Pune</v>
      </c>
    </row>
    <row r="752" spans="1:12" x14ac:dyDescent="0.25">
      <c r="A752" t="s">
        <v>518</v>
      </c>
      <c r="B752" s="4">
        <v>88</v>
      </c>
      <c r="C752" s="4">
        <v>16</v>
      </c>
      <c r="D752" s="5">
        <f>tbl_details5[[#This Row],[Profit]]/tbl_details5[[#This Row],[Revenue]]</f>
        <v>0.18181818181818182</v>
      </c>
      <c r="E752">
        <v>4</v>
      </c>
      <c r="F752" t="s">
        <v>885</v>
      </c>
      <c r="G752" t="s">
        <v>886</v>
      </c>
      <c r="H752" s="1">
        <f>VLOOKUP(tbl_details5[[#This Row],[Order ID]],Orders!A:F,2,FALSE)</f>
        <v>43412</v>
      </c>
      <c r="I752" s="1" t="str">
        <f>TEXT(tbl_details5[[#This Row],[Order Date]],"mmm-yy")</f>
        <v>Nov-18</v>
      </c>
      <c r="J752" t="str">
        <f>VLOOKUP(tbl_details5[[#This Row],[Order ID]],Table1[],4,FALSE)</f>
        <v>Shubham</v>
      </c>
      <c r="K752" t="str">
        <f>VLOOKUP(tbl_details5[[#This Row],[Order ID]],Table1[],5,FALSE)</f>
        <v>Maharashtra</v>
      </c>
      <c r="L752" t="str">
        <f>VLOOKUP(tbl_details5[[#This Row],[Order ID]],Table1[],6,FALSE)</f>
        <v>Pune</v>
      </c>
    </row>
    <row r="753" spans="1:12" x14ac:dyDescent="0.25">
      <c r="A753" t="s">
        <v>518</v>
      </c>
      <c r="B753" s="4">
        <v>342</v>
      </c>
      <c r="C753" s="4">
        <v>154</v>
      </c>
      <c r="D753" s="5">
        <f>tbl_details5[[#This Row],[Profit]]/tbl_details5[[#This Row],[Revenue]]</f>
        <v>0.45029239766081869</v>
      </c>
      <c r="E753">
        <v>7</v>
      </c>
      <c r="F753" t="s">
        <v>883</v>
      </c>
      <c r="G753" t="s">
        <v>901</v>
      </c>
      <c r="H753" s="1">
        <f>VLOOKUP(tbl_details5[[#This Row],[Order ID]],Orders!A:F,2,FALSE)</f>
        <v>43412</v>
      </c>
      <c r="I753" s="1" t="str">
        <f>TEXT(tbl_details5[[#This Row],[Order Date]],"mmm-yy")</f>
        <v>Nov-18</v>
      </c>
      <c r="J753" t="str">
        <f>VLOOKUP(tbl_details5[[#This Row],[Order ID]],Table1[],4,FALSE)</f>
        <v>Shubham</v>
      </c>
      <c r="K753" t="str">
        <f>VLOOKUP(tbl_details5[[#This Row],[Order ID]],Table1[],5,FALSE)</f>
        <v>Maharashtra</v>
      </c>
      <c r="L753" t="str">
        <f>VLOOKUP(tbl_details5[[#This Row],[Order ID]],Table1[],6,FALSE)</f>
        <v>Pune</v>
      </c>
    </row>
    <row r="754" spans="1:12" x14ac:dyDescent="0.25">
      <c r="A754" t="s">
        <v>518</v>
      </c>
      <c r="B754" s="4">
        <v>40</v>
      </c>
      <c r="C754" s="4">
        <v>16</v>
      </c>
      <c r="D754" s="5">
        <f>tbl_details5[[#This Row],[Profit]]/tbl_details5[[#This Row],[Revenue]]</f>
        <v>0.4</v>
      </c>
      <c r="E754">
        <v>3</v>
      </c>
      <c r="F754" t="s">
        <v>885</v>
      </c>
      <c r="G754" t="s">
        <v>887</v>
      </c>
      <c r="H754" s="1">
        <f>VLOOKUP(tbl_details5[[#This Row],[Order ID]],Orders!A:F,2,FALSE)</f>
        <v>43412</v>
      </c>
      <c r="I754" s="1" t="str">
        <f>TEXT(tbl_details5[[#This Row],[Order Date]],"mmm-yy")</f>
        <v>Nov-18</v>
      </c>
      <c r="J754" t="str">
        <f>VLOOKUP(tbl_details5[[#This Row],[Order ID]],Table1[],4,FALSE)</f>
        <v>Shubham</v>
      </c>
      <c r="K754" t="str">
        <f>VLOOKUP(tbl_details5[[#This Row],[Order ID]],Table1[],5,FALSE)</f>
        <v>Maharashtra</v>
      </c>
      <c r="L754" t="str">
        <f>VLOOKUP(tbl_details5[[#This Row],[Order ID]],Table1[],6,FALSE)</f>
        <v>Pune</v>
      </c>
    </row>
    <row r="755" spans="1:12" x14ac:dyDescent="0.25">
      <c r="A755" t="s">
        <v>518</v>
      </c>
      <c r="B755" s="4">
        <v>53</v>
      </c>
      <c r="C755" s="4">
        <v>-2</v>
      </c>
      <c r="D755" s="5">
        <f>tbl_details5[[#This Row],[Profit]]/tbl_details5[[#This Row],[Revenue]]</f>
        <v>-3.7735849056603772E-2</v>
      </c>
      <c r="E755">
        <v>3</v>
      </c>
      <c r="F755" t="s">
        <v>885</v>
      </c>
      <c r="G755" t="s">
        <v>891</v>
      </c>
      <c r="H755" s="1">
        <f>VLOOKUP(tbl_details5[[#This Row],[Order ID]],Orders!A:F,2,FALSE)</f>
        <v>43412</v>
      </c>
      <c r="I755" s="1" t="str">
        <f>TEXT(tbl_details5[[#This Row],[Order Date]],"mmm-yy")</f>
        <v>Nov-18</v>
      </c>
      <c r="J755" t="str">
        <f>VLOOKUP(tbl_details5[[#This Row],[Order ID]],Table1[],4,FALSE)</f>
        <v>Shubham</v>
      </c>
      <c r="K755" t="str">
        <f>VLOOKUP(tbl_details5[[#This Row],[Order ID]],Table1[],5,FALSE)</f>
        <v>Maharashtra</v>
      </c>
      <c r="L755" t="str">
        <f>VLOOKUP(tbl_details5[[#This Row],[Order ID]],Table1[],6,FALSE)</f>
        <v>Pune</v>
      </c>
    </row>
    <row r="756" spans="1:12" x14ac:dyDescent="0.25">
      <c r="A756" t="s">
        <v>518</v>
      </c>
      <c r="B756" s="4">
        <v>381</v>
      </c>
      <c r="C756" s="4">
        <v>144</v>
      </c>
      <c r="D756" s="5">
        <f>tbl_details5[[#This Row],[Profit]]/tbl_details5[[#This Row],[Revenue]]</f>
        <v>0.37795275590551181</v>
      </c>
      <c r="E756">
        <v>2</v>
      </c>
      <c r="F756" t="s">
        <v>885</v>
      </c>
      <c r="G756" t="s">
        <v>891</v>
      </c>
      <c r="H756" s="1">
        <f>VLOOKUP(tbl_details5[[#This Row],[Order ID]],Orders!A:F,2,FALSE)</f>
        <v>43412</v>
      </c>
      <c r="I756" s="1" t="str">
        <f>TEXT(tbl_details5[[#This Row],[Order Date]],"mmm-yy")</f>
        <v>Nov-18</v>
      </c>
      <c r="J756" t="str">
        <f>VLOOKUP(tbl_details5[[#This Row],[Order ID]],Table1[],4,FALSE)</f>
        <v>Shubham</v>
      </c>
      <c r="K756" t="str">
        <f>VLOOKUP(tbl_details5[[#This Row],[Order ID]],Table1[],5,FALSE)</f>
        <v>Maharashtra</v>
      </c>
      <c r="L756" t="str">
        <f>VLOOKUP(tbl_details5[[#This Row],[Order ID]],Table1[],6,FALSE)</f>
        <v>Pune</v>
      </c>
    </row>
    <row r="757" spans="1:12" x14ac:dyDescent="0.25">
      <c r="A757" t="s">
        <v>519</v>
      </c>
      <c r="B757" s="4">
        <v>829</v>
      </c>
      <c r="C757" s="4">
        <v>19</v>
      </c>
      <c r="D757" s="5">
        <f>tbl_details5[[#This Row],[Profit]]/tbl_details5[[#This Row],[Revenue]]</f>
        <v>2.2919179734620022E-2</v>
      </c>
      <c r="E757">
        <v>4</v>
      </c>
      <c r="F757" t="s">
        <v>888</v>
      </c>
      <c r="G757" t="s">
        <v>899</v>
      </c>
      <c r="H757" s="1">
        <f>VLOOKUP(tbl_details5[[#This Row],[Order ID]],Orders!A:F,2,FALSE)</f>
        <v>43412</v>
      </c>
      <c r="I757" s="1" t="str">
        <f>TEXT(tbl_details5[[#This Row],[Order Date]],"mmm-yy")</f>
        <v>Nov-18</v>
      </c>
      <c r="J757" t="str">
        <f>VLOOKUP(tbl_details5[[#This Row],[Order ID]],Table1[],4,FALSE)</f>
        <v>Abhijeet</v>
      </c>
      <c r="K757" t="str">
        <f>VLOOKUP(tbl_details5[[#This Row],[Order ID]],Table1[],5,FALSE)</f>
        <v>Madhya Pradesh</v>
      </c>
      <c r="L757" t="str">
        <f>VLOOKUP(tbl_details5[[#This Row],[Order ID]],Table1[],6,FALSE)</f>
        <v>Bhopal</v>
      </c>
    </row>
    <row r="758" spans="1:12" x14ac:dyDescent="0.25">
      <c r="A758" t="s">
        <v>519</v>
      </c>
      <c r="B758" s="4">
        <v>442</v>
      </c>
      <c r="C758" s="4">
        <v>31</v>
      </c>
      <c r="D758" s="5">
        <f>tbl_details5[[#This Row],[Profit]]/tbl_details5[[#This Row],[Revenue]]</f>
        <v>7.0135746606334842E-2</v>
      </c>
      <c r="E758">
        <v>2</v>
      </c>
      <c r="F758" t="s">
        <v>888</v>
      </c>
      <c r="G758" t="s">
        <v>889</v>
      </c>
      <c r="H758" s="1">
        <f>VLOOKUP(tbl_details5[[#This Row],[Order ID]],Orders!A:F,2,FALSE)</f>
        <v>43412</v>
      </c>
      <c r="I758" s="1" t="str">
        <f>TEXT(tbl_details5[[#This Row],[Order Date]],"mmm-yy")</f>
        <v>Nov-18</v>
      </c>
      <c r="J758" t="str">
        <f>VLOOKUP(tbl_details5[[#This Row],[Order ID]],Table1[],4,FALSE)</f>
        <v>Abhijeet</v>
      </c>
      <c r="K758" t="str">
        <f>VLOOKUP(tbl_details5[[#This Row],[Order ID]],Table1[],5,FALSE)</f>
        <v>Madhya Pradesh</v>
      </c>
      <c r="L758" t="str">
        <f>VLOOKUP(tbl_details5[[#This Row],[Order ID]],Table1[],6,FALSE)</f>
        <v>Bhopal</v>
      </c>
    </row>
    <row r="759" spans="1:12" x14ac:dyDescent="0.25">
      <c r="A759" t="s">
        <v>519</v>
      </c>
      <c r="B759" s="4">
        <v>90</v>
      </c>
      <c r="C759" s="4">
        <v>17</v>
      </c>
      <c r="D759" s="5">
        <f>tbl_details5[[#This Row],[Profit]]/tbl_details5[[#This Row],[Revenue]]</f>
        <v>0.18888888888888888</v>
      </c>
      <c r="E759">
        <v>3</v>
      </c>
      <c r="F759" t="s">
        <v>885</v>
      </c>
      <c r="G759" t="s">
        <v>887</v>
      </c>
      <c r="H759" s="1">
        <f>VLOOKUP(tbl_details5[[#This Row],[Order ID]],Orders!A:F,2,FALSE)</f>
        <v>43412</v>
      </c>
      <c r="I759" s="1" t="str">
        <f>TEXT(tbl_details5[[#This Row],[Order Date]],"mmm-yy")</f>
        <v>Nov-18</v>
      </c>
      <c r="J759" t="str">
        <f>VLOOKUP(tbl_details5[[#This Row],[Order ID]],Table1[],4,FALSE)</f>
        <v>Abhijeet</v>
      </c>
      <c r="K759" t="str">
        <f>VLOOKUP(tbl_details5[[#This Row],[Order ID]],Table1[],5,FALSE)</f>
        <v>Madhya Pradesh</v>
      </c>
      <c r="L759" t="str">
        <f>VLOOKUP(tbl_details5[[#This Row],[Order ID]],Table1[],6,FALSE)</f>
        <v>Bhopal</v>
      </c>
    </row>
    <row r="760" spans="1:12" x14ac:dyDescent="0.25">
      <c r="A760" t="s">
        <v>519</v>
      </c>
      <c r="B760" s="4">
        <v>98</v>
      </c>
      <c r="C760" s="4">
        <v>12</v>
      </c>
      <c r="D760" s="5">
        <f>tbl_details5[[#This Row],[Profit]]/tbl_details5[[#This Row],[Revenue]]</f>
        <v>0.12244897959183673</v>
      </c>
      <c r="E760">
        <v>2</v>
      </c>
      <c r="F760" t="s">
        <v>885</v>
      </c>
      <c r="G760" t="s">
        <v>887</v>
      </c>
      <c r="H760" s="1">
        <f>VLOOKUP(tbl_details5[[#This Row],[Order ID]],Orders!A:F,2,FALSE)</f>
        <v>43412</v>
      </c>
      <c r="I760" s="1" t="str">
        <f>TEXT(tbl_details5[[#This Row],[Order Date]],"mmm-yy")</f>
        <v>Nov-18</v>
      </c>
      <c r="J760" t="str">
        <f>VLOOKUP(tbl_details5[[#This Row],[Order ID]],Table1[],4,FALSE)</f>
        <v>Abhijeet</v>
      </c>
      <c r="K760" t="str">
        <f>VLOOKUP(tbl_details5[[#This Row],[Order ID]],Table1[],5,FALSE)</f>
        <v>Madhya Pradesh</v>
      </c>
      <c r="L760" t="str">
        <f>VLOOKUP(tbl_details5[[#This Row],[Order ID]],Table1[],6,FALSE)</f>
        <v>Bhopal</v>
      </c>
    </row>
    <row r="761" spans="1:12" x14ac:dyDescent="0.25">
      <c r="A761" t="s">
        <v>519</v>
      </c>
      <c r="B761" s="4">
        <v>61</v>
      </c>
      <c r="C761" s="4">
        <v>30</v>
      </c>
      <c r="D761" s="5">
        <f>tbl_details5[[#This Row],[Profit]]/tbl_details5[[#This Row],[Revenue]]</f>
        <v>0.49180327868852458</v>
      </c>
      <c r="E761">
        <v>2</v>
      </c>
      <c r="F761" t="s">
        <v>885</v>
      </c>
      <c r="G761" t="s">
        <v>887</v>
      </c>
      <c r="H761" s="1">
        <f>VLOOKUP(tbl_details5[[#This Row],[Order ID]],Orders!A:F,2,FALSE)</f>
        <v>43412</v>
      </c>
      <c r="I761" s="1" t="str">
        <f>TEXT(tbl_details5[[#This Row],[Order Date]],"mmm-yy")</f>
        <v>Nov-18</v>
      </c>
      <c r="J761" t="str">
        <f>VLOOKUP(tbl_details5[[#This Row],[Order ID]],Table1[],4,FALSE)</f>
        <v>Abhijeet</v>
      </c>
      <c r="K761" t="str">
        <f>VLOOKUP(tbl_details5[[#This Row],[Order ID]],Table1[],5,FALSE)</f>
        <v>Madhya Pradesh</v>
      </c>
      <c r="L761" t="str">
        <f>VLOOKUP(tbl_details5[[#This Row],[Order ID]],Table1[],6,FALSE)</f>
        <v>Bhopal</v>
      </c>
    </row>
    <row r="762" spans="1:12" x14ac:dyDescent="0.25">
      <c r="A762" t="s">
        <v>519</v>
      </c>
      <c r="B762" s="4">
        <v>1027</v>
      </c>
      <c r="C762" s="4">
        <v>441</v>
      </c>
      <c r="D762" s="5">
        <f>tbl_details5[[#This Row],[Profit]]/tbl_details5[[#This Row],[Revenue]]</f>
        <v>0.42940603700097368</v>
      </c>
      <c r="E762">
        <v>8</v>
      </c>
      <c r="F762" t="s">
        <v>885</v>
      </c>
      <c r="G762" t="s">
        <v>891</v>
      </c>
      <c r="H762" s="1">
        <f>VLOOKUP(tbl_details5[[#This Row],[Order ID]],Orders!A:F,2,FALSE)</f>
        <v>43412</v>
      </c>
      <c r="I762" s="1" t="str">
        <f>TEXT(tbl_details5[[#This Row],[Order Date]],"mmm-yy")</f>
        <v>Nov-18</v>
      </c>
      <c r="J762" t="str">
        <f>VLOOKUP(tbl_details5[[#This Row],[Order ID]],Table1[],4,FALSE)</f>
        <v>Abhijeet</v>
      </c>
      <c r="K762" t="str">
        <f>VLOOKUP(tbl_details5[[#This Row],[Order ID]],Table1[],5,FALSE)</f>
        <v>Madhya Pradesh</v>
      </c>
      <c r="L762" t="str">
        <f>VLOOKUP(tbl_details5[[#This Row],[Order ID]],Table1[],6,FALSE)</f>
        <v>Bhopal</v>
      </c>
    </row>
    <row r="763" spans="1:12" x14ac:dyDescent="0.25">
      <c r="A763" t="s">
        <v>519</v>
      </c>
      <c r="B763" s="4">
        <v>1319</v>
      </c>
      <c r="C763" s="4">
        <v>567</v>
      </c>
      <c r="D763" s="5">
        <f>tbl_details5[[#This Row],[Profit]]/tbl_details5[[#This Row],[Revenue]]</f>
        <v>0.42987111448066717</v>
      </c>
      <c r="E763">
        <v>5</v>
      </c>
      <c r="F763" t="s">
        <v>888</v>
      </c>
      <c r="G763" t="s">
        <v>899</v>
      </c>
      <c r="H763" s="1">
        <f>VLOOKUP(tbl_details5[[#This Row],[Order ID]],Orders!A:F,2,FALSE)</f>
        <v>43412</v>
      </c>
      <c r="I763" s="1" t="str">
        <f>TEXT(tbl_details5[[#This Row],[Order Date]],"mmm-yy")</f>
        <v>Nov-18</v>
      </c>
      <c r="J763" t="str">
        <f>VLOOKUP(tbl_details5[[#This Row],[Order ID]],Table1[],4,FALSE)</f>
        <v>Abhijeet</v>
      </c>
      <c r="K763" t="str">
        <f>VLOOKUP(tbl_details5[[#This Row],[Order ID]],Table1[],5,FALSE)</f>
        <v>Madhya Pradesh</v>
      </c>
      <c r="L763" t="str">
        <f>VLOOKUP(tbl_details5[[#This Row],[Order ID]],Table1[],6,FALSE)</f>
        <v>Bhopal</v>
      </c>
    </row>
    <row r="764" spans="1:12" x14ac:dyDescent="0.25">
      <c r="A764" t="s">
        <v>519</v>
      </c>
      <c r="B764" s="4">
        <v>197</v>
      </c>
      <c r="C764" s="4">
        <v>73</v>
      </c>
      <c r="D764" s="5">
        <f>tbl_details5[[#This Row],[Profit]]/tbl_details5[[#This Row],[Revenue]]</f>
        <v>0.37055837563451777</v>
      </c>
      <c r="E764">
        <v>1</v>
      </c>
      <c r="F764" t="s">
        <v>883</v>
      </c>
      <c r="G764" t="s">
        <v>884</v>
      </c>
      <c r="H764" s="1">
        <f>VLOOKUP(tbl_details5[[#This Row],[Order ID]],Orders!A:F,2,FALSE)</f>
        <v>43412</v>
      </c>
      <c r="I764" s="1" t="str">
        <f>TEXT(tbl_details5[[#This Row],[Order Date]],"mmm-yy")</f>
        <v>Nov-18</v>
      </c>
      <c r="J764" t="str">
        <f>VLOOKUP(tbl_details5[[#This Row],[Order ID]],Table1[],4,FALSE)</f>
        <v>Abhijeet</v>
      </c>
      <c r="K764" t="str">
        <f>VLOOKUP(tbl_details5[[#This Row],[Order ID]],Table1[],5,FALSE)</f>
        <v>Madhya Pradesh</v>
      </c>
      <c r="L764" t="str">
        <f>VLOOKUP(tbl_details5[[#This Row],[Order ID]],Table1[],6,FALSE)</f>
        <v>Bhopal</v>
      </c>
    </row>
    <row r="765" spans="1:12" x14ac:dyDescent="0.25">
      <c r="A765" t="s">
        <v>519</v>
      </c>
      <c r="B765" s="4">
        <v>550</v>
      </c>
      <c r="C765" s="4">
        <v>242</v>
      </c>
      <c r="D765" s="5">
        <f>tbl_details5[[#This Row],[Profit]]/tbl_details5[[#This Row],[Revenue]]</f>
        <v>0.44</v>
      </c>
      <c r="E765">
        <v>5</v>
      </c>
      <c r="F765" t="s">
        <v>883</v>
      </c>
      <c r="G765" t="s">
        <v>901</v>
      </c>
      <c r="H765" s="1">
        <f>VLOOKUP(tbl_details5[[#This Row],[Order ID]],Orders!A:F,2,FALSE)</f>
        <v>43412</v>
      </c>
      <c r="I765" s="1" t="str">
        <f>TEXT(tbl_details5[[#This Row],[Order Date]],"mmm-yy")</f>
        <v>Nov-18</v>
      </c>
      <c r="J765" t="str">
        <f>VLOOKUP(tbl_details5[[#This Row],[Order ID]],Table1[],4,FALSE)</f>
        <v>Abhijeet</v>
      </c>
      <c r="K765" t="str">
        <f>VLOOKUP(tbl_details5[[#This Row],[Order ID]],Table1[],5,FALSE)</f>
        <v>Madhya Pradesh</v>
      </c>
      <c r="L765" t="str">
        <f>VLOOKUP(tbl_details5[[#This Row],[Order ID]],Table1[],6,FALSE)</f>
        <v>Bhopal</v>
      </c>
    </row>
    <row r="766" spans="1:12" x14ac:dyDescent="0.25">
      <c r="A766" t="s">
        <v>521</v>
      </c>
      <c r="B766" s="4">
        <v>74</v>
      </c>
      <c r="C766" s="4">
        <v>29</v>
      </c>
      <c r="D766" s="5">
        <f>tbl_details5[[#This Row],[Profit]]/tbl_details5[[#This Row],[Revenue]]</f>
        <v>0.39189189189189189</v>
      </c>
      <c r="E766">
        <v>3</v>
      </c>
      <c r="F766" t="s">
        <v>885</v>
      </c>
      <c r="G766" t="s">
        <v>886</v>
      </c>
      <c r="H766" s="1">
        <f>VLOOKUP(tbl_details5[[#This Row],[Order ID]],Orders!A:F,2,FALSE)</f>
        <v>43414</v>
      </c>
      <c r="I766" s="1" t="str">
        <f>TEXT(tbl_details5[[#This Row],[Order Date]],"mmm-yy")</f>
        <v>Nov-18</v>
      </c>
      <c r="J766" t="str">
        <f>VLOOKUP(tbl_details5[[#This Row],[Order ID]],Table1[],4,FALSE)</f>
        <v>Abhijeet</v>
      </c>
      <c r="K766" t="str">
        <f>VLOOKUP(tbl_details5[[#This Row],[Order ID]],Table1[],5,FALSE)</f>
        <v>Maharashtra</v>
      </c>
      <c r="L766" t="str">
        <f>VLOOKUP(tbl_details5[[#This Row],[Order ID]],Table1[],6,FALSE)</f>
        <v>Mumbai</v>
      </c>
    </row>
    <row r="767" spans="1:12" x14ac:dyDescent="0.25">
      <c r="A767" t="s">
        <v>521</v>
      </c>
      <c r="B767" s="4">
        <v>10</v>
      </c>
      <c r="C767" s="4">
        <v>2</v>
      </c>
      <c r="D767" s="5">
        <f>tbl_details5[[#This Row],[Profit]]/tbl_details5[[#This Row],[Revenue]]</f>
        <v>0.2</v>
      </c>
      <c r="E767">
        <v>2</v>
      </c>
      <c r="F767" t="s">
        <v>885</v>
      </c>
      <c r="G767" t="s">
        <v>902</v>
      </c>
      <c r="H767" s="1">
        <f>VLOOKUP(tbl_details5[[#This Row],[Order ID]],Orders!A:F,2,FALSE)</f>
        <v>43414</v>
      </c>
      <c r="I767" s="1" t="str">
        <f>TEXT(tbl_details5[[#This Row],[Order Date]],"mmm-yy")</f>
        <v>Nov-18</v>
      </c>
      <c r="J767" t="str">
        <f>VLOOKUP(tbl_details5[[#This Row],[Order ID]],Table1[],4,FALSE)</f>
        <v>Abhijeet</v>
      </c>
      <c r="K767" t="str">
        <f>VLOOKUP(tbl_details5[[#This Row],[Order ID]],Table1[],5,FALSE)</f>
        <v>Maharashtra</v>
      </c>
      <c r="L767" t="str">
        <f>VLOOKUP(tbl_details5[[#This Row],[Order ID]],Table1[],6,FALSE)</f>
        <v>Mumbai</v>
      </c>
    </row>
    <row r="768" spans="1:12" x14ac:dyDescent="0.25">
      <c r="A768" t="s">
        <v>521</v>
      </c>
      <c r="B768" s="4">
        <v>689</v>
      </c>
      <c r="C768" s="4">
        <v>90</v>
      </c>
      <c r="D768" s="5">
        <f>tbl_details5[[#This Row],[Profit]]/tbl_details5[[#This Row],[Revenue]]</f>
        <v>0.13062409288824384</v>
      </c>
      <c r="E768">
        <v>5</v>
      </c>
      <c r="F768" t="s">
        <v>885</v>
      </c>
      <c r="G768" t="s">
        <v>891</v>
      </c>
      <c r="H768" s="1">
        <f>VLOOKUP(tbl_details5[[#This Row],[Order ID]],Orders!A:F,2,FALSE)</f>
        <v>43414</v>
      </c>
      <c r="I768" s="1" t="str">
        <f>TEXT(tbl_details5[[#This Row],[Order Date]],"mmm-yy")</f>
        <v>Nov-18</v>
      </c>
      <c r="J768" t="str">
        <f>VLOOKUP(tbl_details5[[#This Row],[Order ID]],Table1[],4,FALSE)</f>
        <v>Abhijeet</v>
      </c>
      <c r="K768" t="str">
        <f>VLOOKUP(tbl_details5[[#This Row],[Order ID]],Table1[],5,FALSE)</f>
        <v>Maharashtra</v>
      </c>
      <c r="L768" t="str">
        <f>VLOOKUP(tbl_details5[[#This Row],[Order ID]],Table1[],6,FALSE)</f>
        <v>Mumbai</v>
      </c>
    </row>
    <row r="769" spans="1:12" x14ac:dyDescent="0.25">
      <c r="A769" t="s">
        <v>521</v>
      </c>
      <c r="B769" s="4">
        <v>257</v>
      </c>
      <c r="C769" s="4">
        <v>3</v>
      </c>
      <c r="D769" s="5">
        <f>tbl_details5[[#This Row],[Profit]]/tbl_details5[[#This Row],[Revenue]]</f>
        <v>1.1673151750972763E-2</v>
      </c>
      <c r="E769">
        <v>2</v>
      </c>
      <c r="F769" t="s">
        <v>885</v>
      </c>
      <c r="G769" t="s">
        <v>891</v>
      </c>
      <c r="H769" s="1">
        <f>VLOOKUP(tbl_details5[[#This Row],[Order ID]],Orders!A:F,2,FALSE)</f>
        <v>43414</v>
      </c>
      <c r="I769" s="1" t="str">
        <f>TEXT(tbl_details5[[#This Row],[Order Date]],"mmm-yy")</f>
        <v>Nov-18</v>
      </c>
      <c r="J769" t="str">
        <f>VLOOKUP(tbl_details5[[#This Row],[Order ID]],Table1[],4,FALSE)</f>
        <v>Abhijeet</v>
      </c>
      <c r="K769" t="str">
        <f>VLOOKUP(tbl_details5[[#This Row],[Order ID]],Table1[],5,FALSE)</f>
        <v>Maharashtra</v>
      </c>
      <c r="L769" t="str">
        <f>VLOOKUP(tbl_details5[[#This Row],[Order ID]],Table1[],6,FALSE)</f>
        <v>Mumbai</v>
      </c>
    </row>
    <row r="770" spans="1:12" x14ac:dyDescent="0.25">
      <c r="A770" t="s">
        <v>521</v>
      </c>
      <c r="B770" s="4">
        <v>48</v>
      </c>
      <c r="C770" s="4">
        <v>6</v>
      </c>
      <c r="D770" s="5">
        <f>tbl_details5[[#This Row],[Profit]]/tbl_details5[[#This Row],[Revenue]]</f>
        <v>0.125</v>
      </c>
      <c r="E770">
        <v>1</v>
      </c>
      <c r="F770" t="s">
        <v>885</v>
      </c>
      <c r="G770" t="s">
        <v>891</v>
      </c>
      <c r="H770" s="1">
        <f>VLOOKUP(tbl_details5[[#This Row],[Order ID]],Orders!A:F,2,FALSE)</f>
        <v>43414</v>
      </c>
      <c r="I770" s="1" t="str">
        <f>TEXT(tbl_details5[[#This Row],[Order Date]],"mmm-yy")</f>
        <v>Nov-18</v>
      </c>
      <c r="J770" t="str">
        <f>VLOOKUP(tbl_details5[[#This Row],[Order ID]],Table1[],4,FALSE)</f>
        <v>Abhijeet</v>
      </c>
      <c r="K770" t="str">
        <f>VLOOKUP(tbl_details5[[#This Row],[Order ID]],Table1[],5,FALSE)</f>
        <v>Maharashtra</v>
      </c>
      <c r="L770" t="str">
        <f>VLOOKUP(tbl_details5[[#This Row],[Order ID]],Table1[],6,FALSE)</f>
        <v>Mumbai</v>
      </c>
    </row>
    <row r="771" spans="1:12" x14ac:dyDescent="0.25">
      <c r="A771" t="s">
        <v>522</v>
      </c>
      <c r="B771" s="4">
        <v>324</v>
      </c>
      <c r="C771" s="4">
        <v>39</v>
      </c>
      <c r="D771" s="5">
        <f>tbl_details5[[#This Row],[Profit]]/tbl_details5[[#This Row],[Revenue]]</f>
        <v>0.12037037037037036</v>
      </c>
      <c r="E771">
        <v>8</v>
      </c>
      <c r="F771" t="s">
        <v>888</v>
      </c>
      <c r="G771" t="s">
        <v>900</v>
      </c>
      <c r="H771" s="1">
        <f>VLOOKUP(tbl_details5[[#This Row],[Order ID]],Orders!A:F,2,FALSE)</f>
        <v>43414</v>
      </c>
      <c r="I771" s="1" t="str">
        <f>TEXT(tbl_details5[[#This Row],[Order Date]],"mmm-yy")</f>
        <v>Nov-18</v>
      </c>
      <c r="J771" t="str">
        <f>VLOOKUP(tbl_details5[[#This Row],[Order ID]],Table1[],4,FALSE)</f>
        <v>Anand</v>
      </c>
      <c r="K771" t="str">
        <f>VLOOKUP(tbl_details5[[#This Row],[Order ID]],Table1[],5,FALSE)</f>
        <v>Madhya Pradesh</v>
      </c>
      <c r="L771" t="str">
        <f>VLOOKUP(tbl_details5[[#This Row],[Order ID]],Table1[],6,FALSE)</f>
        <v>Indore</v>
      </c>
    </row>
    <row r="772" spans="1:12" x14ac:dyDescent="0.25">
      <c r="A772" t="s">
        <v>522</v>
      </c>
      <c r="B772" s="4">
        <v>598</v>
      </c>
      <c r="C772" s="4">
        <v>166</v>
      </c>
      <c r="D772" s="5">
        <f>tbl_details5[[#This Row],[Profit]]/tbl_details5[[#This Row],[Revenue]]</f>
        <v>0.27759197324414714</v>
      </c>
      <c r="E772">
        <v>4</v>
      </c>
      <c r="F772" t="s">
        <v>883</v>
      </c>
      <c r="G772" t="s">
        <v>884</v>
      </c>
      <c r="H772" s="1">
        <f>VLOOKUP(tbl_details5[[#This Row],[Order ID]],Orders!A:F,2,FALSE)</f>
        <v>43414</v>
      </c>
      <c r="I772" s="1" t="str">
        <f>TEXT(tbl_details5[[#This Row],[Order Date]],"mmm-yy")</f>
        <v>Nov-18</v>
      </c>
      <c r="J772" t="str">
        <f>VLOOKUP(tbl_details5[[#This Row],[Order ID]],Table1[],4,FALSE)</f>
        <v>Anand</v>
      </c>
      <c r="K772" t="str">
        <f>VLOOKUP(tbl_details5[[#This Row],[Order ID]],Table1[],5,FALSE)</f>
        <v>Madhya Pradesh</v>
      </c>
      <c r="L772" t="str">
        <f>VLOOKUP(tbl_details5[[#This Row],[Order ID]],Table1[],6,FALSE)</f>
        <v>Indore</v>
      </c>
    </row>
    <row r="773" spans="1:12" x14ac:dyDescent="0.25">
      <c r="A773" t="s">
        <v>522</v>
      </c>
      <c r="B773" s="4">
        <v>227</v>
      </c>
      <c r="C773" s="4">
        <v>59</v>
      </c>
      <c r="D773" s="5">
        <f>tbl_details5[[#This Row],[Profit]]/tbl_details5[[#This Row],[Revenue]]</f>
        <v>0.25991189427312777</v>
      </c>
      <c r="E773">
        <v>2</v>
      </c>
      <c r="F773" t="s">
        <v>883</v>
      </c>
      <c r="G773" t="s">
        <v>901</v>
      </c>
      <c r="H773" s="1">
        <f>VLOOKUP(tbl_details5[[#This Row],[Order ID]],Orders!A:F,2,FALSE)</f>
        <v>43414</v>
      </c>
      <c r="I773" s="1" t="str">
        <f>TEXT(tbl_details5[[#This Row],[Order Date]],"mmm-yy")</f>
        <v>Nov-18</v>
      </c>
      <c r="J773" t="str">
        <f>VLOOKUP(tbl_details5[[#This Row],[Order ID]],Table1[],4,FALSE)</f>
        <v>Anand</v>
      </c>
      <c r="K773" t="str">
        <f>VLOOKUP(tbl_details5[[#This Row],[Order ID]],Table1[],5,FALSE)</f>
        <v>Madhya Pradesh</v>
      </c>
      <c r="L773" t="str">
        <f>VLOOKUP(tbl_details5[[#This Row],[Order ID]],Table1[],6,FALSE)</f>
        <v>Indore</v>
      </c>
    </row>
    <row r="774" spans="1:12" x14ac:dyDescent="0.25">
      <c r="A774" t="s">
        <v>524</v>
      </c>
      <c r="B774" s="4">
        <v>22</v>
      </c>
      <c r="C774" s="4">
        <v>8</v>
      </c>
      <c r="D774" s="5">
        <f>tbl_details5[[#This Row],[Profit]]/tbl_details5[[#This Row],[Revenue]]</f>
        <v>0.36363636363636365</v>
      </c>
      <c r="E774">
        <v>3</v>
      </c>
      <c r="F774" t="s">
        <v>885</v>
      </c>
      <c r="G774" t="s">
        <v>887</v>
      </c>
      <c r="H774" s="1">
        <f>VLOOKUP(tbl_details5[[#This Row],[Order ID]],Orders!A:F,2,FALSE)</f>
        <v>43417</v>
      </c>
      <c r="I774" s="1" t="str">
        <f>TEXT(tbl_details5[[#This Row],[Order Date]],"mmm-yy")</f>
        <v>Nov-18</v>
      </c>
      <c r="J774" t="str">
        <f>VLOOKUP(tbl_details5[[#This Row],[Order ID]],Table1[],4,FALSE)</f>
        <v>Swapnil</v>
      </c>
      <c r="K774" t="str">
        <f>VLOOKUP(tbl_details5[[#This Row],[Order ID]],Table1[],5,FALSE)</f>
        <v>Maharashtra</v>
      </c>
      <c r="L774" t="str">
        <f>VLOOKUP(tbl_details5[[#This Row],[Order ID]],Table1[],6,FALSE)</f>
        <v>Mumbai</v>
      </c>
    </row>
    <row r="775" spans="1:12" x14ac:dyDescent="0.25">
      <c r="A775" t="s">
        <v>524</v>
      </c>
      <c r="B775" s="4">
        <v>29</v>
      </c>
      <c r="C775" s="4">
        <v>11</v>
      </c>
      <c r="D775" s="5">
        <f>tbl_details5[[#This Row],[Profit]]/tbl_details5[[#This Row],[Revenue]]</f>
        <v>0.37931034482758619</v>
      </c>
      <c r="E775">
        <v>4</v>
      </c>
      <c r="F775" t="s">
        <v>885</v>
      </c>
      <c r="G775" t="s">
        <v>902</v>
      </c>
      <c r="H775" s="1">
        <f>VLOOKUP(tbl_details5[[#This Row],[Order ID]],Orders!A:F,2,FALSE)</f>
        <v>43417</v>
      </c>
      <c r="I775" s="1" t="str">
        <f>TEXT(tbl_details5[[#This Row],[Order Date]],"mmm-yy")</f>
        <v>Nov-18</v>
      </c>
      <c r="J775" t="str">
        <f>VLOOKUP(tbl_details5[[#This Row],[Order ID]],Table1[],4,FALSE)</f>
        <v>Swapnil</v>
      </c>
      <c r="K775" t="str">
        <f>VLOOKUP(tbl_details5[[#This Row],[Order ID]],Table1[],5,FALSE)</f>
        <v>Maharashtra</v>
      </c>
      <c r="L775" t="str">
        <f>VLOOKUP(tbl_details5[[#This Row],[Order ID]],Table1[],6,FALSE)</f>
        <v>Mumbai</v>
      </c>
    </row>
    <row r="776" spans="1:12" x14ac:dyDescent="0.25">
      <c r="A776" t="s">
        <v>524</v>
      </c>
      <c r="B776" s="4">
        <v>27</v>
      </c>
      <c r="C776" s="4">
        <v>5</v>
      </c>
      <c r="D776" s="5">
        <f>tbl_details5[[#This Row],[Profit]]/tbl_details5[[#This Row],[Revenue]]</f>
        <v>0.18518518518518517</v>
      </c>
      <c r="E776">
        <v>2</v>
      </c>
      <c r="F776" t="s">
        <v>885</v>
      </c>
      <c r="G776" t="s">
        <v>902</v>
      </c>
      <c r="H776" s="1">
        <f>VLOOKUP(tbl_details5[[#This Row],[Order ID]],Orders!A:F,2,FALSE)</f>
        <v>43417</v>
      </c>
      <c r="I776" s="1" t="str">
        <f>TEXT(tbl_details5[[#This Row],[Order Date]],"mmm-yy")</f>
        <v>Nov-18</v>
      </c>
      <c r="J776" t="str">
        <f>VLOOKUP(tbl_details5[[#This Row],[Order ID]],Table1[],4,FALSE)</f>
        <v>Swapnil</v>
      </c>
      <c r="K776" t="str">
        <f>VLOOKUP(tbl_details5[[#This Row],[Order ID]],Table1[],5,FALSE)</f>
        <v>Maharashtra</v>
      </c>
      <c r="L776" t="str">
        <f>VLOOKUP(tbl_details5[[#This Row],[Order ID]],Table1[],6,FALSE)</f>
        <v>Mumbai</v>
      </c>
    </row>
    <row r="777" spans="1:12" x14ac:dyDescent="0.25">
      <c r="A777" t="s">
        <v>524</v>
      </c>
      <c r="B777" s="4">
        <v>82</v>
      </c>
      <c r="C777" s="4">
        <v>13</v>
      </c>
      <c r="D777" s="5">
        <f>tbl_details5[[#This Row],[Profit]]/tbl_details5[[#This Row],[Revenue]]</f>
        <v>0.15853658536585366</v>
      </c>
      <c r="E777">
        <v>2</v>
      </c>
      <c r="F777" t="s">
        <v>885</v>
      </c>
      <c r="G777" t="s">
        <v>896</v>
      </c>
      <c r="H777" s="1">
        <f>VLOOKUP(tbl_details5[[#This Row],[Order ID]],Orders!A:F,2,FALSE)</f>
        <v>43417</v>
      </c>
      <c r="I777" s="1" t="str">
        <f>TEXT(tbl_details5[[#This Row],[Order Date]],"mmm-yy")</f>
        <v>Nov-18</v>
      </c>
      <c r="J777" t="str">
        <f>VLOOKUP(tbl_details5[[#This Row],[Order ID]],Table1[],4,FALSE)</f>
        <v>Swapnil</v>
      </c>
      <c r="K777" t="str">
        <f>VLOOKUP(tbl_details5[[#This Row],[Order ID]],Table1[],5,FALSE)</f>
        <v>Maharashtra</v>
      </c>
      <c r="L777" t="str">
        <f>VLOOKUP(tbl_details5[[#This Row],[Order ID]],Table1[],6,FALSE)</f>
        <v>Mumbai</v>
      </c>
    </row>
    <row r="778" spans="1:12" x14ac:dyDescent="0.25">
      <c r="A778" t="s">
        <v>524</v>
      </c>
      <c r="B778" s="4">
        <v>294</v>
      </c>
      <c r="C778" s="4">
        <v>109</v>
      </c>
      <c r="D778" s="5">
        <f>tbl_details5[[#This Row],[Profit]]/tbl_details5[[#This Row],[Revenue]]</f>
        <v>0.37074829931972791</v>
      </c>
      <c r="E778">
        <v>7</v>
      </c>
      <c r="F778" t="s">
        <v>888</v>
      </c>
      <c r="G778" t="s">
        <v>900</v>
      </c>
      <c r="H778" s="1">
        <f>VLOOKUP(tbl_details5[[#This Row],[Order ID]],Orders!A:F,2,FALSE)</f>
        <v>43417</v>
      </c>
      <c r="I778" s="1" t="str">
        <f>TEXT(tbl_details5[[#This Row],[Order Date]],"mmm-yy")</f>
        <v>Nov-18</v>
      </c>
      <c r="J778" t="str">
        <f>VLOOKUP(tbl_details5[[#This Row],[Order ID]],Table1[],4,FALSE)</f>
        <v>Swapnil</v>
      </c>
      <c r="K778" t="str">
        <f>VLOOKUP(tbl_details5[[#This Row],[Order ID]],Table1[],5,FALSE)</f>
        <v>Maharashtra</v>
      </c>
      <c r="L778" t="str">
        <f>VLOOKUP(tbl_details5[[#This Row],[Order ID]],Table1[],6,FALSE)</f>
        <v>Mumbai</v>
      </c>
    </row>
    <row r="779" spans="1:12" x14ac:dyDescent="0.25">
      <c r="A779" t="s">
        <v>524</v>
      </c>
      <c r="B779" s="4">
        <v>16</v>
      </c>
      <c r="C779" s="4">
        <v>0</v>
      </c>
      <c r="D779" s="5">
        <f>tbl_details5[[#This Row],[Profit]]/tbl_details5[[#This Row],[Revenue]]</f>
        <v>0</v>
      </c>
      <c r="E779">
        <v>1</v>
      </c>
      <c r="F779" t="s">
        <v>885</v>
      </c>
      <c r="G779" t="s">
        <v>891</v>
      </c>
      <c r="H779" s="1">
        <f>VLOOKUP(tbl_details5[[#This Row],[Order ID]],Orders!A:F,2,FALSE)</f>
        <v>43417</v>
      </c>
      <c r="I779" s="1" t="str">
        <f>TEXT(tbl_details5[[#This Row],[Order Date]],"mmm-yy")</f>
        <v>Nov-18</v>
      </c>
      <c r="J779" t="str">
        <f>VLOOKUP(tbl_details5[[#This Row],[Order ID]],Table1[],4,FALSE)</f>
        <v>Swapnil</v>
      </c>
      <c r="K779" t="str">
        <f>VLOOKUP(tbl_details5[[#This Row],[Order ID]],Table1[],5,FALSE)</f>
        <v>Maharashtra</v>
      </c>
      <c r="L779" t="str">
        <f>VLOOKUP(tbl_details5[[#This Row],[Order ID]],Table1[],6,FALSE)</f>
        <v>Mumbai</v>
      </c>
    </row>
    <row r="780" spans="1:12" x14ac:dyDescent="0.25">
      <c r="A780" t="s">
        <v>524</v>
      </c>
      <c r="B780" s="4">
        <v>245</v>
      </c>
      <c r="C780" s="4">
        <v>30</v>
      </c>
      <c r="D780" s="5">
        <f>tbl_details5[[#This Row],[Profit]]/tbl_details5[[#This Row],[Revenue]]</f>
        <v>0.12244897959183673</v>
      </c>
      <c r="E780">
        <v>2</v>
      </c>
      <c r="F780" t="s">
        <v>885</v>
      </c>
      <c r="G780" t="s">
        <v>891</v>
      </c>
      <c r="H780" s="1">
        <f>VLOOKUP(tbl_details5[[#This Row],[Order ID]],Orders!A:F,2,FALSE)</f>
        <v>43417</v>
      </c>
      <c r="I780" s="1" t="str">
        <f>TEXT(tbl_details5[[#This Row],[Order Date]],"mmm-yy")</f>
        <v>Nov-18</v>
      </c>
      <c r="J780" t="str">
        <f>VLOOKUP(tbl_details5[[#This Row],[Order ID]],Table1[],4,FALSE)</f>
        <v>Swapnil</v>
      </c>
      <c r="K780" t="str">
        <f>VLOOKUP(tbl_details5[[#This Row],[Order ID]],Table1[],5,FALSE)</f>
        <v>Maharashtra</v>
      </c>
      <c r="L780" t="str">
        <f>VLOOKUP(tbl_details5[[#This Row],[Order ID]],Table1[],6,FALSE)</f>
        <v>Mumbai</v>
      </c>
    </row>
    <row r="781" spans="1:12" x14ac:dyDescent="0.25">
      <c r="A781" t="s">
        <v>524</v>
      </c>
      <c r="B781" s="4">
        <v>223</v>
      </c>
      <c r="C781" s="4">
        <v>27</v>
      </c>
      <c r="D781" s="5">
        <f>tbl_details5[[#This Row],[Profit]]/tbl_details5[[#This Row],[Revenue]]</f>
        <v>0.1210762331838565</v>
      </c>
      <c r="E781">
        <v>2</v>
      </c>
      <c r="F781" t="s">
        <v>883</v>
      </c>
      <c r="G781" t="s">
        <v>884</v>
      </c>
      <c r="H781" s="1">
        <f>VLOOKUP(tbl_details5[[#This Row],[Order ID]],Orders!A:F,2,FALSE)</f>
        <v>43417</v>
      </c>
      <c r="I781" s="1" t="str">
        <f>TEXT(tbl_details5[[#This Row],[Order Date]],"mmm-yy")</f>
        <v>Nov-18</v>
      </c>
      <c r="J781" t="str">
        <f>VLOOKUP(tbl_details5[[#This Row],[Order ID]],Table1[],4,FALSE)</f>
        <v>Swapnil</v>
      </c>
      <c r="K781" t="str">
        <f>VLOOKUP(tbl_details5[[#This Row],[Order ID]],Table1[],5,FALSE)</f>
        <v>Maharashtra</v>
      </c>
      <c r="L781" t="str">
        <f>VLOOKUP(tbl_details5[[#This Row],[Order ID]],Table1[],6,FALSE)</f>
        <v>Mumbai</v>
      </c>
    </row>
    <row r="782" spans="1:12" x14ac:dyDescent="0.25">
      <c r="A782" t="s">
        <v>524</v>
      </c>
      <c r="B782" s="4">
        <v>2457</v>
      </c>
      <c r="C782" s="4">
        <v>665</v>
      </c>
      <c r="D782" s="5">
        <f>tbl_details5[[#This Row],[Profit]]/tbl_details5[[#This Row],[Revenue]]</f>
        <v>0.27065527065527067</v>
      </c>
      <c r="E782">
        <v>11</v>
      </c>
      <c r="F782" t="s">
        <v>888</v>
      </c>
      <c r="G782" t="s">
        <v>889</v>
      </c>
      <c r="H782" s="1">
        <f>VLOOKUP(tbl_details5[[#This Row],[Order ID]],Orders!A:F,2,FALSE)</f>
        <v>43417</v>
      </c>
      <c r="I782" s="1" t="str">
        <f>TEXT(tbl_details5[[#This Row],[Order Date]],"mmm-yy")</f>
        <v>Nov-18</v>
      </c>
      <c r="J782" t="str">
        <f>VLOOKUP(tbl_details5[[#This Row],[Order ID]],Table1[],4,FALSE)</f>
        <v>Swapnil</v>
      </c>
      <c r="K782" t="str">
        <f>VLOOKUP(tbl_details5[[#This Row],[Order ID]],Table1[],5,FALSE)</f>
        <v>Maharashtra</v>
      </c>
      <c r="L782" t="str">
        <f>VLOOKUP(tbl_details5[[#This Row],[Order ID]],Table1[],6,FALSE)</f>
        <v>Mumbai</v>
      </c>
    </row>
    <row r="783" spans="1:12" x14ac:dyDescent="0.25">
      <c r="A783" t="s">
        <v>525</v>
      </c>
      <c r="B783" s="4">
        <v>724</v>
      </c>
      <c r="C783" s="4">
        <v>253</v>
      </c>
      <c r="D783" s="5">
        <f>tbl_details5[[#This Row],[Profit]]/tbl_details5[[#This Row],[Revenue]]</f>
        <v>0.34944751381215472</v>
      </c>
      <c r="E783">
        <v>2</v>
      </c>
      <c r="F783" t="s">
        <v>883</v>
      </c>
      <c r="G783" t="s">
        <v>884</v>
      </c>
      <c r="H783" s="1">
        <f>VLOOKUP(tbl_details5[[#This Row],[Order ID]],Orders!A:F,2,FALSE)</f>
        <v>43418</v>
      </c>
      <c r="I783" s="1" t="str">
        <f>TEXT(tbl_details5[[#This Row],[Order Date]],"mmm-yy")</f>
        <v>Nov-18</v>
      </c>
      <c r="J783" t="str">
        <f>VLOOKUP(tbl_details5[[#This Row],[Order ID]],Table1[],4,FALSE)</f>
        <v>Chikku</v>
      </c>
      <c r="K783" t="str">
        <f>VLOOKUP(tbl_details5[[#This Row],[Order ID]],Table1[],5,FALSE)</f>
        <v>Madhya Pradesh</v>
      </c>
      <c r="L783" t="str">
        <f>VLOOKUP(tbl_details5[[#This Row],[Order ID]],Table1[],6,FALSE)</f>
        <v>Indore</v>
      </c>
    </row>
    <row r="784" spans="1:12" x14ac:dyDescent="0.25">
      <c r="A784" t="s">
        <v>527</v>
      </c>
      <c r="B784" s="4">
        <v>112</v>
      </c>
      <c r="C784" s="4">
        <v>24</v>
      </c>
      <c r="D784" s="5">
        <f>tbl_details5[[#This Row],[Profit]]/tbl_details5[[#This Row],[Revenue]]</f>
        <v>0.21428571428571427</v>
      </c>
      <c r="E784">
        <v>3</v>
      </c>
      <c r="F784" t="s">
        <v>885</v>
      </c>
      <c r="G784" t="s">
        <v>894</v>
      </c>
      <c r="H784" s="1">
        <f>VLOOKUP(tbl_details5[[#This Row],[Order ID]],Orders!A:F,2,FALSE)</f>
        <v>43419</v>
      </c>
      <c r="I784" s="1" t="str">
        <f>TEXT(tbl_details5[[#This Row],[Order Date]],"mmm-yy")</f>
        <v>Nov-18</v>
      </c>
      <c r="J784" t="str">
        <f>VLOOKUP(tbl_details5[[#This Row],[Order ID]],Table1[],4,FALSE)</f>
        <v>Akshay</v>
      </c>
      <c r="K784" t="str">
        <f>VLOOKUP(tbl_details5[[#This Row],[Order ID]],Table1[],5,FALSE)</f>
        <v>Tamil Nadu</v>
      </c>
      <c r="L784" t="str">
        <f>VLOOKUP(tbl_details5[[#This Row],[Order ID]],Table1[],6,FALSE)</f>
        <v>Chennai</v>
      </c>
    </row>
    <row r="785" spans="1:12" x14ac:dyDescent="0.25">
      <c r="A785" t="s">
        <v>528</v>
      </c>
      <c r="B785" s="4">
        <v>128</v>
      </c>
      <c r="C785" s="4">
        <v>4</v>
      </c>
      <c r="D785" s="5">
        <f>tbl_details5[[#This Row],[Profit]]/tbl_details5[[#This Row],[Revenue]]</f>
        <v>3.125E-2</v>
      </c>
      <c r="E785">
        <v>3</v>
      </c>
      <c r="F785" t="s">
        <v>885</v>
      </c>
      <c r="G785" t="s">
        <v>891</v>
      </c>
      <c r="H785" s="1">
        <f>VLOOKUP(tbl_details5[[#This Row],[Order ID]],Orders!A:F,2,FALSE)</f>
        <v>43419</v>
      </c>
      <c r="I785" s="1" t="str">
        <f>TEXT(tbl_details5[[#This Row],[Order Date]],"mmm-yy")</f>
        <v>Nov-18</v>
      </c>
      <c r="J785" t="str">
        <f>VLOOKUP(tbl_details5[[#This Row],[Order ID]],Table1[],4,FALSE)</f>
        <v>Aayush</v>
      </c>
      <c r="K785" t="str">
        <f>VLOOKUP(tbl_details5[[#This Row],[Order ID]],Table1[],5,FALSE)</f>
        <v>Uttar Pradesh</v>
      </c>
      <c r="L785" t="str">
        <f>VLOOKUP(tbl_details5[[#This Row],[Order ID]],Table1[],6,FALSE)</f>
        <v>Lucknow</v>
      </c>
    </row>
    <row r="786" spans="1:12" x14ac:dyDescent="0.25">
      <c r="A786" t="s">
        <v>528</v>
      </c>
      <c r="B786" s="4">
        <v>50</v>
      </c>
      <c r="C786" s="4">
        <v>3</v>
      </c>
      <c r="D786" s="5">
        <f>tbl_details5[[#This Row],[Profit]]/tbl_details5[[#This Row],[Revenue]]</f>
        <v>0.06</v>
      </c>
      <c r="E786">
        <v>2</v>
      </c>
      <c r="F786" t="s">
        <v>885</v>
      </c>
      <c r="G786" t="s">
        <v>886</v>
      </c>
      <c r="H786" s="1">
        <f>VLOOKUP(tbl_details5[[#This Row],[Order ID]],Orders!A:F,2,FALSE)</f>
        <v>43419</v>
      </c>
      <c r="I786" s="1" t="str">
        <f>TEXT(tbl_details5[[#This Row],[Order Date]],"mmm-yy")</f>
        <v>Nov-18</v>
      </c>
      <c r="J786" t="str">
        <f>VLOOKUP(tbl_details5[[#This Row],[Order ID]],Table1[],4,FALSE)</f>
        <v>Aayush</v>
      </c>
      <c r="K786" t="str">
        <f>VLOOKUP(tbl_details5[[#This Row],[Order ID]],Table1[],5,FALSE)</f>
        <v>Uttar Pradesh</v>
      </c>
      <c r="L786" t="str">
        <f>VLOOKUP(tbl_details5[[#This Row],[Order ID]],Table1[],6,FALSE)</f>
        <v>Lucknow</v>
      </c>
    </row>
    <row r="787" spans="1:12" x14ac:dyDescent="0.25">
      <c r="A787" t="s">
        <v>528</v>
      </c>
      <c r="B787" s="4">
        <v>62</v>
      </c>
      <c r="C787" s="4">
        <v>6</v>
      </c>
      <c r="D787" s="5">
        <f>tbl_details5[[#This Row],[Profit]]/tbl_details5[[#This Row],[Revenue]]</f>
        <v>9.6774193548387094E-2</v>
      </c>
      <c r="E787">
        <v>5</v>
      </c>
      <c r="F787" t="s">
        <v>885</v>
      </c>
      <c r="G787" t="s">
        <v>887</v>
      </c>
      <c r="H787" s="1">
        <f>VLOOKUP(tbl_details5[[#This Row],[Order ID]],Orders!A:F,2,FALSE)</f>
        <v>43419</v>
      </c>
      <c r="I787" s="1" t="str">
        <f>TEXT(tbl_details5[[#This Row],[Order Date]],"mmm-yy")</f>
        <v>Nov-18</v>
      </c>
      <c r="J787" t="str">
        <f>VLOOKUP(tbl_details5[[#This Row],[Order ID]],Table1[],4,FALSE)</f>
        <v>Aayush</v>
      </c>
      <c r="K787" t="str">
        <f>VLOOKUP(tbl_details5[[#This Row],[Order ID]],Table1[],5,FALSE)</f>
        <v>Uttar Pradesh</v>
      </c>
      <c r="L787" t="str">
        <f>VLOOKUP(tbl_details5[[#This Row],[Order ID]],Table1[],6,FALSE)</f>
        <v>Lucknow</v>
      </c>
    </row>
    <row r="788" spans="1:12" x14ac:dyDescent="0.25">
      <c r="A788" t="s">
        <v>528</v>
      </c>
      <c r="B788" s="4">
        <v>44</v>
      </c>
      <c r="C788" s="4">
        <v>14</v>
      </c>
      <c r="D788" s="5">
        <f>tbl_details5[[#This Row],[Profit]]/tbl_details5[[#This Row],[Revenue]]</f>
        <v>0.31818181818181818</v>
      </c>
      <c r="E788">
        <v>3</v>
      </c>
      <c r="F788" t="s">
        <v>885</v>
      </c>
      <c r="G788" t="s">
        <v>887</v>
      </c>
      <c r="H788" s="1">
        <f>VLOOKUP(tbl_details5[[#This Row],[Order ID]],Orders!A:F,2,FALSE)</f>
        <v>43419</v>
      </c>
      <c r="I788" s="1" t="str">
        <f>TEXT(tbl_details5[[#This Row],[Order Date]],"mmm-yy")</f>
        <v>Nov-18</v>
      </c>
      <c r="J788" t="str">
        <f>VLOOKUP(tbl_details5[[#This Row],[Order ID]],Table1[],4,FALSE)</f>
        <v>Aayush</v>
      </c>
      <c r="K788" t="str">
        <f>VLOOKUP(tbl_details5[[#This Row],[Order ID]],Table1[],5,FALSE)</f>
        <v>Uttar Pradesh</v>
      </c>
      <c r="L788" t="str">
        <f>VLOOKUP(tbl_details5[[#This Row],[Order ID]],Table1[],6,FALSE)</f>
        <v>Lucknow</v>
      </c>
    </row>
    <row r="789" spans="1:12" x14ac:dyDescent="0.25">
      <c r="A789" t="s">
        <v>528</v>
      </c>
      <c r="B789" s="4">
        <v>56</v>
      </c>
      <c r="C789" s="4">
        <v>18</v>
      </c>
      <c r="D789" s="5">
        <f>tbl_details5[[#This Row],[Profit]]/tbl_details5[[#This Row],[Revenue]]</f>
        <v>0.32142857142857145</v>
      </c>
      <c r="E789">
        <v>2</v>
      </c>
      <c r="F789" t="s">
        <v>885</v>
      </c>
      <c r="G789" t="s">
        <v>887</v>
      </c>
      <c r="H789" s="1">
        <f>VLOOKUP(tbl_details5[[#This Row],[Order ID]],Orders!A:F,2,FALSE)</f>
        <v>43419</v>
      </c>
      <c r="I789" s="1" t="str">
        <f>TEXT(tbl_details5[[#This Row],[Order Date]],"mmm-yy")</f>
        <v>Nov-18</v>
      </c>
      <c r="J789" t="str">
        <f>VLOOKUP(tbl_details5[[#This Row],[Order ID]],Table1[],4,FALSE)</f>
        <v>Aayush</v>
      </c>
      <c r="K789" t="str">
        <f>VLOOKUP(tbl_details5[[#This Row],[Order ID]],Table1[],5,FALSE)</f>
        <v>Uttar Pradesh</v>
      </c>
      <c r="L789" t="str">
        <f>VLOOKUP(tbl_details5[[#This Row],[Order ID]],Table1[],6,FALSE)</f>
        <v>Lucknow</v>
      </c>
    </row>
    <row r="790" spans="1:12" x14ac:dyDescent="0.25">
      <c r="A790" t="s">
        <v>528</v>
      </c>
      <c r="B790" s="4">
        <v>216</v>
      </c>
      <c r="C790" s="4">
        <v>-83</v>
      </c>
      <c r="D790" s="5">
        <f>tbl_details5[[#This Row],[Profit]]/tbl_details5[[#This Row],[Revenue]]</f>
        <v>-0.38425925925925924</v>
      </c>
      <c r="E790">
        <v>3</v>
      </c>
      <c r="F790" t="s">
        <v>888</v>
      </c>
      <c r="G790" t="s">
        <v>889</v>
      </c>
      <c r="H790" s="1">
        <f>VLOOKUP(tbl_details5[[#This Row],[Order ID]],Orders!A:F,2,FALSE)</f>
        <v>43419</v>
      </c>
      <c r="I790" s="1" t="str">
        <f>TEXT(tbl_details5[[#This Row],[Order Date]],"mmm-yy")</f>
        <v>Nov-18</v>
      </c>
      <c r="J790" t="str">
        <f>VLOOKUP(tbl_details5[[#This Row],[Order ID]],Table1[],4,FALSE)</f>
        <v>Aayush</v>
      </c>
      <c r="K790" t="str">
        <f>VLOOKUP(tbl_details5[[#This Row],[Order ID]],Table1[],5,FALSE)</f>
        <v>Uttar Pradesh</v>
      </c>
      <c r="L790" t="str">
        <f>VLOOKUP(tbl_details5[[#This Row],[Order ID]],Table1[],6,FALSE)</f>
        <v>Lucknow</v>
      </c>
    </row>
    <row r="791" spans="1:12" x14ac:dyDescent="0.25">
      <c r="A791" t="s">
        <v>530</v>
      </c>
      <c r="B791" s="4">
        <v>2061</v>
      </c>
      <c r="C791" s="4">
        <v>701</v>
      </c>
      <c r="D791" s="5">
        <f>tbl_details5[[#This Row],[Profit]]/tbl_details5[[#This Row],[Revenue]]</f>
        <v>0.34012615235322657</v>
      </c>
      <c r="E791">
        <v>5</v>
      </c>
      <c r="F791" t="s">
        <v>883</v>
      </c>
      <c r="G791" t="s">
        <v>884</v>
      </c>
      <c r="H791" s="1">
        <f>VLOOKUP(tbl_details5[[#This Row],[Order ID]],Orders!A:F,2,FALSE)</f>
        <v>43419</v>
      </c>
      <c r="I791" s="1" t="str">
        <f>TEXT(tbl_details5[[#This Row],[Order Date]],"mmm-yy")</f>
        <v>Nov-18</v>
      </c>
      <c r="J791" t="str">
        <f>VLOOKUP(tbl_details5[[#This Row],[Order ID]],Table1[],4,FALSE)</f>
        <v>Amol</v>
      </c>
      <c r="K791" t="str">
        <f>VLOOKUP(tbl_details5[[#This Row],[Order ID]],Table1[],5,FALSE)</f>
        <v>Bihar</v>
      </c>
      <c r="L791" t="str">
        <f>VLOOKUP(tbl_details5[[#This Row],[Order ID]],Table1[],6,FALSE)</f>
        <v>Patna</v>
      </c>
    </row>
    <row r="792" spans="1:12" x14ac:dyDescent="0.25">
      <c r="A792" t="s">
        <v>530</v>
      </c>
      <c r="B792" s="4">
        <v>121</v>
      </c>
      <c r="C792" s="4">
        <v>41</v>
      </c>
      <c r="D792" s="5">
        <f>tbl_details5[[#This Row],[Profit]]/tbl_details5[[#This Row],[Revenue]]</f>
        <v>0.33884297520661155</v>
      </c>
      <c r="E792">
        <v>4</v>
      </c>
      <c r="F792" t="s">
        <v>885</v>
      </c>
      <c r="G792" t="s">
        <v>886</v>
      </c>
      <c r="H792" s="1">
        <f>VLOOKUP(tbl_details5[[#This Row],[Order ID]],Orders!A:F,2,FALSE)</f>
        <v>43419</v>
      </c>
      <c r="I792" s="1" t="str">
        <f>TEXT(tbl_details5[[#This Row],[Order Date]],"mmm-yy")</f>
        <v>Nov-18</v>
      </c>
      <c r="J792" t="str">
        <f>VLOOKUP(tbl_details5[[#This Row],[Order ID]],Table1[],4,FALSE)</f>
        <v>Amol</v>
      </c>
      <c r="K792" t="str">
        <f>VLOOKUP(tbl_details5[[#This Row],[Order ID]],Table1[],5,FALSE)</f>
        <v>Bihar</v>
      </c>
      <c r="L792" t="str">
        <f>VLOOKUP(tbl_details5[[#This Row],[Order ID]],Table1[],6,FALSE)</f>
        <v>Patna</v>
      </c>
    </row>
    <row r="793" spans="1:12" x14ac:dyDescent="0.25">
      <c r="A793" t="s">
        <v>530</v>
      </c>
      <c r="B793" s="4">
        <v>80</v>
      </c>
      <c r="C793" s="4">
        <v>3</v>
      </c>
      <c r="D793" s="5">
        <f>tbl_details5[[#This Row],[Profit]]/tbl_details5[[#This Row],[Revenue]]</f>
        <v>3.7499999999999999E-2</v>
      </c>
      <c r="E793">
        <v>3</v>
      </c>
      <c r="F793" t="s">
        <v>885</v>
      </c>
      <c r="G793" t="s">
        <v>886</v>
      </c>
      <c r="H793" s="1">
        <f>VLOOKUP(tbl_details5[[#This Row],[Order ID]],Orders!A:F,2,FALSE)</f>
        <v>43419</v>
      </c>
      <c r="I793" s="1" t="str">
        <f>TEXT(tbl_details5[[#This Row],[Order Date]],"mmm-yy")</f>
        <v>Nov-18</v>
      </c>
      <c r="J793" t="str">
        <f>VLOOKUP(tbl_details5[[#This Row],[Order ID]],Table1[],4,FALSE)</f>
        <v>Amol</v>
      </c>
      <c r="K793" t="str">
        <f>VLOOKUP(tbl_details5[[#This Row],[Order ID]],Table1[],5,FALSE)</f>
        <v>Bihar</v>
      </c>
      <c r="L793" t="str">
        <f>VLOOKUP(tbl_details5[[#This Row],[Order ID]],Table1[],6,FALSE)</f>
        <v>Patna</v>
      </c>
    </row>
    <row r="794" spans="1:12" x14ac:dyDescent="0.25">
      <c r="A794" t="s">
        <v>532</v>
      </c>
      <c r="B794" s="4">
        <v>189</v>
      </c>
      <c r="C794" s="4">
        <v>87</v>
      </c>
      <c r="D794" s="5">
        <f>tbl_details5[[#This Row],[Profit]]/tbl_details5[[#This Row],[Revenue]]</f>
        <v>0.46031746031746029</v>
      </c>
      <c r="E794">
        <v>7</v>
      </c>
      <c r="F794" t="s">
        <v>885</v>
      </c>
      <c r="G794" t="s">
        <v>886</v>
      </c>
      <c r="H794" s="1">
        <f>VLOOKUP(tbl_details5[[#This Row],[Order ID]],Orders!A:F,2,FALSE)</f>
        <v>43419</v>
      </c>
      <c r="I794" s="1" t="str">
        <f>TEXT(tbl_details5[[#This Row],[Order Date]],"mmm-yy")</f>
        <v>Nov-18</v>
      </c>
      <c r="J794" t="str">
        <f>VLOOKUP(tbl_details5[[#This Row],[Order ID]],Table1[],4,FALSE)</f>
        <v>Manibalan</v>
      </c>
      <c r="K794" t="str">
        <f>VLOOKUP(tbl_details5[[#This Row],[Order ID]],Table1[],5,FALSE)</f>
        <v xml:space="preserve">Kerala </v>
      </c>
      <c r="L794" t="str">
        <f>VLOOKUP(tbl_details5[[#This Row],[Order ID]],Table1[],6,FALSE)</f>
        <v>Thiruvananthapuram</v>
      </c>
    </row>
    <row r="795" spans="1:12" x14ac:dyDescent="0.25">
      <c r="A795" t="s">
        <v>534</v>
      </c>
      <c r="B795" s="4">
        <v>100</v>
      </c>
      <c r="C795" s="4">
        <v>6</v>
      </c>
      <c r="D795" s="5">
        <f>tbl_details5[[#This Row],[Profit]]/tbl_details5[[#This Row],[Revenue]]</f>
        <v>0.06</v>
      </c>
      <c r="E795">
        <v>4</v>
      </c>
      <c r="F795" t="s">
        <v>885</v>
      </c>
      <c r="G795" t="s">
        <v>886</v>
      </c>
      <c r="H795" s="1">
        <f>VLOOKUP(tbl_details5[[#This Row],[Order ID]],Orders!A:F,2,FALSE)</f>
        <v>43419</v>
      </c>
      <c r="I795" s="1" t="str">
        <f>TEXT(tbl_details5[[#This Row],[Order Date]],"mmm-yy")</f>
        <v>Nov-18</v>
      </c>
      <c r="J795" t="str">
        <f>VLOOKUP(tbl_details5[[#This Row],[Order ID]],Table1[],4,FALSE)</f>
        <v>Aromal</v>
      </c>
      <c r="K795" t="str">
        <f>VLOOKUP(tbl_details5[[#This Row],[Order ID]],Table1[],5,FALSE)</f>
        <v>Maharashtra</v>
      </c>
      <c r="L795" t="str">
        <f>VLOOKUP(tbl_details5[[#This Row],[Order ID]],Table1[],6,FALSE)</f>
        <v>Mumbai</v>
      </c>
    </row>
    <row r="796" spans="1:12" x14ac:dyDescent="0.25">
      <c r="A796" t="s">
        <v>534</v>
      </c>
      <c r="B796" s="4">
        <v>17</v>
      </c>
      <c r="C796" s="4">
        <v>5</v>
      </c>
      <c r="D796" s="5">
        <f>tbl_details5[[#This Row],[Profit]]/tbl_details5[[#This Row],[Revenue]]</f>
        <v>0.29411764705882354</v>
      </c>
      <c r="E796">
        <v>1</v>
      </c>
      <c r="F796" t="s">
        <v>885</v>
      </c>
      <c r="G796" t="s">
        <v>887</v>
      </c>
      <c r="H796" s="1">
        <f>VLOOKUP(tbl_details5[[#This Row],[Order ID]],Orders!A:F,2,FALSE)</f>
        <v>43419</v>
      </c>
      <c r="I796" s="1" t="str">
        <f>TEXT(tbl_details5[[#This Row],[Order Date]],"mmm-yy")</f>
        <v>Nov-18</v>
      </c>
      <c r="J796" t="str">
        <f>VLOOKUP(tbl_details5[[#This Row],[Order ID]],Table1[],4,FALSE)</f>
        <v>Aromal</v>
      </c>
      <c r="K796" t="str">
        <f>VLOOKUP(tbl_details5[[#This Row],[Order ID]],Table1[],5,FALSE)</f>
        <v>Maharashtra</v>
      </c>
      <c r="L796" t="str">
        <f>VLOOKUP(tbl_details5[[#This Row],[Order ID]],Table1[],6,FALSE)</f>
        <v>Mumbai</v>
      </c>
    </row>
    <row r="797" spans="1:12" x14ac:dyDescent="0.25">
      <c r="A797" t="s">
        <v>534</v>
      </c>
      <c r="B797" s="4">
        <v>22</v>
      </c>
      <c r="C797" s="4">
        <v>8</v>
      </c>
      <c r="D797" s="5">
        <f>tbl_details5[[#This Row],[Profit]]/tbl_details5[[#This Row],[Revenue]]</f>
        <v>0.36363636363636365</v>
      </c>
      <c r="E797">
        <v>2</v>
      </c>
      <c r="F797" t="s">
        <v>885</v>
      </c>
      <c r="G797" t="s">
        <v>897</v>
      </c>
      <c r="H797" s="1">
        <f>VLOOKUP(tbl_details5[[#This Row],[Order ID]],Orders!A:F,2,FALSE)</f>
        <v>43419</v>
      </c>
      <c r="I797" s="1" t="str">
        <f>TEXT(tbl_details5[[#This Row],[Order Date]],"mmm-yy")</f>
        <v>Nov-18</v>
      </c>
      <c r="J797" t="str">
        <f>VLOOKUP(tbl_details5[[#This Row],[Order ID]],Table1[],4,FALSE)</f>
        <v>Aromal</v>
      </c>
      <c r="K797" t="str">
        <f>VLOOKUP(tbl_details5[[#This Row],[Order ID]],Table1[],5,FALSE)</f>
        <v>Maharashtra</v>
      </c>
      <c r="L797" t="str">
        <f>VLOOKUP(tbl_details5[[#This Row],[Order ID]],Table1[],6,FALSE)</f>
        <v>Mumbai</v>
      </c>
    </row>
    <row r="798" spans="1:12" x14ac:dyDescent="0.25">
      <c r="A798" t="s">
        <v>534</v>
      </c>
      <c r="B798" s="4">
        <v>27</v>
      </c>
      <c r="C798" s="4">
        <v>9</v>
      </c>
      <c r="D798" s="5">
        <f>tbl_details5[[#This Row],[Profit]]/tbl_details5[[#This Row],[Revenue]]</f>
        <v>0.33333333333333331</v>
      </c>
      <c r="E798">
        <v>2</v>
      </c>
      <c r="F798" t="s">
        <v>885</v>
      </c>
      <c r="G798" t="s">
        <v>887</v>
      </c>
      <c r="H798" s="1">
        <f>VLOOKUP(tbl_details5[[#This Row],[Order ID]],Orders!A:F,2,FALSE)</f>
        <v>43419</v>
      </c>
      <c r="I798" s="1" t="str">
        <f>TEXT(tbl_details5[[#This Row],[Order Date]],"mmm-yy")</f>
        <v>Nov-18</v>
      </c>
      <c r="J798" t="str">
        <f>VLOOKUP(tbl_details5[[#This Row],[Order ID]],Table1[],4,FALSE)</f>
        <v>Aromal</v>
      </c>
      <c r="K798" t="str">
        <f>VLOOKUP(tbl_details5[[#This Row],[Order ID]],Table1[],5,FALSE)</f>
        <v>Maharashtra</v>
      </c>
      <c r="L798" t="str">
        <f>VLOOKUP(tbl_details5[[#This Row],[Order ID]],Table1[],6,FALSE)</f>
        <v>Mumbai</v>
      </c>
    </row>
    <row r="799" spans="1:12" x14ac:dyDescent="0.25">
      <c r="A799" t="s">
        <v>536</v>
      </c>
      <c r="B799" s="4">
        <v>85</v>
      </c>
      <c r="C799" s="4">
        <v>-1</v>
      </c>
      <c r="D799" s="5">
        <f>tbl_details5[[#This Row],[Profit]]/tbl_details5[[#This Row],[Revenue]]</f>
        <v>-1.1764705882352941E-2</v>
      </c>
      <c r="E799">
        <v>3</v>
      </c>
      <c r="F799" t="s">
        <v>885</v>
      </c>
      <c r="G799" t="s">
        <v>891</v>
      </c>
      <c r="H799" s="1">
        <f>VLOOKUP(tbl_details5[[#This Row],[Order ID]],Orders!A:F,2,FALSE)</f>
        <v>43419</v>
      </c>
      <c r="I799" s="1" t="str">
        <f>TEXT(tbl_details5[[#This Row],[Order Date]],"mmm-yy")</f>
        <v>Nov-18</v>
      </c>
      <c r="J799" t="str">
        <f>VLOOKUP(tbl_details5[[#This Row],[Order ID]],Table1[],4,FALSE)</f>
        <v>Arun</v>
      </c>
      <c r="K799" t="str">
        <f>VLOOKUP(tbl_details5[[#This Row],[Order ID]],Table1[],5,FALSE)</f>
        <v>Madhya Pradesh</v>
      </c>
      <c r="L799" t="str">
        <f>VLOOKUP(tbl_details5[[#This Row],[Order ID]],Table1[],6,FALSE)</f>
        <v>Indore</v>
      </c>
    </row>
    <row r="800" spans="1:12" x14ac:dyDescent="0.25">
      <c r="A800" t="s">
        <v>538</v>
      </c>
      <c r="B800" s="4">
        <v>51</v>
      </c>
      <c r="C800" s="4">
        <v>14</v>
      </c>
      <c r="D800" s="5">
        <f>tbl_details5[[#This Row],[Profit]]/tbl_details5[[#This Row],[Revenue]]</f>
        <v>0.27450980392156865</v>
      </c>
      <c r="E800">
        <v>2</v>
      </c>
      <c r="F800" t="s">
        <v>885</v>
      </c>
      <c r="G800" t="s">
        <v>886</v>
      </c>
      <c r="H800" s="1">
        <f>VLOOKUP(tbl_details5[[#This Row],[Order ID]],Orders!A:F,2,FALSE)</f>
        <v>43420</v>
      </c>
      <c r="I800" s="1" t="str">
        <f>TEXT(tbl_details5[[#This Row],[Order Date]],"mmm-yy")</f>
        <v>Nov-18</v>
      </c>
      <c r="J800" t="str">
        <f>VLOOKUP(tbl_details5[[#This Row],[Order ID]],Table1[],4,FALSE)</f>
        <v>Komal</v>
      </c>
      <c r="K800" t="str">
        <f>VLOOKUP(tbl_details5[[#This Row],[Order ID]],Table1[],5,FALSE)</f>
        <v>Himachal Pradesh</v>
      </c>
      <c r="L800" t="str">
        <f>VLOOKUP(tbl_details5[[#This Row],[Order ID]],Table1[],6,FALSE)</f>
        <v>Simla</v>
      </c>
    </row>
    <row r="801" spans="1:12" x14ac:dyDescent="0.25">
      <c r="A801" t="s">
        <v>540</v>
      </c>
      <c r="B801" s="4">
        <v>31</v>
      </c>
      <c r="C801" s="4">
        <v>14</v>
      </c>
      <c r="D801" s="5">
        <f>tbl_details5[[#This Row],[Profit]]/tbl_details5[[#This Row],[Revenue]]</f>
        <v>0.45161290322580644</v>
      </c>
      <c r="E801">
        <v>3</v>
      </c>
      <c r="F801" t="s">
        <v>885</v>
      </c>
      <c r="G801" t="s">
        <v>886</v>
      </c>
      <c r="H801" s="1">
        <f>VLOOKUP(tbl_details5[[#This Row],[Order ID]],Orders!A:F,2,FALSE)</f>
        <v>43421</v>
      </c>
      <c r="I801" s="1" t="str">
        <f>TEXT(tbl_details5[[#This Row],[Order Date]],"mmm-yy")</f>
        <v>Nov-18</v>
      </c>
      <c r="J801" t="str">
        <f>VLOOKUP(tbl_details5[[#This Row],[Order ID]],Table1[],4,FALSE)</f>
        <v>Ankit</v>
      </c>
      <c r="K801" t="str">
        <f>VLOOKUP(tbl_details5[[#This Row],[Order ID]],Table1[],5,FALSE)</f>
        <v>Sikkim</v>
      </c>
      <c r="L801" t="str">
        <f>VLOOKUP(tbl_details5[[#This Row],[Order ID]],Table1[],6,FALSE)</f>
        <v>Gangtok</v>
      </c>
    </row>
    <row r="802" spans="1:12" x14ac:dyDescent="0.25">
      <c r="A802" t="s">
        <v>540</v>
      </c>
      <c r="B802" s="4">
        <v>240</v>
      </c>
      <c r="C802" s="4">
        <v>12</v>
      </c>
      <c r="D802" s="5">
        <f>tbl_details5[[#This Row],[Profit]]/tbl_details5[[#This Row],[Revenue]]</f>
        <v>0.05</v>
      </c>
      <c r="E802">
        <v>6</v>
      </c>
      <c r="F802" t="s">
        <v>885</v>
      </c>
      <c r="G802" t="s">
        <v>894</v>
      </c>
      <c r="H802" s="1">
        <f>VLOOKUP(tbl_details5[[#This Row],[Order ID]],Orders!A:F,2,FALSE)</f>
        <v>43421</v>
      </c>
      <c r="I802" s="1" t="str">
        <f>TEXT(tbl_details5[[#This Row],[Order Date]],"mmm-yy")</f>
        <v>Nov-18</v>
      </c>
      <c r="J802" t="str">
        <f>VLOOKUP(tbl_details5[[#This Row],[Order ID]],Table1[],4,FALSE)</f>
        <v>Ankit</v>
      </c>
      <c r="K802" t="str">
        <f>VLOOKUP(tbl_details5[[#This Row],[Order ID]],Table1[],5,FALSE)</f>
        <v>Sikkim</v>
      </c>
      <c r="L802" t="str">
        <f>VLOOKUP(tbl_details5[[#This Row],[Order ID]],Table1[],6,FALSE)</f>
        <v>Gangtok</v>
      </c>
    </row>
    <row r="803" spans="1:12" x14ac:dyDescent="0.25">
      <c r="A803" t="s">
        <v>540</v>
      </c>
      <c r="B803" s="4">
        <v>163</v>
      </c>
      <c r="C803" s="4">
        <v>26</v>
      </c>
      <c r="D803" s="5">
        <f>tbl_details5[[#This Row],[Profit]]/tbl_details5[[#This Row],[Revenue]]</f>
        <v>0.15950920245398773</v>
      </c>
      <c r="E803">
        <v>4</v>
      </c>
      <c r="F803" t="s">
        <v>885</v>
      </c>
      <c r="G803" t="s">
        <v>896</v>
      </c>
      <c r="H803" s="1">
        <f>VLOOKUP(tbl_details5[[#This Row],[Order ID]],Orders!A:F,2,FALSE)</f>
        <v>43421</v>
      </c>
      <c r="I803" s="1" t="str">
        <f>TEXT(tbl_details5[[#This Row],[Order Date]],"mmm-yy")</f>
        <v>Nov-18</v>
      </c>
      <c r="J803" t="str">
        <f>VLOOKUP(tbl_details5[[#This Row],[Order ID]],Table1[],4,FALSE)</f>
        <v>Ankit</v>
      </c>
      <c r="K803" t="str">
        <f>VLOOKUP(tbl_details5[[#This Row],[Order ID]],Table1[],5,FALSE)</f>
        <v>Sikkim</v>
      </c>
      <c r="L803" t="str">
        <f>VLOOKUP(tbl_details5[[#This Row],[Order ID]],Table1[],6,FALSE)</f>
        <v>Gangtok</v>
      </c>
    </row>
    <row r="804" spans="1:12" x14ac:dyDescent="0.25">
      <c r="A804" t="s">
        <v>541</v>
      </c>
      <c r="B804" s="4">
        <v>170</v>
      </c>
      <c r="C804" s="4">
        <v>73</v>
      </c>
      <c r="D804" s="5">
        <f>tbl_details5[[#This Row],[Profit]]/tbl_details5[[#This Row],[Revenue]]</f>
        <v>0.42941176470588233</v>
      </c>
      <c r="E804">
        <v>2</v>
      </c>
      <c r="F804" t="s">
        <v>888</v>
      </c>
      <c r="G804" t="s">
        <v>900</v>
      </c>
      <c r="H804" s="1">
        <f>VLOOKUP(tbl_details5[[#This Row],[Order ID]],Orders!A:F,2,FALSE)</f>
        <v>43422</v>
      </c>
      <c r="I804" s="1" t="str">
        <f>TEXT(tbl_details5[[#This Row],[Order Date]],"mmm-yy")</f>
        <v>Nov-18</v>
      </c>
      <c r="J804" t="str">
        <f>VLOOKUP(tbl_details5[[#This Row],[Order ID]],Table1[],4,FALSE)</f>
        <v>Vikash</v>
      </c>
      <c r="K804" t="str">
        <f>VLOOKUP(tbl_details5[[#This Row],[Order ID]],Table1[],5,FALSE)</f>
        <v>Goa</v>
      </c>
      <c r="L804" t="str">
        <f>VLOOKUP(tbl_details5[[#This Row],[Order ID]],Table1[],6,FALSE)</f>
        <v>Goa</v>
      </c>
    </row>
    <row r="805" spans="1:12" x14ac:dyDescent="0.25">
      <c r="A805" t="s">
        <v>541</v>
      </c>
      <c r="B805" s="4">
        <v>62</v>
      </c>
      <c r="C805" s="4">
        <v>-1</v>
      </c>
      <c r="D805" s="5">
        <f>tbl_details5[[#This Row],[Profit]]/tbl_details5[[#This Row],[Revenue]]</f>
        <v>-1.6129032258064516E-2</v>
      </c>
      <c r="E805">
        <v>1</v>
      </c>
      <c r="F805" t="s">
        <v>888</v>
      </c>
      <c r="G805" t="s">
        <v>890</v>
      </c>
      <c r="H805" s="1">
        <f>VLOOKUP(tbl_details5[[#This Row],[Order ID]],Orders!A:F,2,FALSE)</f>
        <v>43422</v>
      </c>
      <c r="I805" s="1" t="str">
        <f>TEXT(tbl_details5[[#This Row],[Order Date]],"mmm-yy")</f>
        <v>Nov-18</v>
      </c>
      <c r="J805" t="str">
        <f>VLOOKUP(tbl_details5[[#This Row],[Order ID]],Table1[],4,FALSE)</f>
        <v>Vikash</v>
      </c>
      <c r="K805" t="str">
        <f>VLOOKUP(tbl_details5[[#This Row],[Order ID]],Table1[],5,FALSE)</f>
        <v>Goa</v>
      </c>
      <c r="L805" t="str">
        <f>VLOOKUP(tbl_details5[[#This Row],[Order ID]],Table1[],6,FALSE)</f>
        <v>Goa</v>
      </c>
    </row>
    <row r="806" spans="1:12" x14ac:dyDescent="0.25">
      <c r="A806" t="s">
        <v>541</v>
      </c>
      <c r="B806" s="4">
        <v>1118</v>
      </c>
      <c r="C806" s="4">
        <v>206</v>
      </c>
      <c r="D806" s="5">
        <f>tbl_details5[[#This Row],[Profit]]/tbl_details5[[#This Row],[Revenue]]</f>
        <v>0.18425760286225404</v>
      </c>
      <c r="E806">
        <v>2</v>
      </c>
      <c r="F806" t="s">
        <v>883</v>
      </c>
      <c r="G806" t="s">
        <v>898</v>
      </c>
      <c r="H806" s="1">
        <f>VLOOKUP(tbl_details5[[#This Row],[Order ID]],Orders!A:F,2,FALSE)</f>
        <v>43422</v>
      </c>
      <c r="I806" s="1" t="str">
        <f>TEXT(tbl_details5[[#This Row],[Order Date]],"mmm-yy")</f>
        <v>Nov-18</v>
      </c>
      <c r="J806" t="str">
        <f>VLOOKUP(tbl_details5[[#This Row],[Order ID]],Table1[],4,FALSE)</f>
        <v>Vikash</v>
      </c>
      <c r="K806" t="str">
        <f>VLOOKUP(tbl_details5[[#This Row],[Order ID]],Table1[],5,FALSE)</f>
        <v>Goa</v>
      </c>
      <c r="L806" t="str">
        <f>VLOOKUP(tbl_details5[[#This Row],[Order ID]],Table1[],6,FALSE)</f>
        <v>Goa</v>
      </c>
    </row>
    <row r="807" spans="1:12" x14ac:dyDescent="0.25">
      <c r="A807" t="s">
        <v>543</v>
      </c>
      <c r="B807" s="4">
        <v>86</v>
      </c>
      <c r="C807" s="4">
        <v>9</v>
      </c>
      <c r="D807" s="5">
        <f>tbl_details5[[#This Row],[Profit]]/tbl_details5[[#This Row],[Revenue]]</f>
        <v>0.10465116279069768</v>
      </c>
      <c r="E807">
        <v>3</v>
      </c>
      <c r="F807" t="s">
        <v>885</v>
      </c>
      <c r="G807" t="s">
        <v>891</v>
      </c>
      <c r="H807" s="1">
        <f>VLOOKUP(tbl_details5[[#This Row],[Order ID]],Orders!A:F,2,FALSE)</f>
        <v>43423</v>
      </c>
      <c r="I807" s="1" t="str">
        <f>TEXT(tbl_details5[[#This Row],[Order Date]],"mmm-yy")</f>
        <v>Nov-18</v>
      </c>
      <c r="J807" t="str">
        <f>VLOOKUP(tbl_details5[[#This Row],[Order ID]],Table1[],4,FALSE)</f>
        <v>Parakh</v>
      </c>
      <c r="K807" t="str">
        <f>VLOOKUP(tbl_details5[[#This Row],[Order ID]],Table1[],5,FALSE)</f>
        <v>Nagaland</v>
      </c>
      <c r="L807" t="str">
        <f>VLOOKUP(tbl_details5[[#This Row],[Order ID]],Table1[],6,FALSE)</f>
        <v>Kohima</v>
      </c>
    </row>
    <row r="808" spans="1:12" x14ac:dyDescent="0.25">
      <c r="A808" t="s">
        <v>545</v>
      </c>
      <c r="B808" s="4">
        <v>10</v>
      </c>
      <c r="C808" s="4">
        <v>4</v>
      </c>
      <c r="D808" s="5">
        <f>tbl_details5[[#This Row],[Profit]]/tbl_details5[[#This Row],[Revenue]]</f>
        <v>0.4</v>
      </c>
      <c r="E808">
        <v>1</v>
      </c>
      <c r="F808" t="s">
        <v>885</v>
      </c>
      <c r="G808" t="s">
        <v>894</v>
      </c>
      <c r="H808" s="1">
        <f>VLOOKUP(tbl_details5[[#This Row],[Order ID]],Orders!A:F,2,FALSE)</f>
        <v>43424</v>
      </c>
      <c r="I808" s="1" t="str">
        <f>TEXT(tbl_details5[[#This Row],[Order Date]],"mmm-yy")</f>
        <v>Nov-18</v>
      </c>
      <c r="J808" t="str">
        <f>VLOOKUP(tbl_details5[[#This Row],[Order ID]],Table1[],4,FALSE)</f>
        <v>Pranav</v>
      </c>
      <c r="K808" t="str">
        <f>VLOOKUP(tbl_details5[[#This Row],[Order ID]],Table1[],5,FALSE)</f>
        <v>Andhra Pradesh</v>
      </c>
      <c r="L808" t="str">
        <f>VLOOKUP(tbl_details5[[#This Row],[Order ID]],Table1[],6,FALSE)</f>
        <v>Hyderabad</v>
      </c>
    </row>
    <row r="809" spans="1:12" x14ac:dyDescent="0.25">
      <c r="A809" t="s">
        <v>545</v>
      </c>
      <c r="B809" s="4">
        <v>845</v>
      </c>
      <c r="C809" s="4">
        <v>84</v>
      </c>
      <c r="D809" s="5">
        <f>tbl_details5[[#This Row],[Profit]]/tbl_details5[[#This Row],[Revenue]]</f>
        <v>9.9408284023668636E-2</v>
      </c>
      <c r="E809">
        <v>7</v>
      </c>
      <c r="F809" t="s">
        <v>885</v>
      </c>
      <c r="G809" t="s">
        <v>891</v>
      </c>
      <c r="H809" s="1">
        <f>VLOOKUP(tbl_details5[[#This Row],[Order ID]],Orders!A:F,2,FALSE)</f>
        <v>43424</v>
      </c>
      <c r="I809" s="1" t="str">
        <f>TEXT(tbl_details5[[#This Row],[Order Date]],"mmm-yy")</f>
        <v>Nov-18</v>
      </c>
      <c r="J809" t="str">
        <f>VLOOKUP(tbl_details5[[#This Row],[Order ID]],Table1[],4,FALSE)</f>
        <v>Pranav</v>
      </c>
      <c r="K809" t="str">
        <f>VLOOKUP(tbl_details5[[#This Row],[Order ID]],Table1[],5,FALSE)</f>
        <v>Andhra Pradesh</v>
      </c>
      <c r="L809" t="str">
        <f>VLOOKUP(tbl_details5[[#This Row],[Order ID]],Table1[],6,FALSE)</f>
        <v>Hyderabad</v>
      </c>
    </row>
    <row r="810" spans="1:12" x14ac:dyDescent="0.25">
      <c r="A810" t="s">
        <v>545</v>
      </c>
      <c r="B810" s="4">
        <v>57</v>
      </c>
      <c r="C810" s="4">
        <v>7</v>
      </c>
      <c r="D810" s="5">
        <f>tbl_details5[[#This Row],[Profit]]/tbl_details5[[#This Row],[Revenue]]</f>
        <v>0.12280701754385964</v>
      </c>
      <c r="E810">
        <v>3</v>
      </c>
      <c r="F810" t="s">
        <v>883</v>
      </c>
      <c r="G810" t="s">
        <v>901</v>
      </c>
      <c r="H810" s="1">
        <f>VLOOKUP(tbl_details5[[#This Row],[Order ID]],Orders!A:F,2,FALSE)</f>
        <v>43424</v>
      </c>
      <c r="I810" s="1" t="str">
        <f>TEXT(tbl_details5[[#This Row],[Order Date]],"mmm-yy")</f>
        <v>Nov-18</v>
      </c>
      <c r="J810" t="str">
        <f>VLOOKUP(tbl_details5[[#This Row],[Order ID]],Table1[],4,FALSE)</f>
        <v>Pranav</v>
      </c>
      <c r="K810" t="str">
        <f>VLOOKUP(tbl_details5[[#This Row],[Order ID]],Table1[],5,FALSE)</f>
        <v>Andhra Pradesh</v>
      </c>
      <c r="L810" t="str">
        <f>VLOOKUP(tbl_details5[[#This Row],[Order ID]],Table1[],6,FALSE)</f>
        <v>Hyderabad</v>
      </c>
    </row>
    <row r="811" spans="1:12" x14ac:dyDescent="0.25">
      <c r="A811" t="s">
        <v>545</v>
      </c>
      <c r="B811" s="4">
        <v>473</v>
      </c>
      <c r="C811" s="4">
        <v>113</v>
      </c>
      <c r="D811" s="5">
        <f>tbl_details5[[#This Row],[Profit]]/tbl_details5[[#This Row],[Revenue]]</f>
        <v>0.23890063424947147</v>
      </c>
      <c r="E811">
        <v>9</v>
      </c>
      <c r="F811" t="s">
        <v>885</v>
      </c>
      <c r="G811" t="s">
        <v>887</v>
      </c>
      <c r="H811" s="1">
        <f>VLOOKUP(tbl_details5[[#This Row],[Order ID]],Orders!A:F,2,FALSE)</f>
        <v>43424</v>
      </c>
      <c r="I811" s="1" t="str">
        <f>TEXT(tbl_details5[[#This Row],[Order Date]],"mmm-yy")</f>
        <v>Nov-18</v>
      </c>
      <c r="J811" t="str">
        <f>VLOOKUP(tbl_details5[[#This Row],[Order ID]],Table1[],4,FALSE)</f>
        <v>Pranav</v>
      </c>
      <c r="K811" t="str">
        <f>VLOOKUP(tbl_details5[[#This Row],[Order ID]],Table1[],5,FALSE)</f>
        <v>Andhra Pradesh</v>
      </c>
      <c r="L811" t="str">
        <f>VLOOKUP(tbl_details5[[#This Row],[Order ID]],Table1[],6,FALSE)</f>
        <v>Hyderabad</v>
      </c>
    </row>
    <row r="812" spans="1:12" x14ac:dyDescent="0.25">
      <c r="A812" t="s">
        <v>546</v>
      </c>
      <c r="B812" s="4">
        <v>118</v>
      </c>
      <c r="C812" s="4">
        <v>25</v>
      </c>
      <c r="D812" s="5">
        <f>tbl_details5[[#This Row],[Profit]]/tbl_details5[[#This Row],[Revenue]]</f>
        <v>0.21186440677966101</v>
      </c>
      <c r="E812">
        <v>4</v>
      </c>
      <c r="F812" t="s">
        <v>885</v>
      </c>
      <c r="G812" t="s">
        <v>887</v>
      </c>
      <c r="H812" s="1">
        <f>VLOOKUP(tbl_details5[[#This Row],[Order ID]],Orders!A:F,2,FALSE)</f>
        <v>43425</v>
      </c>
      <c r="I812" s="1" t="str">
        <f>TEXT(tbl_details5[[#This Row],[Order Date]],"mmm-yy")</f>
        <v>Nov-18</v>
      </c>
      <c r="J812" t="str">
        <f>VLOOKUP(tbl_details5[[#This Row],[Order ID]],Table1[],4,FALSE)</f>
        <v>Gunjal</v>
      </c>
      <c r="K812" t="str">
        <f>VLOOKUP(tbl_details5[[#This Row],[Order ID]],Table1[],5,FALSE)</f>
        <v>Gujarat</v>
      </c>
      <c r="L812" t="str">
        <f>VLOOKUP(tbl_details5[[#This Row],[Order ID]],Table1[],6,FALSE)</f>
        <v>Surat</v>
      </c>
    </row>
    <row r="813" spans="1:12" x14ac:dyDescent="0.25">
      <c r="A813" t="s">
        <v>549</v>
      </c>
      <c r="B813" s="4">
        <v>57</v>
      </c>
      <c r="C813" s="4">
        <v>27</v>
      </c>
      <c r="D813" s="5">
        <f>tbl_details5[[#This Row],[Profit]]/tbl_details5[[#This Row],[Revenue]]</f>
        <v>0.47368421052631576</v>
      </c>
      <c r="E813">
        <v>2</v>
      </c>
      <c r="F813" t="s">
        <v>885</v>
      </c>
      <c r="G813" t="s">
        <v>896</v>
      </c>
      <c r="H813" s="1">
        <f>VLOOKUP(tbl_details5[[#This Row],[Order ID]],Orders!A:F,2,FALSE)</f>
        <v>43426</v>
      </c>
      <c r="I813" s="1" t="str">
        <f>TEXT(tbl_details5[[#This Row],[Order Date]],"mmm-yy")</f>
        <v>Nov-18</v>
      </c>
      <c r="J813" t="str">
        <f>VLOOKUP(tbl_details5[[#This Row],[Order ID]],Table1[],4,FALSE)</f>
        <v>Saurabh</v>
      </c>
      <c r="K813" t="str">
        <f>VLOOKUP(tbl_details5[[#This Row],[Order ID]],Table1[],5,FALSE)</f>
        <v>Maharashtra</v>
      </c>
      <c r="L813" t="str">
        <f>VLOOKUP(tbl_details5[[#This Row],[Order ID]],Table1[],6,FALSE)</f>
        <v>Mumbai</v>
      </c>
    </row>
    <row r="814" spans="1:12" x14ac:dyDescent="0.25">
      <c r="A814" t="s">
        <v>551</v>
      </c>
      <c r="B814" s="4">
        <v>66</v>
      </c>
      <c r="C814" s="4">
        <v>12</v>
      </c>
      <c r="D814" s="5">
        <f>tbl_details5[[#This Row],[Profit]]/tbl_details5[[#This Row],[Revenue]]</f>
        <v>0.18181818181818182</v>
      </c>
      <c r="E814">
        <v>3</v>
      </c>
      <c r="F814" t="s">
        <v>885</v>
      </c>
      <c r="G814" t="s">
        <v>886</v>
      </c>
      <c r="H814" s="1">
        <f>VLOOKUP(tbl_details5[[#This Row],[Order ID]],Orders!A:F,2,FALSE)</f>
        <v>43427</v>
      </c>
      <c r="I814" s="1" t="str">
        <f>TEXT(tbl_details5[[#This Row],[Order Date]],"mmm-yy")</f>
        <v>Nov-18</v>
      </c>
      <c r="J814" t="str">
        <f>VLOOKUP(tbl_details5[[#This Row],[Order ID]],Table1[],4,FALSE)</f>
        <v>Divyeta</v>
      </c>
      <c r="K814" t="str">
        <f>VLOOKUP(tbl_details5[[#This Row],[Order ID]],Table1[],5,FALSE)</f>
        <v>Madhya Pradesh</v>
      </c>
      <c r="L814" t="str">
        <f>VLOOKUP(tbl_details5[[#This Row],[Order ID]],Table1[],6,FALSE)</f>
        <v>Indore</v>
      </c>
    </row>
    <row r="815" spans="1:12" x14ac:dyDescent="0.25">
      <c r="A815" t="s">
        <v>551</v>
      </c>
      <c r="B815" s="4">
        <v>367</v>
      </c>
      <c r="C815" s="4">
        <v>73</v>
      </c>
      <c r="D815" s="5">
        <f>tbl_details5[[#This Row],[Profit]]/tbl_details5[[#This Row],[Revenue]]</f>
        <v>0.1989100817438692</v>
      </c>
      <c r="E815">
        <v>3</v>
      </c>
      <c r="F815" t="s">
        <v>888</v>
      </c>
      <c r="G815" t="s">
        <v>889</v>
      </c>
      <c r="H815" s="1">
        <f>VLOOKUP(tbl_details5[[#This Row],[Order ID]],Orders!A:F,2,FALSE)</f>
        <v>43427</v>
      </c>
      <c r="I815" s="1" t="str">
        <f>TEXT(tbl_details5[[#This Row],[Order Date]],"mmm-yy")</f>
        <v>Nov-18</v>
      </c>
      <c r="J815" t="str">
        <f>VLOOKUP(tbl_details5[[#This Row],[Order ID]],Table1[],4,FALSE)</f>
        <v>Divyeta</v>
      </c>
      <c r="K815" t="str">
        <f>VLOOKUP(tbl_details5[[#This Row],[Order ID]],Table1[],5,FALSE)</f>
        <v>Madhya Pradesh</v>
      </c>
      <c r="L815" t="str">
        <f>VLOOKUP(tbl_details5[[#This Row],[Order ID]],Table1[],6,FALSE)</f>
        <v>Indore</v>
      </c>
    </row>
    <row r="816" spans="1:12" x14ac:dyDescent="0.25">
      <c r="A816" t="s">
        <v>551</v>
      </c>
      <c r="B816" s="4">
        <v>7</v>
      </c>
      <c r="C816" s="4">
        <v>1</v>
      </c>
      <c r="D816" s="5">
        <f>tbl_details5[[#This Row],[Profit]]/tbl_details5[[#This Row],[Revenue]]</f>
        <v>0.14285714285714285</v>
      </c>
      <c r="E816">
        <v>1</v>
      </c>
      <c r="F816" t="s">
        <v>885</v>
      </c>
      <c r="G816" t="s">
        <v>887</v>
      </c>
      <c r="H816" s="1">
        <f>VLOOKUP(tbl_details5[[#This Row],[Order ID]],Orders!A:F,2,FALSE)</f>
        <v>43427</v>
      </c>
      <c r="I816" s="1" t="str">
        <f>TEXT(tbl_details5[[#This Row],[Order Date]],"mmm-yy")</f>
        <v>Nov-18</v>
      </c>
      <c r="J816" t="str">
        <f>VLOOKUP(tbl_details5[[#This Row],[Order ID]],Table1[],4,FALSE)</f>
        <v>Divyeta</v>
      </c>
      <c r="K816" t="str">
        <f>VLOOKUP(tbl_details5[[#This Row],[Order ID]],Table1[],5,FALSE)</f>
        <v>Madhya Pradesh</v>
      </c>
      <c r="L816" t="str">
        <f>VLOOKUP(tbl_details5[[#This Row],[Order ID]],Table1[],6,FALSE)</f>
        <v>Indore</v>
      </c>
    </row>
    <row r="817" spans="1:12" x14ac:dyDescent="0.25">
      <c r="A817" t="s">
        <v>551</v>
      </c>
      <c r="B817" s="4">
        <v>1275</v>
      </c>
      <c r="C817" s="4">
        <v>357</v>
      </c>
      <c r="D817" s="5">
        <f>tbl_details5[[#This Row],[Profit]]/tbl_details5[[#This Row],[Revenue]]</f>
        <v>0.28000000000000003</v>
      </c>
      <c r="E817">
        <v>2</v>
      </c>
      <c r="F817" t="s">
        <v>888</v>
      </c>
      <c r="G817" t="s">
        <v>890</v>
      </c>
      <c r="H817" s="1">
        <f>VLOOKUP(tbl_details5[[#This Row],[Order ID]],Orders!A:F,2,FALSE)</f>
        <v>43427</v>
      </c>
      <c r="I817" s="1" t="str">
        <f>TEXT(tbl_details5[[#This Row],[Order Date]],"mmm-yy")</f>
        <v>Nov-18</v>
      </c>
      <c r="J817" t="str">
        <f>VLOOKUP(tbl_details5[[#This Row],[Order ID]],Table1[],4,FALSE)</f>
        <v>Divyeta</v>
      </c>
      <c r="K817" t="str">
        <f>VLOOKUP(tbl_details5[[#This Row],[Order ID]],Table1[],5,FALSE)</f>
        <v>Madhya Pradesh</v>
      </c>
      <c r="L817" t="str">
        <f>VLOOKUP(tbl_details5[[#This Row],[Order ID]],Table1[],6,FALSE)</f>
        <v>Indore</v>
      </c>
    </row>
    <row r="818" spans="1:12" x14ac:dyDescent="0.25">
      <c r="A818" t="s">
        <v>551</v>
      </c>
      <c r="B818" s="4">
        <v>42</v>
      </c>
      <c r="C818" s="4">
        <v>12</v>
      </c>
      <c r="D818" s="5">
        <f>tbl_details5[[#This Row],[Profit]]/tbl_details5[[#This Row],[Revenue]]</f>
        <v>0.2857142857142857</v>
      </c>
      <c r="E818">
        <v>2</v>
      </c>
      <c r="F818" t="s">
        <v>885</v>
      </c>
      <c r="G818" t="s">
        <v>894</v>
      </c>
      <c r="H818" s="1">
        <f>VLOOKUP(tbl_details5[[#This Row],[Order ID]],Orders!A:F,2,FALSE)</f>
        <v>43427</v>
      </c>
      <c r="I818" s="1" t="str">
        <f>TEXT(tbl_details5[[#This Row],[Order Date]],"mmm-yy")</f>
        <v>Nov-18</v>
      </c>
      <c r="J818" t="str">
        <f>VLOOKUP(tbl_details5[[#This Row],[Order ID]],Table1[],4,FALSE)</f>
        <v>Divyeta</v>
      </c>
      <c r="K818" t="str">
        <f>VLOOKUP(tbl_details5[[#This Row],[Order ID]],Table1[],5,FALSE)</f>
        <v>Madhya Pradesh</v>
      </c>
      <c r="L818" t="str">
        <f>VLOOKUP(tbl_details5[[#This Row],[Order ID]],Table1[],6,FALSE)</f>
        <v>Indore</v>
      </c>
    </row>
    <row r="819" spans="1:12" x14ac:dyDescent="0.25">
      <c r="A819" t="s">
        <v>553</v>
      </c>
      <c r="B819" s="4">
        <v>124</v>
      </c>
      <c r="C819" s="4">
        <v>54</v>
      </c>
      <c r="D819" s="5">
        <f>tbl_details5[[#This Row],[Profit]]/tbl_details5[[#This Row],[Revenue]]</f>
        <v>0.43548387096774194</v>
      </c>
      <c r="E819">
        <v>5</v>
      </c>
      <c r="F819" t="s">
        <v>885</v>
      </c>
      <c r="G819" t="s">
        <v>895</v>
      </c>
      <c r="H819" s="1">
        <f>VLOOKUP(tbl_details5[[#This Row],[Order ID]],Orders!A:F,2,FALSE)</f>
        <v>43428</v>
      </c>
      <c r="I819" s="1" t="str">
        <f>TEXT(tbl_details5[[#This Row],[Order Date]],"mmm-yy")</f>
        <v>Nov-18</v>
      </c>
      <c r="J819" t="str">
        <f>VLOOKUP(tbl_details5[[#This Row],[Order ID]],Table1[],4,FALSE)</f>
        <v>Megha</v>
      </c>
      <c r="K819" t="str">
        <f>VLOOKUP(tbl_details5[[#This Row],[Order ID]],Table1[],5,FALSE)</f>
        <v>Rajasthan</v>
      </c>
      <c r="L819" t="str">
        <f>VLOOKUP(tbl_details5[[#This Row],[Order ID]],Table1[],6,FALSE)</f>
        <v>Udaipur</v>
      </c>
    </row>
    <row r="820" spans="1:12" x14ac:dyDescent="0.25">
      <c r="A820" t="s">
        <v>555</v>
      </c>
      <c r="B820" s="4">
        <v>248</v>
      </c>
      <c r="C820" s="4">
        <v>8</v>
      </c>
      <c r="D820" s="5">
        <f>tbl_details5[[#This Row],[Profit]]/tbl_details5[[#This Row],[Revenue]]</f>
        <v>3.2258064516129031E-2</v>
      </c>
      <c r="E820">
        <v>2</v>
      </c>
      <c r="F820" t="s">
        <v>885</v>
      </c>
      <c r="G820" t="s">
        <v>891</v>
      </c>
      <c r="H820" s="1">
        <f>VLOOKUP(tbl_details5[[#This Row],[Order ID]],Orders!A:F,2,FALSE)</f>
        <v>43428</v>
      </c>
      <c r="I820" s="1" t="str">
        <f>TEXT(tbl_details5[[#This Row],[Order Date]],"mmm-yy")</f>
        <v>Nov-18</v>
      </c>
      <c r="J820" t="str">
        <f>VLOOKUP(tbl_details5[[#This Row],[Order ID]],Table1[],4,FALSE)</f>
        <v>Divyeshkumar</v>
      </c>
      <c r="K820" t="str">
        <f>VLOOKUP(tbl_details5[[#This Row],[Order ID]],Table1[],5,FALSE)</f>
        <v>Uttar Pradesh</v>
      </c>
      <c r="L820" t="str">
        <f>VLOOKUP(tbl_details5[[#This Row],[Order ID]],Table1[],6,FALSE)</f>
        <v>Allahabad</v>
      </c>
    </row>
    <row r="821" spans="1:12" x14ac:dyDescent="0.25">
      <c r="A821" t="s">
        <v>558</v>
      </c>
      <c r="B821" s="4">
        <v>282</v>
      </c>
      <c r="C821" s="4">
        <v>14</v>
      </c>
      <c r="D821" s="5">
        <f>tbl_details5[[#This Row],[Profit]]/tbl_details5[[#This Row],[Revenue]]</f>
        <v>4.9645390070921988E-2</v>
      </c>
      <c r="E821">
        <v>4</v>
      </c>
      <c r="F821" t="s">
        <v>885</v>
      </c>
      <c r="G821" t="s">
        <v>892</v>
      </c>
      <c r="H821" s="1">
        <f>VLOOKUP(tbl_details5[[#This Row],[Order ID]],Orders!A:F,2,FALSE)</f>
        <v>43428</v>
      </c>
      <c r="I821" s="1" t="str">
        <f>TEXT(tbl_details5[[#This Row],[Order Date]],"mmm-yy")</f>
        <v>Nov-18</v>
      </c>
      <c r="J821" t="str">
        <f>VLOOKUP(tbl_details5[[#This Row],[Order ID]],Table1[],4,FALSE)</f>
        <v>Bhosale</v>
      </c>
      <c r="K821" t="str">
        <f>VLOOKUP(tbl_details5[[#This Row],[Order ID]],Table1[],5,FALSE)</f>
        <v>Punjab</v>
      </c>
      <c r="L821" t="str">
        <f>VLOOKUP(tbl_details5[[#This Row],[Order ID]],Table1[],6,FALSE)</f>
        <v>Amritsar</v>
      </c>
    </row>
    <row r="822" spans="1:12" x14ac:dyDescent="0.25">
      <c r="A822" t="s">
        <v>561</v>
      </c>
      <c r="B822" s="4">
        <v>1137</v>
      </c>
      <c r="C822" s="4">
        <v>568</v>
      </c>
      <c r="D822" s="5">
        <f>tbl_details5[[#This Row],[Profit]]/tbl_details5[[#This Row],[Revenue]]</f>
        <v>0.49956024626209322</v>
      </c>
      <c r="E822">
        <v>2</v>
      </c>
      <c r="F822" t="s">
        <v>885</v>
      </c>
      <c r="G822" t="s">
        <v>892</v>
      </c>
      <c r="H822" s="1">
        <f>VLOOKUP(tbl_details5[[#This Row],[Order ID]],Orders!A:F,2,FALSE)</f>
        <v>43428</v>
      </c>
      <c r="I822" s="1" t="str">
        <f>TEXT(tbl_details5[[#This Row],[Order Date]],"mmm-yy")</f>
        <v>Nov-18</v>
      </c>
      <c r="J822" t="str">
        <f>VLOOKUP(tbl_details5[[#This Row],[Order ID]],Table1[],4,FALSE)</f>
        <v>Dashyam</v>
      </c>
      <c r="K822" t="str">
        <f>VLOOKUP(tbl_details5[[#This Row],[Order ID]],Table1[],5,FALSE)</f>
        <v>Gujarat</v>
      </c>
      <c r="L822" t="str">
        <f>VLOOKUP(tbl_details5[[#This Row],[Order ID]],Table1[],6,FALSE)</f>
        <v>Surat</v>
      </c>
    </row>
    <row r="823" spans="1:12" x14ac:dyDescent="0.25">
      <c r="A823" t="s">
        <v>561</v>
      </c>
      <c r="B823" s="4">
        <v>269</v>
      </c>
      <c r="C823" s="4">
        <v>33</v>
      </c>
      <c r="D823" s="5">
        <f>tbl_details5[[#This Row],[Profit]]/tbl_details5[[#This Row],[Revenue]]</f>
        <v>0.12267657992565056</v>
      </c>
      <c r="E823">
        <v>5</v>
      </c>
      <c r="F823" t="s">
        <v>883</v>
      </c>
      <c r="G823" t="s">
        <v>893</v>
      </c>
      <c r="H823" s="1">
        <f>VLOOKUP(tbl_details5[[#This Row],[Order ID]],Orders!A:F,2,FALSE)</f>
        <v>43428</v>
      </c>
      <c r="I823" s="1" t="str">
        <f>TEXT(tbl_details5[[#This Row],[Order Date]],"mmm-yy")</f>
        <v>Nov-18</v>
      </c>
      <c r="J823" t="str">
        <f>VLOOKUP(tbl_details5[[#This Row],[Order ID]],Table1[],4,FALSE)</f>
        <v>Dashyam</v>
      </c>
      <c r="K823" t="str">
        <f>VLOOKUP(tbl_details5[[#This Row],[Order ID]],Table1[],5,FALSE)</f>
        <v>Gujarat</v>
      </c>
      <c r="L823" t="str">
        <f>VLOOKUP(tbl_details5[[#This Row],[Order ID]],Table1[],6,FALSE)</f>
        <v>Surat</v>
      </c>
    </row>
    <row r="824" spans="1:12" x14ac:dyDescent="0.25">
      <c r="A824" t="s">
        <v>561</v>
      </c>
      <c r="B824" s="4">
        <v>24</v>
      </c>
      <c r="C824" s="4">
        <v>8</v>
      </c>
      <c r="D824" s="5">
        <f>tbl_details5[[#This Row],[Profit]]/tbl_details5[[#This Row],[Revenue]]</f>
        <v>0.33333333333333331</v>
      </c>
      <c r="E824">
        <v>2</v>
      </c>
      <c r="F824" t="s">
        <v>885</v>
      </c>
      <c r="G824" t="s">
        <v>902</v>
      </c>
      <c r="H824" s="1">
        <f>VLOOKUP(tbl_details5[[#This Row],[Order ID]],Orders!A:F,2,FALSE)</f>
        <v>43428</v>
      </c>
      <c r="I824" s="1" t="str">
        <f>TEXT(tbl_details5[[#This Row],[Order Date]],"mmm-yy")</f>
        <v>Nov-18</v>
      </c>
      <c r="J824" t="str">
        <f>VLOOKUP(tbl_details5[[#This Row],[Order ID]],Table1[],4,FALSE)</f>
        <v>Dashyam</v>
      </c>
      <c r="K824" t="str">
        <f>VLOOKUP(tbl_details5[[#This Row],[Order ID]],Table1[],5,FALSE)</f>
        <v>Gujarat</v>
      </c>
      <c r="L824" t="str">
        <f>VLOOKUP(tbl_details5[[#This Row],[Order ID]],Table1[],6,FALSE)</f>
        <v>Surat</v>
      </c>
    </row>
    <row r="825" spans="1:12" x14ac:dyDescent="0.25">
      <c r="A825" t="s">
        <v>563</v>
      </c>
      <c r="B825" s="4">
        <v>165</v>
      </c>
      <c r="C825" s="4">
        <v>46</v>
      </c>
      <c r="D825" s="5">
        <f>tbl_details5[[#This Row],[Profit]]/tbl_details5[[#This Row],[Revenue]]</f>
        <v>0.27878787878787881</v>
      </c>
      <c r="E825">
        <v>3</v>
      </c>
      <c r="F825" t="s">
        <v>883</v>
      </c>
      <c r="G825" t="s">
        <v>901</v>
      </c>
      <c r="H825" s="1">
        <f>VLOOKUP(tbl_details5[[#This Row],[Order ID]],Orders!A:F,2,FALSE)</f>
        <v>43428</v>
      </c>
      <c r="I825" s="1" t="str">
        <f>TEXT(tbl_details5[[#This Row],[Order Date]],"mmm-yy")</f>
        <v>Nov-18</v>
      </c>
      <c r="J825" t="str">
        <f>VLOOKUP(tbl_details5[[#This Row],[Order ID]],Table1[],4,FALSE)</f>
        <v>Mrinal</v>
      </c>
      <c r="K825" t="str">
        <f>VLOOKUP(tbl_details5[[#This Row],[Order ID]],Table1[],5,FALSE)</f>
        <v>Maharashtra</v>
      </c>
      <c r="L825" t="str">
        <f>VLOOKUP(tbl_details5[[#This Row],[Order ID]],Table1[],6,FALSE)</f>
        <v>Mumbai</v>
      </c>
    </row>
    <row r="826" spans="1:12" x14ac:dyDescent="0.25">
      <c r="A826" t="s">
        <v>563</v>
      </c>
      <c r="B826" s="4">
        <v>46</v>
      </c>
      <c r="C826" s="4">
        <v>0</v>
      </c>
      <c r="D826" s="5">
        <f>tbl_details5[[#This Row],[Profit]]/tbl_details5[[#This Row],[Revenue]]</f>
        <v>0</v>
      </c>
      <c r="E826">
        <v>4</v>
      </c>
      <c r="F826" t="s">
        <v>885</v>
      </c>
      <c r="G826" t="s">
        <v>897</v>
      </c>
      <c r="H826" s="1">
        <f>VLOOKUP(tbl_details5[[#This Row],[Order ID]],Orders!A:F,2,FALSE)</f>
        <v>43428</v>
      </c>
      <c r="I826" s="1" t="str">
        <f>TEXT(tbl_details5[[#This Row],[Order Date]],"mmm-yy")</f>
        <v>Nov-18</v>
      </c>
      <c r="J826" t="str">
        <f>VLOOKUP(tbl_details5[[#This Row],[Order ID]],Table1[],4,FALSE)</f>
        <v>Mrinal</v>
      </c>
      <c r="K826" t="str">
        <f>VLOOKUP(tbl_details5[[#This Row],[Order ID]],Table1[],5,FALSE)</f>
        <v>Maharashtra</v>
      </c>
      <c r="L826" t="str">
        <f>VLOOKUP(tbl_details5[[#This Row],[Order ID]],Table1[],6,FALSE)</f>
        <v>Mumbai</v>
      </c>
    </row>
    <row r="827" spans="1:12" x14ac:dyDescent="0.25">
      <c r="A827" t="s">
        <v>563</v>
      </c>
      <c r="B827" s="4">
        <v>84</v>
      </c>
      <c r="C827" s="4">
        <v>41</v>
      </c>
      <c r="D827" s="5">
        <f>tbl_details5[[#This Row],[Profit]]/tbl_details5[[#This Row],[Revenue]]</f>
        <v>0.48809523809523808</v>
      </c>
      <c r="E827">
        <v>3</v>
      </c>
      <c r="F827" t="s">
        <v>885</v>
      </c>
      <c r="G827" t="s">
        <v>895</v>
      </c>
      <c r="H827" s="1">
        <f>VLOOKUP(tbl_details5[[#This Row],[Order ID]],Orders!A:F,2,FALSE)</f>
        <v>43428</v>
      </c>
      <c r="I827" s="1" t="str">
        <f>TEXT(tbl_details5[[#This Row],[Order Date]],"mmm-yy")</f>
        <v>Nov-18</v>
      </c>
      <c r="J827" t="str">
        <f>VLOOKUP(tbl_details5[[#This Row],[Order ID]],Table1[],4,FALSE)</f>
        <v>Mrinal</v>
      </c>
      <c r="K827" t="str">
        <f>VLOOKUP(tbl_details5[[#This Row],[Order ID]],Table1[],5,FALSE)</f>
        <v>Maharashtra</v>
      </c>
      <c r="L827" t="str">
        <f>VLOOKUP(tbl_details5[[#This Row],[Order ID]],Table1[],6,FALSE)</f>
        <v>Mumbai</v>
      </c>
    </row>
    <row r="828" spans="1:12" x14ac:dyDescent="0.25">
      <c r="A828" t="s">
        <v>563</v>
      </c>
      <c r="B828" s="4">
        <v>140</v>
      </c>
      <c r="C828" s="4">
        <v>15</v>
      </c>
      <c r="D828" s="5">
        <f>tbl_details5[[#This Row],[Profit]]/tbl_details5[[#This Row],[Revenue]]</f>
        <v>0.10714285714285714</v>
      </c>
      <c r="E828">
        <v>5</v>
      </c>
      <c r="F828" t="s">
        <v>885</v>
      </c>
      <c r="G828" t="s">
        <v>886</v>
      </c>
      <c r="H828" s="1">
        <f>VLOOKUP(tbl_details5[[#This Row],[Order ID]],Orders!A:F,2,FALSE)</f>
        <v>43428</v>
      </c>
      <c r="I828" s="1" t="str">
        <f>TEXT(tbl_details5[[#This Row],[Order Date]],"mmm-yy")</f>
        <v>Nov-18</v>
      </c>
      <c r="J828" t="str">
        <f>VLOOKUP(tbl_details5[[#This Row],[Order ID]],Table1[],4,FALSE)</f>
        <v>Mrinal</v>
      </c>
      <c r="K828" t="str">
        <f>VLOOKUP(tbl_details5[[#This Row],[Order ID]],Table1[],5,FALSE)</f>
        <v>Maharashtra</v>
      </c>
      <c r="L828" t="str">
        <f>VLOOKUP(tbl_details5[[#This Row],[Order ID]],Table1[],6,FALSE)</f>
        <v>Mumbai</v>
      </c>
    </row>
    <row r="829" spans="1:12" x14ac:dyDescent="0.25">
      <c r="A829" t="s">
        <v>563</v>
      </c>
      <c r="B829" s="4">
        <v>741</v>
      </c>
      <c r="C829" s="4">
        <v>267</v>
      </c>
      <c r="D829" s="5">
        <f>tbl_details5[[#This Row],[Profit]]/tbl_details5[[#This Row],[Revenue]]</f>
        <v>0.36032388663967613</v>
      </c>
      <c r="E829">
        <v>5</v>
      </c>
      <c r="F829" t="s">
        <v>883</v>
      </c>
      <c r="G829" t="s">
        <v>884</v>
      </c>
      <c r="H829" s="1">
        <f>VLOOKUP(tbl_details5[[#This Row],[Order ID]],Orders!A:F,2,FALSE)</f>
        <v>43428</v>
      </c>
      <c r="I829" s="1" t="str">
        <f>TEXT(tbl_details5[[#This Row],[Order Date]],"mmm-yy")</f>
        <v>Nov-18</v>
      </c>
      <c r="J829" t="str">
        <f>VLOOKUP(tbl_details5[[#This Row],[Order ID]],Table1[],4,FALSE)</f>
        <v>Mrinal</v>
      </c>
      <c r="K829" t="str">
        <f>VLOOKUP(tbl_details5[[#This Row],[Order ID]],Table1[],5,FALSE)</f>
        <v>Maharashtra</v>
      </c>
      <c r="L829" t="str">
        <f>VLOOKUP(tbl_details5[[#This Row],[Order ID]],Table1[],6,FALSE)</f>
        <v>Mumbai</v>
      </c>
    </row>
    <row r="830" spans="1:12" x14ac:dyDescent="0.25">
      <c r="A830" t="s">
        <v>563</v>
      </c>
      <c r="B830" s="4">
        <v>719</v>
      </c>
      <c r="C830" s="4">
        <v>303</v>
      </c>
      <c r="D830" s="5">
        <f>tbl_details5[[#This Row],[Profit]]/tbl_details5[[#This Row],[Revenue]]</f>
        <v>0.42141863699582754</v>
      </c>
      <c r="E830">
        <v>6</v>
      </c>
      <c r="F830" t="s">
        <v>883</v>
      </c>
      <c r="G830" t="s">
        <v>893</v>
      </c>
      <c r="H830" s="1">
        <f>VLOOKUP(tbl_details5[[#This Row],[Order ID]],Orders!A:F,2,FALSE)</f>
        <v>43428</v>
      </c>
      <c r="I830" s="1" t="str">
        <f>TEXT(tbl_details5[[#This Row],[Order Date]],"mmm-yy")</f>
        <v>Nov-18</v>
      </c>
      <c r="J830" t="str">
        <f>VLOOKUP(tbl_details5[[#This Row],[Order ID]],Table1[],4,FALSE)</f>
        <v>Mrinal</v>
      </c>
      <c r="K830" t="str">
        <f>VLOOKUP(tbl_details5[[#This Row],[Order ID]],Table1[],5,FALSE)</f>
        <v>Maharashtra</v>
      </c>
      <c r="L830" t="str">
        <f>VLOOKUP(tbl_details5[[#This Row],[Order ID]],Table1[],6,FALSE)</f>
        <v>Mumbai</v>
      </c>
    </row>
    <row r="831" spans="1:12" x14ac:dyDescent="0.25">
      <c r="A831" t="s">
        <v>565</v>
      </c>
      <c r="B831" s="4">
        <v>57</v>
      </c>
      <c r="C831" s="4">
        <v>28</v>
      </c>
      <c r="D831" s="5">
        <f>tbl_details5[[#This Row],[Profit]]/tbl_details5[[#This Row],[Revenue]]</f>
        <v>0.49122807017543857</v>
      </c>
      <c r="E831">
        <v>2</v>
      </c>
      <c r="F831" t="s">
        <v>885</v>
      </c>
      <c r="G831" t="s">
        <v>894</v>
      </c>
      <c r="H831" s="1">
        <f>VLOOKUP(tbl_details5[[#This Row],[Order ID]],Orders!A:F,2,FALSE)</f>
        <v>43428</v>
      </c>
      <c r="I831" s="1" t="str">
        <f>TEXT(tbl_details5[[#This Row],[Order Date]],"mmm-yy")</f>
        <v>Nov-18</v>
      </c>
      <c r="J831" t="str">
        <f>VLOOKUP(tbl_details5[[#This Row],[Order ID]],Table1[],4,FALSE)</f>
        <v>Siddharth</v>
      </c>
      <c r="K831" t="str">
        <f>VLOOKUP(tbl_details5[[#This Row],[Order ID]],Table1[],5,FALSE)</f>
        <v>Madhya Pradesh</v>
      </c>
      <c r="L831" t="str">
        <f>VLOOKUP(tbl_details5[[#This Row],[Order ID]],Table1[],6,FALSE)</f>
        <v>Indore</v>
      </c>
    </row>
    <row r="832" spans="1:12" x14ac:dyDescent="0.25">
      <c r="A832" t="s">
        <v>566</v>
      </c>
      <c r="B832" s="4">
        <v>108</v>
      </c>
      <c r="C832" s="4">
        <v>37</v>
      </c>
      <c r="D832" s="5">
        <f>tbl_details5[[#This Row],[Profit]]/tbl_details5[[#This Row],[Revenue]]</f>
        <v>0.34259259259259262</v>
      </c>
      <c r="E832">
        <v>2</v>
      </c>
      <c r="F832" t="s">
        <v>885</v>
      </c>
      <c r="G832" t="s">
        <v>886</v>
      </c>
      <c r="H832" s="1">
        <f>VLOOKUP(tbl_details5[[#This Row],[Order ID]],Orders!A:F,2,FALSE)</f>
        <v>43428</v>
      </c>
      <c r="I832" s="1" t="str">
        <f>TEXT(tbl_details5[[#This Row],[Order Date]],"mmm-yy")</f>
        <v>Nov-18</v>
      </c>
      <c r="J832" t="str">
        <f>VLOOKUP(tbl_details5[[#This Row],[Order ID]],Table1[],4,FALSE)</f>
        <v>Apoorv</v>
      </c>
      <c r="K832" t="str">
        <f>VLOOKUP(tbl_details5[[#This Row],[Order ID]],Table1[],5,FALSE)</f>
        <v>Rajasthan</v>
      </c>
      <c r="L832" t="str">
        <f>VLOOKUP(tbl_details5[[#This Row],[Order ID]],Table1[],6,FALSE)</f>
        <v>Udaipur</v>
      </c>
    </row>
    <row r="833" spans="1:12" x14ac:dyDescent="0.25">
      <c r="A833" t="s">
        <v>568</v>
      </c>
      <c r="B833" s="4">
        <v>37</v>
      </c>
      <c r="C833" s="4">
        <v>3</v>
      </c>
      <c r="D833" s="5">
        <f>tbl_details5[[#This Row],[Profit]]/tbl_details5[[#This Row],[Revenue]]</f>
        <v>8.1081081081081086E-2</v>
      </c>
      <c r="E833">
        <v>3</v>
      </c>
      <c r="F833" t="s">
        <v>885</v>
      </c>
      <c r="G833" t="s">
        <v>887</v>
      </c>
      <c r="H833" s="1">
        <f>VLOOKUP(tbl_details5[[#This Row],[Order ID]],Orders!A:F,2,FALSE)</f>
        <v>43429</v>
      </c>
      <c r="I833" s="1" t="str">
        <f>TEXT(tbl_details5[[#This Row],[Order Date]],"mmm-yy")</f>
        <v>Nov-18</v>
      </c>
      <c r="J833" t="str">
        <f>VLOOKUP(tbl_details5[[#This Row],[Order ID]],Table1[],4,FALSE)</f>
        <v>Pooja</v>
      </c>
      <c r="K833" t="str">
        <f>VLOOKUP(tbl_details5[[#This Row],[Order ID]],Table1[],5,FALSE)</f>
        <v>Uttar Pradesh</v>
      </c>
      <c r="L833" t="str">
        <f>VLOOKUP(tbl_details5[[#This Row],[Order ID]],Table1[],6,FALSE)</f>
        <v>Allahabad</v>
      </c>
    </row>
    <row r="834" spans="1:12" x14ac:dyDescent="0.25">
      <c r="A834" t="s">
        <v>568</v>
      </c>
      <c r="B834" s="4">
        <v>26</v>
      </c>
      <c r="C834" s="4">
        <v>9</v>
      </c>
      <c r="D834" s="5">
        <f>tbl_details5[[#This Row],[Profit]]/tbl_details5[[#This Row],[Revenue]]</f>
        <v>0.34615384615384615</v>
      </c>
      <c r="E834">
        <v>2</v>
      </c>
      <c r="F834" t="s">
        <v>885</v>
      </c>
      <c r="G834" t="s">
        <v>897</v>
      </c>
      <c r="H834" s="1">
        <f>VLOOKUP(tbl_details5[[#This Row],[Order ID]],Orders!A:F,2,FALSE)</f>
        <v>43429</v>
      </c>
      <c r="I834" s="1" t="str">
        <f>TEXT(tbl_details5[[#This Row],[Order Date]],"mmm-yy")</f>
        <v>Nov-18</v>
      </c>
      <c r="J834" t="str">
        <f>VLOOKUP(tbl_details5[[#This Row],[Order ID]],Table1[],4,FALSE)</f>
        <v>Pooja</v>
      </c>
      <c r="K834" t="str">
        <f>VLOOKUP(tbl_details5[[#This Row],[Order ID]],Table1[],5,FALSE)</f>
        <v>Uttar Pradesh</v>
      </c>
      <c r="L834" t="str">
        <f>VLOOKUP(tbl_details5[[#This Row],[Order ID]],Table1[],6,FALSE)</f>
        <v>Allahabad</v>
      </c>
    </row>
    <row r="835" spans="1:12" x14ac:dyDescent="0.25">
      <c r="A835" t="s">
        <v>568</v>
      </c>
      <c r="B835" s="4">
        <v>1351</v>
      </c>
      <c r="C835" s="4">
        <v>111</v>
      </c>
      <c r="D835" s="5">
        <f>tbl_details5[[#This Row],[Profit]]/tbl_details5[[#This Row],[Revenue]]</f>
        <v>8.2161361954108073E-2</v>
      </c>
      <c r="E835">
        <v>6</v>
      </c>
      <c r="F835" t="s">
        <v>888</v>
      </c>
      <c r="G835" t="s">
        <v>889</v>
      </c>
      <c r="H835" s="1">
        <f>VLOOKUP(tbl_details5[[#This Row],[Order ID]],Orders!A:F,2,FALSE)</f>
        <v>43429</v>
      </c>
      <c r="I835" s="1" t="str">
        <f>TEXT(tbl_details5[[#This Row],[Order Date]],"mmm-yy")</f>
        <v>Nov-18</v>
      </c>
      <c r="J835" t="str">
        <f>VLOOKUP(tbl_details5[[#This Row],[Order ID]],Table1[],4,FALSE)</f>
        <v>Pooja</v>
      </c>
      <c r="K835" t="str">
        <f>VLOOKUP(tbl_details5[[#This Row],[Order ID]],Table1[],5,FALSE)</f>
        <v>Uttar Pradesh</v>
      </c>
      <c r="L835" t="str">
        <f>VLOOKUP(tbl_details5[[#This Row],[Order ID]],Table1[],6,FALSE)</f>
        <v>Allahabad</v>
      </c>
    </row>
    <row r="836" spans="1:12" x14ac:dyDescent="0.25">
      <c r="A836" t="s">
        <v>568</v>
      </c>
      <c r="B836" s="4">
        <v>2244</v>
      </c>
      <c r="C836" s="4">
        <v>247</v>
      </c>
      <c r="D836" s="5">
        <f>tbl_details5[[#This Row],[Profit]]/tbl_details5[[#This Row],[Revenue]]</f>
        <v>0.11007130124777184</v>
      </c>
      <c r="E836">
        <v>4</v>
      </c>
      <c r="F836" t="s">
        <v>885</v>
      </c>
      <c r="G836" t="s">
        <v>892</v>
      </c>
      <c r="H836" s="1">
        <f>VLOOKUP(tbl_details5[[#This Row],[Order ID]],Orders!A:F,2,FALSE)</f>
        <v>43429</v>
      </c>
      <c r="I836" s="1" t="str">
        <f>TEXT(tbl_details5[[#This Row],[Order Date]],"mmm-yy")</f>
        <v>Nov-18</v>
      </c>
      <c r="J836" t="str">
        <f>VLOOKUP(tbl_details5[[#This Row],[Order ID]],Table1[],4,FALSE)</f>
        <v>Pooja</v>
      </c>
      <c r="K836" t="str">
        <f>VLOOKUP(tbl_details5[[#This Row],[Order ID]],Table1[],5,FALSE)</f>
        <v>Uttar Pradesh</v>
      </c>
      <c r="L836" t="str">
        <f>VLOOKUP(tbl_details5[[#This Row],[Order ID]],Table1[],6,FALSE)</f>
        <v>Allahabad</v>
      </c>
    </row>
    <row r="837" spans="1:12" x14ac:dyDescent="0.25">
      <c r="A837" t="s">
        <v>568</v>
      </c>
      <c r="B837" s="4">
        <v>36</v>
      </c>
      <c r="C837" s="4">
        <v>7</v>
      </c>
      <c r="D837" s="5">
        <f>tbl_details5[[#This Row],[Profit]]/tbl_details5[[#This Row],[Revenue]]</f>
        <v>0.19444444444444445</v>
      </c>
      <c r="E837">
        <v>3</v>
      </c>
      <c r="F837" t="s">
        <v>885</v>
      </c>
      <c r="G837" t="s">
        <v>897</v>
      </c>
      <c r="H837" s="1">
        <f>VLOOKUP(tbl_details5[[#This Row],[Order ID]],Orders!A:F,2,FALSE)</f>
        <v>43429</v>
      </c>
      <c r="I837" s="1" t="str">
        <f>TEXT(tbl_details5[[#This Row],[Order Date]],"mmm-yy")</f>
        <v>Nov-18</v>
      </c>
      <c r="J837" t="str">
        <f>VLOOKUP(tbl_details5[[#This Row],[Order ID]],Table1[],4,FALSE)</f>
        <v>Pooja</v>
      </c>
      <c r="K837" t="str">
        <f>VLOOKUP(tbl_details5[[#This Row],[Order ID]],Table1[],5,FALSE)</f>
        <v>Uttar Pradesh</v>
      </c>
      <c r="L837" t="str">
        <f>VLOOKUP(tbl_details5[[#This Row],[Order ID]],Table1[],6,FALSE)</f>
        <v>Allahabad</v>
      </c>
    </row>
    <row r="838" spans="1:12" x14ac:dyDescent="0.25">
      <c r="A838" t="s">
        <v>568</v>
      </c>
      <c r="B838" s="4">
        <v>2115</v>
      </c>
      <c r="C838" s="4">
        <v>23</v>
      </c>
      <c r="D838" s="5">
        <f>tbl_details5[[#This Row],[Profit]]/tbl_details5[[#This Row],[Revenue]]</f>
        <v>1.0874704491725768E-2</v>
      </c>
      <c r="E838">
        <v>5</v>
      </c>
      <c r="F838" t="s">
        <v>883</v>
      </c>
      <c r="G838" t="s">
        <v>893</v>
      </c>
      <c r="H838" s="1">
        <f>VLOOKUP(tbl_details5[[#This Row],[Order ID]],Orders!A:F,2,FALSE)</f>
        <v>43429</v>
      </c>
      <c r="I838" s="1" t="str">
        <f>TEXT(tbl_details5[[#This Row],[Order Date]],"mmm-yy")</f>
        <v>Nov-18</v>
      </c>
      <c r="J838" t="str">
        <f>VLOOKUP(tbl_details5[[#This Row],[Order ID]],Table1[],4,FALSE)</f>
        <v>Pooja</v>
      </c>
      <c r="K838" t="str">
        <f>VLOOKUP(tbl_details5[[#This Row],[Order ID]],Table1[],5,FALSE)</f>
        <v>Uttar Pradesh</v>
      </c>
      <c r="L838" t="str">
        <f>VLOOKUP(tbl_details5[[#This Row],[Order ID]],Table1[],6,FALSE)</f>
        <v>Allahabad</v>
      </c>
    </row>
    <row r="839" spans="1:12" x14ac:dyDescent="0.25">
      <c r="A839" t="s">
        <v>569</v>
      </c>
      <c r="B839" s="4">
        <v>121</v>
      </c>
      <c r="C839" s="4">
        <v>19</v>
      </c>
      <c r="D839" s="5">
        <f>tbl_details5[[#This Row],[Profit]]/tbl_details5[[#This Row],[Revenue]]</f>
        <v>0.15702479338842976</v>
      </c>
      <c r="E839">
        <v>4</v>
      </c>
      <c r="F839" t="s">
        <v>885</v>
      </c>
      <c r="G839" t="s">
        <v>886</v>
      </c>
      <c r="H839" s="1">
        <f>VLOOKUP(tbl_details5[[#This Row],[Order ID]],Orders!A:F,2,FALSE)</f>
        <v>43430</v>
      </c>
      <c r="I839" s="1" t="str">
        <f>TEXT(tbl_details5[[#This Row],[Order Date]],"mmm-yy")</f>
        <v>Nov-18</v>
      </c>
      <c r="J839" t="str">
        <f>VLOOKUP(tbl_details5[[#This Row],[Order ID]],Table1[],4,FALSE)</f>
        <v>Masurkar</v>
      </c>
      <c r="K839" t="str">
        <f>VLOOKUP(tbl_details5[[#This Row],[Order ID]],Table1[],5,FALSE)</f>
        <v>Punjab</v>
      </c>
      <c r="L839" t="str">
        <f>VLOOKUP(tbl_details5[[#This Row],[Order ID]],Table1[],6,FALSE)</f>
        <v>Amritsar</v>
      </c>
    </row>
    <row r="840" spans="1:12" x14ac:dyDescent="0.25">
      <c r="A840" t="s">
        <v>571</v>
      </c>
      <c r="B840" s="4">
        <v>146</v>
      </c>
      <c r="C840" s="4">
        <v>42</v>
      </c>
      <c r="D840" s="5">
        <f>tbl_details5[[#This Row],[Profit]]/tbl_details5[[#This Row],[Revenue]]</f>
        <v>0.28767123287671231</v>
      </c>
      <c r="E840">
        <v>5</v>
      </c>
      <c r="F840" t="s">
        <v>885</v>
      </c>
      <c r="G840" t="s">
        <v>887</v>
      </c>
      <c r="H840" s="1">
        <f>VLOOKUP(tbl_details5[[#This Row],[Order ID]],Orders!A:F,2,FALSE)</f>
        <v>43431</v>
      </c>
      <c r="I840" s="1" t="str">
        <f>TEXT(tbl_details5[[#This Row],[Order Date]],"mmm-yy")</f>
        <v>Nov-18</v>
      </c>
      <c r="J840" t="str">
        <f>VLOOKUP(tbl_details5[[#This Row],[Order ID]],Table1[],4,FALSE)</f>
        <v>Saptadeep</v>
      </c>
      <c r="K840" t="str">
        <f>VLOOKUP(tbl_details5[[#This Row],[Order ID]],Table1[],5,FALSE)</f>
        <v>Gujarat</v>
      </c>
      <c r="L840" t="str">
        <f>VLOOKUP(tbl_details5[[#This Row],[Order ID]],Table1[],6,FALSE)</f>
        <v>Surat</v>
      </c>
    </row>
    <row r="841" spans="1:12" x14ac:dyDescent="0.25">
      <c r="A841" t="s">
        <v>571</v>
      </c>
      <c r="B841" s="4">
        <v>105</v>
      </c>
      <c r="C841" s="4">
        <v>26</v>
      </c>
      <c r="D841" s="5">
        <f>tbl_details5[[#This Row],[Profit]]/tbl_details5[[#This Row],[Revenue]]</f>
        <v>0.24761904761904763</v>
      </c>
      <c r="E841">
        <v>8</v>
      </c>
      <c r="F841" t="s">
        <v>885</v>
      </c>
      <c r="G841" t="s">
        <v>897</v>
      </c>
      <c r="H841" s="1">
        <f>VLOOKUP(tbl_details5[[#This Row],[Order ID]],Orders!A:F,2,FALSE)</f>
        <v>43431</v>
      </c>
      <c r="I841" s="1" t="str">
        <f>TEXT(tbl_details5[[#This Row],[Order Date]],"mmm-yy")</f>
        <v>Nov-18</v>
      </c>
      <c r="J841" t="str">
        <f>VLOOKUP(tbl_details5[[#This Row],[Order ID]],Table1[],4,FALSE)</f>
        <v>Saptadeep</v>
      </c>
      <c r="K841" t="str">
        <f>VLOOKUP(tbl_details5[[#This Row],[Order ID]],Table1[],5,FALSE)</f>
        <v>Gujarat</v>
      </c>
      <c r="L841" t="str">
        <f>VLOOKUP(tbl_details5[[#This Row],[Order ID]],Table1[],6,FALSE)</f>
        <v>Surat</v>
      </c>
    </row>
    <row r="842" spans="1:12" x14ac:dyDescent="0.25">
      <c r="A842" t="s">
        <v>571</v>
      </c>
      <c r="B842" s="4">
        <v>127</v>
      </c>
      <c r="C842" s="4">
        <v>29</v>
      </c>
      <c r="D842" s="5">
        <f>tbl_details5[[#This Row],[Profit]]/tbl_details5[[#This Row],[Revenue]]</f>
        <v>0.2283464566929134</v>
      </c>
      <c r="E842">
        <v>3</v>
      </c>
      <c r="F842" t="s">
        <v>883</v>
      </c>
      <c r="G842" t="s">
        <v>901</v>
      </c>
      <c r="H842" s="1">
        <f>VLOOKUP(tbl_details5[[#This Row],[Order ID]],Orders!A:F,2,FALSE)</f>
        <v>43431</v>
      </c>
      <c r="I842" s="1" t="str">
        <f>TEXT(tbl_details5[[#This Row],[Order Date]],"mmm-yy")</f>
        <v>Nov-18</v>
      </c>
      <c r="J842" t="str">
        <f>VLOOKUP(tbl_details5[[#This Row],[Order ID]],Table1[],4,FALSE)</f>
        <v>Saptadeep</v>
      </c>
      <c r="K842" t="str">
        <f>VLOOKUP(tbl_details5[[#This Row],[Order ID]],Table1[],5,FALSE)</f>
        <v>Gujarat</v>
      </c>
      <c r="L842" t="str">
        <f>VLOOKUP(tbl_details5[[#This Row],[Order ID]],Table1[],6,FALSE)</f>
        <v>Surat</v>
      </c>
    </row>
    <row r="843" spans="1:12" x14ac:dyDescent="0.25">
      <c r="A843" t="s">
        <v>571</v>
      </c>
      <c r="B843" s="4">
        <v>16</v>
      </c>
      <c r="C843" s="4">
        <v>-15</v>
      </c>
      <c r="D843" s="5">
        <f>tbl_details5[[#This Row],[Profit]]/tbl_details5[[#This Row],[Revenue]]</f>
        <v>-0.9375</v>
      </c>
      <c r="E843">
        <v>4</v>
      </c>
      <c r="F843" t="s">
        <v>885</v>
      </c>
      <c r="G843" t="s">
        <v>887</v>
      </c>
      <c r="H843" s="1">
        <f>VLOOKUP(tbl_details5[[#This Row],[Order ID]],Orders!A:F,2,FALSE)</f>
        <v>43431</v>
      </c>
      <c r="I843" s="1" t="str">
        <f>TEXT(tbl_details5[[#This Row],[Order Date]],"mmm-yy")</f>
        <v>Nov-18</v>
      </c>
      <c r="J843" t="str">
        <f>VLOOKUP(tbl_details5[[#This Row],[Order ID]],Table1[],4,FALSE)</f>
        <v>Saptadeep</v>
      </c>
      <c r="K843" t="str">
        <f>VLOOKUP(tbl_details5[[#This Row],[Order ID]],Table1[],5,FALSE)</f>
        <v>Gujarat</v>
      </c>
      <c r="L843" t="str">
        <f>VLOOKUP(tbl_details5[[#This Row],[Order ID]],Table1[],6,FALSE)</f>
        <v>Surat</v>
      </c>
    </row>
    <row r="844" spans="1:12" x14ac:dyDescent="0.25">
      <c r="A844" t="s">
        <v>571</v>
      </c>
      <c r="B844" s="4">
        <v>10</v>
      </c>
      <c r="C844" s="4">
        <v>-2</v>
      </c>
      <c r="D844" s="5">
        <f>tbl_details5[[#This Row],[Profit]]/tbl_details5[[#This Row],[Revenue]]</f>
        <v>-0.2</v>
      </c>
      <c r="E844">
        <v>2</v>
      </c>
      <c r="F844" t="s">
        <v>885</v>
      </c>
      <c r="G844" t="s">
        <v>897</v>
      </c>
      <c r="H844" s="1">
        <f>VLOOKUP(tbl_details5[[#This Row],[Order ID]],Orders!A:F,2,FALSE)</f>
        <v>43431</v>
      </c>
      <c r="I844" s="1" t="str">
        <f>TEXT(tbl_details5[[#This Row],[Order Date]],"mmm-yy")</f>
        <v>Nov-18</v>
      </c>
      <c r="J844" t="str">
        <f>VLOOKUP(tbl_details5[[#This Row],[Order ID]],Table1[],4,FALSE)</f>
        <v>Saptadeep</v>
      </c>
      <c r="K844" t="str">
        <f>VLOOKUP(tbl_details5[[#This Row],[Order ID]],Table1[],5,FALSE)</f>
        <v>Gujarat</v>
      </c>
      <c r="L844" t="str">
        <f>VLOOKUP(tbl_details5[[#This Row],[Order ID]],Table1[],6,FALSE)</f>
        <v>Surat</v>
      </c>
    </row>
    <row r="845" spans="1:12" x14ac:dyDescent="0.25">
      <c r="A845" t="s">
        <v>573</v>
      </c>
      <c r="B845" s="4">
        <v>24</v>
      </c>
      <c r="C845" s="4">
        <v>2</v>
      </c>
      <c r="D845" s="5">
        <f>tbl_details5[[#This Row],[Profit]]/tbl_details5[[#This Row],[Revenue]]</f>
        <v>8.3333333333333329E-2</v>
      </c>
      <c r="E845">
        <v>4</v>
      </c>
      <c r="F845" t="s">
        <v>885</v>
      </c>
      <c r="G845" t="s">
        <v>887</v>
      </c>
      <c r="H845" s="1">
        <f>VLOOKUP(tbl_details5[[#This Row],[Order ID]],Orders!A:F,2,FALSE)</f>
        <v>43432</v>
      </c>
      <c r="I845" s="1" t="str">
        <f>TEXT(tbl_details5[[#This Row],[Order Date]],"mmm-yy")</f>
        <v>Nov-18</v>
      </c>
      <c r="J845" t="str">
        <f>VLOOKUP(tbl_details5[[#This Row],[Order ID]],Table1[],4,FALSE)</f>
        <v>Sumeet</v>
      </c>
      <c r="K845" t="str">
        <f>VLOOKUP(tbl_details5[[#This Row],[Order ID]],Table1[],5,FALSE)</f>
        <v>Maharashtra</v>
      </c>
      <c r="L845" t="str">
        <f>VLOOKUP(tbl_details5[[#This Row],[Order ID]],Table1[],6,FALSE)</f>
        <v>Mumbai</v>
      </c>
    </row>
    <row r="846" spans="1:12" x14ac:dyDescent="0.25">
      <c r="A846" t="s">
        <v>575</v>
      </c>
      <c r="B846" s="4">
        <v>94</v>
      </c>
      <c r="C846" s="4">
        <v>27</v>
      </c>
      <c r="D846" s="5">
        <f>tbl_details5[[#This Row],[Profit]]/tbl_details5[[#This Row],[Revenue]]</f>
        <v>0.28723404255319152</v>
      </c>
      <c r="E846">
        <v>2</v>
      </c>
      <c r="F846" t="s">
        <v>885</v>
      </c>
      <c r="G846" t="s">
        <v>896</v>
      </c>
      <c r="H846" s="1">
        <f>VLOOKUP(tbl_details5[[#This Row],[Order ID]],Orders!A:F,2,FALSE)</f>
        <v>43432</v>
      </c>
      <c r="I846" s="1" t="str">
        <f>TEXT(tbl_details5[[#This Row],[Order Date]],"mmm-yy")</f>
        <v>Nov-18</v>
      </c>
      <c r="J846" t="str">
        <f>VLOOKUP(tbl_details5[[#This Row],[Order ID]],Table1[],4,FALSE)</f>
        <v>Shatayu</v>
      </c>
      <c r="K846" t="str">
        <f>VLOOKUP(tbl_details5[[#This Row],[Order ID]],Table1[],5,FALSE)</f>
        <v>Madhya Pradesh</v>
      </c>
      <c r="L846" t="str">
        <f>VLOOKUP(tbl_details5[[#This Row],[Order ID]],Table1[],6,FALSE)</f>
        <v>Indore</v>
      </c>
    </row>
    <row r="847" spans="1:12" x14ac:dyDescent="0.25">
      <c r="A847" t="s">
        <v>575</v>
      </c>
      <c r="B847" s="4">
        <v>394</v>
      </c>
      <c r="C847" s="4">
        <v>146</v>
      </c>
      <c r="D847" s="5">
        <f>tbl_details5[[#This Row],[Profit]]/tbl_details5[[#This Row],[Revenue]]</f>
        <v>0.37055837563451777</v>
      </c>
      <c r="E847">
        <v>2</v>
      </c>
      <c r="F847" t="s">
        <v>883</v>
      </c>
      <c r="G847" t="s">
        <v>884</v>
      </c>
      <c r="H847" s="1">
        <f>VLOOKUP(tbl_details5[[#This Row],[Order ID]],Orders!A:F,2,FALSE)</f>
        <v>43432</v>
      </c>
      <c r="I847" s="1" t="str">
        <f>TEXT(tbl_details5[[#This Row],[Order Date]],"mmm-yy")</f>
        <v>Nov-18</v>
      </c>
      <c r="J847" t="str">
        <f>VLOOKUP(tbl_details5[[#This Row],[Order ID]],Table1[],4,FALSE)</f>
        <v>Shatayu</v>
      </c>
      <c r="K847" t="str">
        <f>VLOOKUP(tbl_details5[[#This Row],[Order ID]],Table1[],5,FALSE)</f>
        <v>Madhya Pradesh</v>
      </c>
      <c r="L847" t="str">
        <f>VLOOKUP(tbl_details5[[#This Row],[Order ID]],Table1[],6,FALSE)</f>
        <v>Indore</v>
      </c>
    </row>
    <row r="848" spans="1:12" x14ac:dyDescent="0.25">
      <c r="A848" t="s">
        <v>575</v>
      </c>
      <c r="B848" s="4">
        <v>734</v>
      </c>
      <c r="C848" s="4">
        <v>248</v>
      </c>
      <c r="D848" s="5">
        <f>tbl_details5[[#This Row],[Profit]]/tbl_details5[[#This Row],[Revenue]]</f>
        <v>0.33787465940054495</v>
      </c>
      <c r="E848">
        <v>2</v>
      </c>
      <c r="F848" t="s">
        <v>883</v>
      </c>
      <c r="G848" t="s">
        <v>893</v>
      </c>
      <c r="H848" s="1">
        <f>VLOOKUP(tbl_details5[[#This Row],[Order ID]],Orders!A:F,2,FALSE)</f>
        <v>43432</v>
      </c>
      <c r="I848" s="1" t="str">
        <f>TEXT(tbl_details5[[#This Row],[Order Date]],"mmm-yy")</f>
        <v>Nov-18</v>
      </c>
      <c r="J848" t="str">
        <f>VLOOKUP(tbl_details5[[#This Row],[Order ID]],Table1[],4,FALSE)</f>
        <v>Shatayu</v>
      </c>
      <c r="K848" t="str">
        <f>VLOOKUP(tbl_details5[[#This Row],[Order ID]],Table1[],5,FALSE)</f>
        <v>Madhya Pradesh</v>
      </c>
      <c r="L848" t="str">
        <f>VLOOKUP(tbl_details5[[#This Row],[Order ID]],Table1[],6,FALSE)</f>
        <v>Indore</v>
      </c>
    </row>
    <row r="849" spans="1:12" x14ac:dyDescent="0.25">
      <c r="A849" t="s">
        <v>575</v>
      </c>
      <c r="B849" s="4">
        <v>349</v>
      </c>
      <c r="C849" s="4">
        <v>0</v>
      </c>
      <c r="D849" s="5">
        <f>tbl_details5[[#This Row],[Profit]]/tbl_details5[[#This Row],[Revenue]]</f>
        <v>0</v>
      </c>
      <c r="E849">
        <v>7</v>
      </c>
      <c r="F849" t="s">
        <v>885</v>
      </c>
      <c r="G849" t="s">
        <v>886</v>
      </c>
      <c r="H849" s="1">
        <f>VLOOKUP(tbl_details5[[#This Row],[Order ID]],Orders!A:F,2,FALSE)</f>
        <v>43432</v>
      </c>
      <c r="I849" s="1" t="str">
        <f>TEXT(tbl_details5[[#This Row],[Order Date]],"mmm-yy")</f>
        <v>Nov-18</v>
      </c>
      <c r="J849" t="str">
        <f>VLOOKUP(tbl_details5[[#This Row],[Order ID]],Table1[],4,FALSE)</f>
        <v>Shatayu</v>
      </c>
      <c r="K849" t="str">
        <f>VLOOKUP(tbl_details5[[#This Row],[Order ID]],Table1[],5,FALSE)</f>
        <v>Madhya Pradesh</v>
      </c>
      <c r="L849" t="str">
        <f>VLOOKUP(tbl_details5[[#This Row],[Order ID]],Table1[],6,FALSE)</f>
        <v>Indore</v>
      </c>
    </row>
    <row r="850" spans="1:12" x14ac:dyDescent="0.25">
      <c r="A850" t="s">
        <v>577</v>
      </c>
      <c r="B850" s="4">
        <v>89</v>
      </c>
      <c r="C850" s="4">
        <v>17</v>
      </c>
      <c r="D850" s="5">
        <f>tbl_details5[[#This Row],[Profit]]/tbl_details5[[#This Row],[Revenue]]</f>
        <v>0.19101123595505617</v>
      </c>
      <c r="E850">
        <v>2</v>
      </c>
      <c r="F850" t="s">
        <v>885</v>
      </c>
      <c r="G850" t="s">
        <v>886</v>
      </c>
      <c r="H850" s="1">
        <f>VLOOKUP(tbl_details5[[#This Row],[Order ID]],Orders!A:F,2,FALSE)</f>
        <v>43432</v>
      </c>
      <c r="I850" s="1" t="str">
        <f>TEXT(tbl_details5[[#This Row],[Order Date]],"mmm-yy")</f>
        <v>Nov-18</v>
      </c>
      <c r="J850" t="str">
        <f>VLOOKUP(tbl_details5[[#This Row],[Order ID]],Table1[],4,FALSE)</f>
        <v>Brijesh</v>
      </c>
      <c r="K850" t="str">
        <f>VLOOKUP(tbl_details5[[#This Row],[Order ID]],Table1[],5,FALSE)</f>
        <v>Rajasthan</v>
      </c>
      <c r="L850" t="str">
        <f>VLOOKUP(tbl_details5[[#This Row],[Order ID]],Table1[],6,FALSE)</f>
        <v>Udaipur</v>
      </c>
    </row>
    <row r="851" spans="1:12" x14ac:dyDescent="0.25">
      <c r="A851" t="s">
        <v>577</v>
      </c>
      <c r="B851" s="4">
        <v>502</v>
      </c>
      <c r="C851" s="4">
        <v>84</v>
      </c>
      <c r="D851" s="5">
        <f>tbl_details5[[#This Row],[Profit]]/tbl_details5[[#This Row],[Revenue]]</f>
        <v>0.16733067729083664</v>
      </c>
      <c r="E851">
        <v>4</v>
      </c>
      <c r="F851" t="s">
        <v>888</v>
      </c>
      <c r="G851" t="s">
        <v>890</v>
      </c>
      <c r="H851" s="1">
        <f>VLOOKUP(tbl_details5[[#This Row],[Order ID]],Orders!A:F,2,FALSE)</f>
        <v>43432</v>
      </c>
      <c r="I851" s="1" t="str">
        <f>TEXT(tbl_details5[[#This Row],[Order Date]],"mmm-yy")</f>
        <v>Nov-18</v>
      </c>
      <c r="J851" t="str">
        <f>VLOOKUP(tbl_details5[[#This Row],[Order ID]],Table1[],4,FALSE)</f>
        <v>Brijesh</v>
      </c>
      <c r="K851" t="str">
        <f>VLOOKUP(tbl_details5[[#This Row],[Order ID]],Table1[],5,FALSE)</f>
        <v>Rajasthan</v>
      </c>
      <c r="L851" t="str">
        <f>VLOOKUP(tbl_details5[[#This Row],[Order ID]],Table1[],6,FALSE)</f>
        <v>Udaipur</v>
      </c>
    </row>
    <row r="852" spans="1:12" x14ac:dyDescent="0.25">
      <c r="A852" t="s">
        <v>577</v>
      </c>
      <c r="B852" s="4">
        <v>63</v>
      </c>
      <c r="C852" s="4">
        <v>1</v>
      </c>
      <c r="D852" s="5">
        <f>tbl_details5[[#This Row],[Profit]]/tbl_details5[[#This Row],[Revenue]]</f>
        <v>1.5873015873015872E-2</v>
      </c>
      <c r="E852">
        <v>4</v>
      </c>
      <c r="F852" t="s">
        <v>885</v>
      </c>
      <c r="G852" t="s">
        <v>895</v>
      </c>
      <c r="H852" s="1">
        <f>VLOOKUP(tbl_details5[[#This Row],[Order ID]],Orders!A:F,2,FALSE)</f>
        <v>43432</v>
      </c>
      <c r="I852" s="1" t="str">
        <f>TEXT(tbl_details5[[#This Row],[Order Date]],"mmm-yy")</f>
        <v>Nov-18</v>
      </c>
      <c r="J852" t="str">
        <f>VLOOKUP(tbl_details5[[#This Row],[Order ID]],Table1[],4,FALSE)</f>
        <v>Brijesh</v>
      </c>
      <c r="K852" t="str">
        <f>VLOOKUP(tbl_details5[[#This Row],[Order ID]],Table1[],5,FALSE)</f>
        <v>Rajasthan</v>
      </c>
      <c r="L852" t="str">
        <f>VLOOKUP(tbl_details5[[#This Row],[Order ID]],Table1[],6,FALSE)</f>
        <v>Udaipur</v>
      </c>
    </row>
    <row r="853" spans="1:12" x14ac:dyDescent="0.25">
      <c r="A853" t="s">
        <v>577</v>
      </c>
      <c r="B853" s="4">
        <v>107</v>
      </c>
      <c r="C853" s="4">
        <v>37</v>
      </c>
      <c r="D853" s="5">
        <f>tbl_details5[[#This Row],[Profit]]/tbl_details5[[#This Row],[Revenue]]</f>
        <v>0.34579439252336447</v>
      </c>
      <c r="E853">
        <v>3</v>
      </c>
      <c r="F853" t="s">
        <v>885</v>
      </c>
      <c r="G853" t="s">
        <v>896</v>
      </c>
      <c r="H853" s="1">
        <f>VLOOKUP(tbl_details5[[#This Row],[Order ID]],Orders!A:F,2,FALSE)</f>
        <v>43432</v>
      </c>
      <c r="I853" s="1" t="str">
        <f>TEXT(tbl_details5[[#This Row],[Order Date]],"mmm-yy")</f>
        <v>Nov-18</v>
      </c>
      <c r="J853" t="str">
        <f>VLOOKUP(tbl_details5[[#This Row],[Order ID]],Table1[],4,FALSE)</f>
        <v>Brijesh</v>
      </c>
      <c r="K853" t="str">
        <f>VLOOKUP(tbl_details5[[#This Row],[Order ID]],Table1[],5,FALSE)</f>
        <v>Rajasthan</v>
      </c>
      <c r="L853" t="str">
        <f>VLOOKUP(tbl_details5[[#This Row],[Order ID]],Table1[],6,FALSE)</f>
        <v>Udaipur</v>
      </c>
    </row>
    <row r="854" spans="1:12" x14ac:dyDescent="0.25">
      <c r="A854" t="s">
        <v>579</v>
      </c>
      <c r="B854" s="4">
        <v>83</v>
      </c>
      <c r="C854" s="4">
        <v>6</v>
      </c>
      <c r="D854" s="5">
        <f>tbl_details5[[#This Row],[Profit]]/tbl_details5[[#This Row],[Revenue]]</f>
        <v>7.2289156626506021E-2</v>
      </c>
      <c r="E854">
        <v>6</v>
      </c>
      <c r="F854" t="s">
        <v>885</v>
      </c>
      <c r="G854" t="s">
        <v>896</v>
      </c>
      <c r="H854" s="1">
        <f>VLOOKUP(tbl_details5[[#This Row],[Order ID]],Orders!A:F,2,FALSE)</f>
        <v>43435</v>
      </c>
      <c r="I854" s="1" t="str">
        <f>TEXT(tbl_details5[[#This Row],[Order Date]],"mmm-yy")</f>
        <v>Dec-18</v>
      </c>
      <c r="J854" t="str">
        <f>VLOOKUP(tbl_details5[[#This Row],[Order ID]],Table1[],4,FALSE)</f>
        <v>Vedant</v>
      </c>
      <c r="K854" t="str">
        <f>VLOOKUP(tbl_details5[[#This Row],[Order ID]],Table1[],5,FALSE)</f>
        <v>Uttar Pradesh</v>
      </c>
      <c r="L854" t="str">
        <f>VLOOKUP(tbl_details5[[#This Row],[Order ID]],Table1[],6,FALSE)</f>
        <v>Allahabad</v>
      </c>
    </row>
    <row r="855" spans="1:12" x14ac:dyDescent="0.25">
      <c r="A855" t="s">
        <v>579</v>
      </c>
      <c r="B855" s="4">
        <v>2125</v>
      </c>
      <c r="C855" s="4">
        <v>234</v>
      </c>
      <c r="D855" s="5">
        <f>tbl_details5[[#This Row],[Profit]]/tbl_details5[[#This Row],[Revenue]]</f>
        <v>0.11011764705882353</v>
      </c>
      <c r="E855">
        <v>6</v>
      </c>
      <c r="F855" t="s">
        <v>888</v>
      </c>
      <c r="G855" t="s">
        <v>899</v>
      </c>
      <c r="H855" s="1">
        <f>VLOOKUP(tbl_details5[[#This Row],[Order ID]],Orders!A:F,2,FALSE)</f>
        <v>43435</v>
      </c>
      <c r="I855" s="1" t="str">
        <f>TEXT(tbl_details5[[#This Row],[Order Date]],"mmm-yy")</f>
        <v>Dec-18</v>
      </c>
      <c r="J855" t="str">
        <f>VLOOKUP(tbl_details5[[#This Row],[Order ID]],Table1[],4,FALSE)</f>
        <v>Vedant</v>
      </c>
      <c r="K855" t="str">
        <f>VLOOKUP(tbl_details5[[#This Row],[Order ID]],Table1[],5,FALSE)</f>
        <v>Uttar Pradesh</v>
      </c>
      <c r="L855" t="str">
        <f>VLOOKUP(tbl_details5[[#This Row],[Order ID]],Table1[],6,FALSE)</f>
        <v>Allahabad</v>
      </c>
    </row>
    <row r="856" spans="1:12" x14ac:dyDescent="0.25">
      <c r="A856" t="s">
        <v>581</v>
      </c>
      <c r="B856" s="4">
        <v>18</v>
      </c>
      <c r="C856" s="4">
        <v>2</v>
      </c>
      <c r="D856" s="5">
        <f>tbl_details5[[#This Row],[Profit]]/tbl_details5[[#This Row],[Revenue]]</f>
        <v>0.1111111111111111</v>
      </c>
      <c r="E856">
        <v>3</v>
      </c>
      <c r="F856" t="s">
        <v>885</v>
      </c>
      <c r="G856" t="s">
        <v>887</v>
      </c>
      <c r="H856" s="1">
        <f>VLOOKUP(tbl_details5[[#This Row],[Order ID]],Orders!A:F,2,FALSE)</f>
        <v>43436</v>
      </c>
      <c r="I856" s="1" t="str">
        <f>TEXT(tbl_details5[[#This Row],[Order Date]],"mmm-yy")</f>
        <v>Dec-18</v>
      </c>
      <c r="J856" t="str">
        <f>VLOOKUP(tbl_details5[[#This Row],[Order ID]],Table1[],4,FALSE)</f>
        <v>Rohan</v>
      </c>
      <c r="K856" t="str">
        <f>VLOOKUP(tbl_details5[[#This Row],[Order ID]],Table1[],5,FALSE)</f>
        <v>Punjab</v>
      </c>
      <c r="L856" t="str">
        <f>VLOOKUP(tbl_details5[[#This Row],[Order ID]],Table1[],6,FALSE)</f>
        <v>Amritsar</v>
      </c>
    </row>
    <row r="857" spans="1:12" x14ac:dyDescent="0.25">
      <c r="A857" t="s">
        <v>581</v>
      </c>
      <c r="B857" s="4">
        <v>223</v>
      </c>
      <c r="C857" s="4">
        <v>4</v>
      </c>
      <c r="D857" s="5">
        <f>tbl_details5[[#This Row],[Profit]]/tbl_details5[[#This Row],[Revenue]]</f>
        <v>1.7937219730941704E-2</v>
      </c>
      <c r="E857">
        <v>3</v>
      </c>
      <c r="F857" t="s">
        <v>888</v>
      </c>
      <c r="G857" t="s">
        <v>890</v>
      </c>
      <c r="H857" s="1">
        <f>VLOOKUP(tbl_details5[[#This Row],[Order ID]],Orders!A:F,2,FALSE)</f>
        <v>43436</v>
      </c>
      <c r="I857" s="1" t="str">
        <f>TEXT(tbl_details5[[#This Row],[Order Date]],"mmm-yy")</f>
        <v>Dec-18</v>
      </c>
      <c r="J857" t="str">
        <f>VLOOKUP(tbl_details5[[#This Row],[Order ID]],Table1[],4,FALSE)</f>
        <v>Rohan</v>
      </c>
      <c r="K857" t="str">
        <f>VLOOKUP(tbl_details5[[#This Row],[Order ID]],Table1[],5,FALSE)</f>
        <v>Punjab</v>
      </c>
      <c r="L857" t="str">
        <f>VLOOKUP(tbl_details5[[#This Row],[Order ID]],Table1[],6,FALSE)</f>
        <v>Amritsar</v>
      </c>
    </row>
    <row r="858" spans="1:12" x14ac:dyDescent="0.25">
      <c r="A858" t="s">
        <v>581</v>
      </c>
      <c r="B858" s="4">
        <v>646</v>
      </c>
      <c r="C858" s="4">
        <v>213</v>
      </c>
      <c r="D858" s="5">
        <f>tbl_details5[[#This Row],[Profit]]/tbl_details5[[#This Row],[Revenue]]</f>
        <v>0.32972136222910214</v>
      </c>
      <c r="E858">
        <v>3</v>
      </c>
      <c r="F858" t="s">
        <v>888</v>
      </c>
      <c r="G858" t="s">
        <v>889</v>
      </c>
      <c r="H858" s="1">
        <f>VLOOKUP(tbl_details5[[#This Row],[Order ID]],Orders!A:F,2,FALSE)</f>
        <v>43436</v>
      </c>
      <c r="I858" s="1" t="str">
        <f>TEXT(tbl_details5[[#This Row],[Order Date]],"mmm-yy")</f>
        <v>Dec-18</v>
      </c>
      <c r="J858" t="str">
        <f>VLOOKUP(tbl_details5[[#This Row],[Order ID]],Table1[],4,FALSE)</f>
        <v>Rohan</v>
      </c>
      <c r="K858" t="str">
        <f>VLOOKUP(tbl_details5[[#This Row],[Order ID]],Table1[],5,FALSE)</f>
        <v>Punjab</v>
      </c>
      <c r="L858" t="str">
        <f>VLOOKUP(tbl_details5[[#This Row],[Order ID]],Table1[],6,FALSE)</f>
        <v>Amritsar</v>
      </c>
    </row>
    <row r="859" spans="1:12" x14ac:dyDescent="0.25">
      <c r="A859" t="s">
        <v>582</v>
      </c>
      <c r="B859" s="4">
        <v>31</v>
      </c>
      <c r="C859" s="4">
        <v>10</v>
      </c>
      <c r="D859" s="5">
        <f>tbl_details5[[#This Row],[Profit]]/tbl_details5[[#This Row],[Revenue]]</f>
        <v>0.32258064516129031</v>
      </c>
      <c r="E859">
        <v>1</v>
      </c>
      <c r="F859" t="s">
        <v>885</v>
      </c>
      <c r="G859" t="s">
        <v>894</v>
      </c>
      <c r="H859" s="1">
        <f>VLOOKUP(tbl_details5[[#This Row],[Order ID]],Orders!A:F,2,FALSE)</f>
        <v>43437</v>
      </c>
      <c r="I859" s="1" t="str">
        <f>TEXT(tbl_details5[[#This Row],[Order Date]],"mmm-yy")</f>
        <v>Dec-18</v>
      </c>
      <c r="J859" t="str">
        <f>VLOOKUP(tbl_details5[[#This Row],[Order ID]],Table1[],4,FALSE)</f>
        <v>Abhishek</v>
      </c>
      <c r="K859" t="str">
        <f>VLOOKUP(tbl_details5[[#This Row],[Order ID]],Table1[],5,FALSE)</f>
        <v>Gujarat</v>
      </c>
      <c r="L859" t="str">
        <f>VLOOKUP(tbl_details5[[#This Row],[Order ID]],Table1[],6,FALSE)</f>
        <v>Surat</v>
      </c>
    </row>
    <row r="860" spans="1:12" x14ac:dyDescent="0.25">
      <c r="A860" t="s">
        <v>582</v>
      </c>
      <c r="B860" s="4">
        <v>119</v>
      </c>
      <c r="C860" s="4">
        <v>43</v>
      </c>
      <c r="D860" s="5">
        <f>tbl_details5[[#This Row],[Profit]]/tbl_details5[[#This Row],[Revenue]]</f>
        <v>0.36134453781512604</v>
      </c>
      <c r="E860">
        <v>7</v>
      </c>
      <c r="F860" t="s">
        <v>885</v>
      </c>
      <c r="G860" t="s">
        <v>894</v>
      </c>
      <c r="H860" s="1">
        <f>VLOOKUP(tbl_details5[[#This Row],[Order ID]],Orders!A:F,2,FALSE)</f>
        <v>43437</v>
      </c>
      <c r="I860" s="1" t="str">
        <f>TEXT(tbl_details5[[#This Row],[Order Date]],"mmm-yy")</f>
        <v>Dec-18</v>
      </c>
      <c r="J860" t="str">
        <f>VLOOKUP(tbl_details5[[#This Row],[Order ID]],Table1[],4,FALSE)</f>
        <v>Abhishek</v>
      </c>
      <c r="K860" t="str">
        <f>VLOOKUP(tbl_details5[[#This Row],[Order ID]],Table1[],5,FALSE)</f>
        <v>Gujarat</v>
      </c>
      <c r="L860" t="str">
        <f>VLOOKUP(tbl_details5[[#This Row],[Order ID]],Table1[],6,FALSE)</f>
        <v>Surat</v>
      </c>
    </row>
    <row r="861" spans="1:12" x14ac:dyDescent="0.25">
      <c r="A861" t="s">
        <v>582</v>
      </c>
      <c r="B861" s="4">
        <v>114</v>
      </c>
      <c r="C861" s="4">
        <v>11</v>
      </c>
      <c r="D861" s="5">
        <f>tbl_details5[[#This Row],[Profit]]/tbl_details5[[#This Row],[Revenue]]</f>
        <v>9.6491228070175433E-2</v>
      </c>
      <c r="E861">
        <v>4</v>
      </c>
      <c r="F861" t="s">
        <v>885</v>
      </c>
      <c r="G861" t="s">
        <v>895</v>
      </c>
      <c r="H861" s="1">
        <f>VLOOKUP(tbl_details5[[#This Row],[Order ID]],Orders!A:F,2,FALSE)</f>
        <v>43437</v>
      </c>
      <c r="I861" s="1" t="str">
        <f>TEXT(tbl_details5[[#This Row],[Order Date]],"mmm-yy")</f>
        <v>Dec-18</v>
      </c>
      <c r="J861" t="str">
        <f>VLOOKUP(tbl_details5[[#This Row],[Order ID]],Table1[],4,FALSE)</f>
        <v>Abhishek</v>
      </c>
      <c r="K861" t="str">
        <f>VLOOKUP(tbl_details5[[#This Row],[Order ID]],Table1[],5,FALSE)</f>
        <v>Gujarat</v>
      </c>
      <c r="L861" t="str">
        <f>VLOOKUP(tbl_details5[[#This Row],[Order ID]],Table1[],6,FALSE)</f>
        <v>Surat</v>
      </c>
    </row>
    <row r="862" spans="1:12" x14ac:dyDescent="0.25">
      <c r="A862" t="s">
        <v>583</v>
      </c>
      <c r="B862" s="4">
        <v>465</v>
      </c>
      <c r="C862" s="4">
        <v>207</v>
      </c>
      <c r="D862" s="5">
        <f>tbl_details5[[#This Row],[Profit]]/tbl_details5[[#This Row],[Revenue]]</f>
        <v>0.44516129032258067</v>
      </c>
      <c r="E862">
        <v>9</v>
      </c>
      <c r="F862" t="s">
        <v>885</v>
      </c>
      <c r="G862" t="s">
        <v>891</v>
      </c>
      <c r="H862" s="1">
        <f>VLOOKUP(tbl_details5[[#This Row],[Order ID]],Orders!A:F,2,FALSE)</f>
        <v>43438</v>
      </c>
      <c r="I862" s="1" t="str">
        <f>TEXT(tbl_details5[[#This Row],[Order Date]],"mmm-yy")</f>
        <v>Dec-18</v>
      </c>
      <c r="J862" t="str">
        <f>VLOOKUP(tbl_details5[[#This Row],[Order ID]],Table1[],4,FALSE)</f>
        <v>Divyansha</v>
      </c>
      <c r="K862" t="str">
        <f>VLOOKUP(tbl_details5[[#This Row],[Order ID]],Table1[],5,FALSE)</f>
        <v>Maharashtra</v>
      </c>
      <c r="L862" t="str">
        <f>VLOOKUP(tbl_details5[[#This Row],[Order ID]],Table1[],6,FALSE)</f>
        <v>Mumbai</v>
      </c>
    </row>
    <row r="863" spans="1:12" x14ac:dyDescent="0.25">
      <c r="A863" t="s">
        <v>585</v>
      </c>
      <c r="B863" s="4">
        <v>25</v>
      </c>
      <c r="C863" s="4">
        <v>2</v>
      </c>
      <c r="D863" s="5">
        <f>tbl_details5[[#This Row],[Profit]]/tbl_details5[[#This Row],[Revenue]]</f>
        <v>0.08</v>
      </c>
      <c r="E863">
        <v>2</v>
      </c>
      <c r="F863" t="s">
        <v>885</v>
      </c>
      <c r="G863" t="s">
        <v>887</v>
      </c>
      <c r="H863" s="1">
        <f>VLOOKUP(tbl_details5[[#This Row],[Order ID]],Orders!A:F,2,FALSE)</f>
        <v>43438</v>
      </c>
      <c r="I863" s="1" t="str">
        <f>TEXT(tbl_details5[[#This Row],[Order Date]],"mmm-yy")</f>
        <v>Dec-18</v>
      </c>
      <c r="J863" t="str">
        <f>VLOOKUP(tbl_details5[[#This Row],[Order ID]],Table1[],4,FALSE)</f>
        <v>Shivani</v>
      </c>
      <c r="K863" t="str">
        <f>VLOOKUP(tbl_details5[[#This Row],[Order ID]],Table1[],5,FALSE)</f>
        <v>Madhya Pradesh</v>
      </c>
      <c r="L863" t="str">
        <f>VLOOKUP(tbl_details5[[#This Row],[Order ID]],Table1[],6,FALSE)</f>
        <v>Indore</v>
      </c>
    </row>
    <row r="864" spans="1:12" x14ac:dyDescent="0.25">
      <c r="A864" t="s">
        <v>585</v>
      </c>
      <c r="B864" s="4">
        <v>97</v>
      </c>
      <c r="C864" s="4">
        <v>36</v>
      </c>
      <c r="D864" s="5">
        <f>tbl_details5[[#This Row],[Profit]]/tbl_details5[[#This Row],[Revenue]]</f>
        <v>0.37113402061855671</v>
      </c>
      <c r="E864">
        <v>7</v>
      </c>
      <c r="F864" t="s">
        <v>885</v>
      </c>
      <c r="G864" t="s">
        <v>887</v>
      </c>
      <c r="H864" s="1">
        <f>VLOOKUP(tbl_details5[[#This Row],[Order ID]],Orders!A:F,2,FALSE)</f>
        <v>43438</v>
      </c>
      <c r="I864" s="1" t="str">
        <f>TEXT(tbl_details5[[#This Row],[Order Date]],"mmm-yy")</f>
        <v>Dec-18</v>
      </c>
      <c r="J864" t="str">
        <f>VLOOKUP(tbl_details5[[#This Row],[Order ID]],Table1[],4,FALSE)</f>
        <v>Shivani</v>
      </c>
      <c r="K864" t="str">
        <f>VLOOKUP(tbl_details5[[#This Row],[Order ID]],Table1[],5,FALSE)</f>
        <v>Madhya Pradesh</v>
      </c>
      <c r="L864" t="str">
        <f>VLOOKUP(tbl_details5[[#This Row],[Order ID]],Table1[],6,FALSE)</f>
        <v>Indore</v>
      </c>
    </row>
    <row r="865" spans="1:12" x14ac:dyDescent="0.25">
      <c r="A865" t="s">
        <v>585</v>
      </c>
      <c r="B865" s="4">
        <v>121</v>
      </c>
      <c r="C865" s="4">
        <v>41</v>
      </c>
      <c r="D865" s="5">
        <f>tbl_details5[[#This Row],[Profit]]/tbl_details5[[#This Row],[Revenue]]</f>
        <v>0.33884297520661155</v>
      </c>
      <c r="E865">
        <v>4</v>
      </c>
      <c r="F865" t="s">
        <v>885</v>
      </c>
      <c r="G865" t="s">
        <v>886</v>
      </c>
      <c r="H865" s="1">
        <f>VLOOKUP(tbl_details5[[#This Row],[Order ID]],Orders!A:F,2,FALSE)</f>
        <v>43438</v>
      </c>
      <c r="I865" s="1" t="str">
        <f>TEXT(tbl_details5[[#This Row],[Order Date]],"mmm-yy")</f>
        <v>Dec-18</v>
      </c>
      <c r="J865" t="str">
        <f>VLOOKUP(tbl_details5[[#This Row],[Order ID]],Table1[],4,FALSE)</f>
        <v>Shivani</v>
      </c>
      <c r="K865" t="str">
        <f>VLOOKUP(tbl_details5[[#This Row],[Order ID]],Table1[],5,FALSE)</f>
        <v>Madhya Pradesh</v>
      </c>
      <c r="L865" t="str">
        <f>VLOOKUP(tbl_details5[[#This Row],[Order ID]],Table1[],6,FALSE)</f>
        <v>Indore</v>
      </c>
    </row>
    <row r="866" spans="1:12" x14ac:dyDescent="0.25">
      <c r="A866" t="s">
        <v>586</v>
      </c>
      <c r="B866" s="4">
        <v>139</v>
      </c>
      <c r="C866" s="4">
        <v>30</v>
      </c>
      <c r="D866" s="5">
        <f>tbl_details5[[#This Row],[Profit]]/tbl_details5[[#This Row],[Revenue]]</f>
        <v>0.21582733812949639</v>
      </c>
      <c r="E866">
        <v>3</v>
      </c>
      <c r="F866" t="s">
        <v>885</v>
      </c>
      <c r="G866" t="s">
        <v>896</v>
      </c>
      <c r="H866" s="1">
        <f>VLOOKUP(tbl_details5[[#This Row],[Order ID]],Orders!A:F,2,FALSE)</f>
        <v>43438</v>
      </c>
      <c r="I866" s="1" t="str">
        <f>TEXT(tbl_details5[[#This Row],[Order Date]],"mmm-yy")</f>
        <v>Dec-18</v>
      </c>
      <c r="J866" t="str">
        <f>VLOOKUP(tbl_details5[[#This Row],[Order ID]],Table1[],4,FALSE)</f>
        <v>Aditi</v>
      </c>
      <c r="K866" t="str">
        <f>VLOOKUP(tbl_details5[[#This Row],[Order ID]],Table1[],5,FALSE)</f>
        <v>Rajasthan</v>
      </c>
      <c r="L866" t="str">
        <f>VLOOKUP(tbl_details5[[#This Row],[Order ID]],Table1[],6,FALSE)</f>
        <v>Udaipur</v>
      </c>
    </row>
    <row r="867" spans="1:12" x14ac:dyDescent="0.25">
      <c r="A867" t="s">
        <v>587</v>
      </c>
      <c r="B867" s="4">
        <v>355</v>
      </c>
      <c r="C867" s="4">
        <v>114</v>
      </c>
      <c r="D867" s="5">
        <f>tbl_details5[[#This Row],[Profit]]/tbl_details5[[#This Row],[Revenue]]</f>
        <v>0.3211267605633803</v>
      </c>
      <c r="E867">
        <v>7</v>
      </c>
      <c r="F867" t="s">
        <v>885</v>
      </c>
      <c r="G867" t="s">
        <v>886</v>
      </c>
      <c r="H867" s="1">
        <f>VLOOKUP(tbl_details5[[#This Row],[Order ID]],Orders!A:F,2,FALSE)</f>
        <v>43438</v>
      </c>
      <c r="I867" s="1" t="str">
        <f>TEXT(tbl_details5[[#This Row],[Order Date]],"mmm-yy")</f>
        <v>Dec-18</v>
      </c>
      <c r="J867" t="str">
        <f>VLOOKUP(tbl_details5[[#This Row],[Order ID]],Table1[],4,FALSE)</f>
        <v>Aashna</v>
      </c>
      <c r="K867" t="str">
        <f>VLOOKUP(tbl_details5[[#This Row],[Order ID]],Table1[],5,FALSE)</f>
        <v>Uttar Pradesh</v>
      </c>
      <c r="L867" t="str">
        <f>VLOOKUP(tbl_details5[[#This Row],[Order ID]],Table1[],6,FALSE)</f>
        <v>Allahabad</v>
      </c>
    </row>
    <row r="868" spans="1:12" x14ac:dyDescent="0.25">
      <c r="A868" t="s">
        <v>587</v>
      </c>
      <c r="B868" s="4">
        <v>61</v>
      </c>
      <c r="C868" s="4">
        <v>11</v>
      </c>
      <c r="D868" s="5">
        <f>tbl_details5[[#This Row],[Profit]]/tbl_details5[[#This Row],[Revenue]]</f>
        <v>0.18032786885245902</v>
      </c>
      <c r="E868">
        <v>3</v>
      </c>
      <c r="F868" t="s">
        <v>885</v>
      </c>
      <c r="G868" t="s">
        <v>894</v>
      </c>
      <c r="H868" s="1">
        <f>VLOOKUP(tbl_details5[[#This Row],[Order ID]],Orders!A:F,2,FALSE)</f>
        <v>43438</v>
      </c>
      <c r="I868" s="1" t="str">
        <f>TEXT(tbl_details5[[#This Row],[Order Date]],"mmm-yy")</f>
        <v>Dec-18</v>
      </c>
      <c r="J868" t="str">
        <f>VLOOKUP(tbl_details5[[#This Row],[Order ID]],Table1[],4,FALSE)</f>
        <v>Aashna</v>
      </c>
      <c r="K868" t="str">
        <f>VLOOKUP(tbl_details5[[#This Row],[Order ID]],Table1[],5,FALSE)</f>
        <v>Uttar Pradesh</v>
      </c>
      <c r="L868" t="str">
        <f>VLOOKUP(tbl_details5[[#This Row],[Order ID]],Table1[],6,FALSE)</f>
        <v>Allahabad</v>
      </c>
    </row>
    <row r="869" spans="1:12" x14ac:dyDescent="0.25">
      <c r="A869" t="s">
        <v>587</v>
      </c>
      <c r="B869" s="4">
        <v>149</v>
      </c>
      <c r="C869" s="4">
        <v>15</v>
      </c>
      <c r="D869" s="5">
        <f>tbl_details5[[#This Row],[Profit]]/tbl_details5[[#This Row],[Revenue]]</f>
        <v>0.10067114093959731</v>
      </c>
      <c r="E869">
        <v>3</v>
      </c>
      <c r="F869" t="s">
        <v>885</v>
      </c>
      <c r="G869" t="s">
        <v>891</v>
      </c>
      <c r="H869" s="1">
        <f>VLOOKUP(tbl_details5[[#This Row],[Order ID]],Orders!A:F,2,FALSE)</f>
        <v>43438</v>
      </c>
      <c r="I869" s="1" t="str">
        <f>TEXT(tbl_details5[[#This Row],[Order Date]],"mmm-yy")</f>
        <v>Dec-18</v>
      </c>
      <c r="J869" t="str">
        <f>VLOOKUP(tbl_details5[[#This Row],[Order ID]],Table1[],4,FALSE)</f>
        <v>Aashna</v>
      </c>
      <c r="K869" t="str">
        <f>VLOOKUP(tbl_details5[[#This Row],[Order ID]],Table1[],5,FALSE)</f>
        <v>Uttar Pradesh</v>
      </c>
      <c r="L869" t="str">
        <f>VLOOKUP(tbl_details5[[#This Row],[Order ID]],Table1[],6,FALSE)</f>
        <v>Allahabad</v>
      </c>
    </row>
    <row r="870" spans="1:12" x14ac:dyDescent="0.25">
      <c r="A870" t="s">
        <v>587</v>
      </c>
      <c r="B870" s="4">
        <v>688</v>
      </c>
      <c r="C870" s="4">
        <v>103</v>
      </c>
      <c r="D870" s="5">
        <f>tbl_details5[[#This Row],[Profit]]/tbl_details5[[#This Row],[Revenue]]</f>
        <v>0.14970930232558138</v>
      </c>
      <c r="E870">
        <v>6</v>
      </c>
      <c r="F870" t="s">
        <v>888</v>
      </c>
      <c r="G870" t="s">
        <v>900</v>
      </c>
      <c r="H870" s="1">
        <f>VLOOKUP(tbl_details5[[#This Row],[Order ID]],Orders!A:F,2,FALSE)</f>
        <v>43438</v>
      </c>
      <c r="I870" s="1" t="str">
        <f>TEXT(tbl_details5[[#This Row],[Order Date]],"mmm-yy")</f>
        <v>Dec-18</v>
      </c>
      <c r="J870" t="str">
        <f>VLOOKUP(tbl_details5[[#This Row],[Order ID]],Table1[],4,FALSE)</f>
        <v>Aashna</v>
      </c>
      <c r="K870" t="str">
        <f>VLOOKUP(tbl_details5[[#This Row],[Order ID]],Table1[],5,FALSE)</f>
        <v>Uttar Pradesh</v>
      </c>
      <c r="L870" t="str">
        <f>VLOOKUP(tbl_details5[[#This Row],[Order ID]],Table1[],6,FALSE)</f>
        <v>Allahabad</v>
      </c>
    </row>
    <row r="871" spans="1:12" x14ac:dyDescent="0.25">
      <c r="A871" t="s">
        <v>587</v>
      </c>
      <c r="B871" s="4">
        <v>372</v>
      </c>
      <c r="C871" s="4">
        <v>59</v>
      </c>
      <c r="D871" s="5">
        <f>tbl_details5[[#This Row],[Profit]]/tbl_details5[[#This Row],[Revenue]]</f>
        <v>0.15860215053763441</v>
      </c>
      <c r="E871">
        <v>3</v>
      </c>
      <c r="F871" t="s">
        <v>888</v>
      </c>
      <c r="G871" t="s">
        <v>899</v>
      </c>
      <c r="H871" s="1">
        <f>VLOOKUP(tbl_details5[[#This Row],[Order ID]],Orders!A:F,2,FALSE)</f>
        <v>43438</v>
      </c>
      <c r="I871" s="1" t="str">
        <f>TEXT(tbl_details5[[#This Row],[Order Date]],"mmm-yy")</f>
        <v>Dec-18</v>
      </c>
      <c r="J871" t="str">
        <f>VLOOKUP(tbl_details5[[#This Row],[Order ID]],Table1[],4,FALSE)</f>
        <v>Aashna</v>
      </c>
      <c r="K871" t="str">
        <f>VLOOKUP(tbl_details5[[#This Row],[Order ID]],Table1[],5,FALSE)</f>
        <v>Uttar Pradesh</v>
      </c>
      <c r="L871" t="str">
        <f>VLOOKUP(tbl_details5[[#This Row],[Order ID]],Table1[],6,FALSE)</f>
        <v>Allahabad</v>
      </c>
    </row>
    <row r="872" spans="1:12" x14ac:dyDescent="0.25">
      <c r="A872" t="s">
        <v>587</v>
      </c>
      <c r="B872" s="4">
        <v>223</v>
      </c>
      <c r="C872" s="4">
        <v>62</v>
      </c>
      <c r="D872" s="5">
        <f>tbl_details5[[#This Row],[Profit]]/tbl_details5[[#This Row],[Revenue]]</f>
        <v>0.27802690582959644</v>
      </c>
      <c r="E872">
        <v>7</v>
      </c>
      <c r="F872" t="s">
        <v>885</v>
      </c>
      <c r="G872" t="s">
        <v>896</v>
      </c>
      <c r="H872" s="1">
        <f>VLOOKUP(tbl_details5[[#This Row],[Order ID]],Orders!A:F,2,FALSE)</f>
        <v>43438</v>
      </c>
      <c r="I872" s="1" t="str">
        <f>TEXT(tbl_details5[[#This Row],[Order Date]],"mmm-yy")</f>
        <v>Dec-18</v>
      </c>
      <c r="J872" t="str">
        <f>VLOOKUP(tbl_details5[[#This Row],[Order ID]],Table1[],4,FALSE)</f>
        <v>Aashna</v>
      </c>
      <c r="K872" t="str">
        <f>VLOOKUP(tbl_details5[[#This Row],[Order ID]],Table1[],5,FALSE)</f>
        <v>Uttar Pradesh</v>
      </c>
      <c r="L872" t="str">
        <f>VLOOKUP(tbl_details5[[#This Row],[Order ID]],Table1[],6,FALSE)</f>
        <v>Allahabad</v>
      </c>
    </row>
    <row r="873" spans="1:12" x14ac:dyDescent="0.25">
      <c r="A873" t="s">
        <v>587</v>
      </c>
      <c r="B873" s="4">
        <v>83</v>
      </c>
      <c r="C873" s="4">
        <v>12</v>
      </c>
      <c r="D873" s="5">
        <f>tbl_details5[[#This Row],[Profit]]/tbl_details5[[#This Row],[Revenue]]</f>
        <v>0.14457831325301204</v>
      </c>
      <c r="E873">
        <v>3</v>
      </c>
      <c r="F873" t="s">
        <v>885</v>
      </c>
      <c r="G873" t="s">
        <v>886</v>
      </c>
      <c r="H873" s="1">
        <f>VLOOKUP(tbl_details5[[#This Row],[Order ID]],Orders!A:F,2,FALSE)</f>
        <v>43438</v>
      </c>
      <c r="I873" s="1" t="str">
        <f>TEXT(tbl_details5[[#This Row],[Order Date]],"mmm-yy")</f>
        <v>Dec-18</v>
      </c>
      <c r="J873" t="str">
        <f>VLOOKUP(tbl_details5[[#This Row],[Order ID]],Table1[],4,FALSE)</f>
        <v>Aashna</v>
      </c>
      <c r="K873" t="str">
        <f>VLOOKUP(tbl_details5[[#This Row],[Order ID]],Table1[],5,FALSE)</f>
        <v>Uttar Pradesh</v>
      </c>
      <c r="L873" t="str">
        <f>VLOOKUP(tbl_details5[[#This Row],[Order ID]],Table1[],6,FALSE)</f>
        <v>Allahabad</v>
      </c>
    </row>
    <row r="874" spans="1:12" x14ac:dyDescent="0.25">
      <c r="A874" t="s">
        <v>589</v>
      </c>
      <c r="B874" s="4">
        <v>1246</v>
      </c>
      <c r="C874" s="4">
        <v>62</v>
      </c>
      <c r="D874" s="5">
        <f>tbl_details5[[#This Row],[Profit]]/tbl_details5[[#This Row],[Revenue]]</f>
        <v>4.9759229534510431E-2</v>
      </c>
      <c r="E874">
        <v>3</v>
      </c>
      <c r="F874" t="s">
        <v>883</v>
      </c>
      <c r="G874" t="s">
        <v>884</v>
      </c>
      <c r="H874" s="1">
        <f>VLOOKUP(tbl_details5[[#This Row],[Order ID]],Orders!A:F,2,FALSE)</f>
        <v>43438</v>
      </c>
      <c r="I874" s="1" t="str">
        <f>TEXT(tbl_details5[[#This Row],[Order Date]],"mmm-yy")</f>
        <v>Dec-18</v>
      </c>
      <c r="J874" t="str">
        <f>VLOOKUP(tbl_details5[[#This Row],[Order ID]],Table1[],4,FALSE)</f>
        <v>Monu</v>
      </c>
      <c r="K874" t="str">
        <f>VLOOKUP(tbl_details5[[#This Row],[Order ID]],Table1[],5,FALSE)</f>
        <v>Punjab</v>
      </c>
      <c r="L874" t="str">
        <f>VLOOKUP(tbl_details5[[#This Row],[Order ID]],Table1[],6,FALSE)</f>
        <v>Amritsar</v>
      </c>
    </row>
    <row r="875" spans="1:12" x14ac:dyDescent="0.25">
      <c r="A875" t="s">
        <v>591</v>
      </c>
      <c r="B875" s="4">
        <v>388</v>
      </c>
      <c r="C875" s="4">
        <v>93</v>
      </c>
      <c r="D875" s="5">
        <f>tbl_details5[[#This Row],[Profit]]/tbl_details5[[#This Row],[Revenue]]</f>
        <v>0.23969072164948454</v>
      </c>
      <c r="E875">
        <v>2</v>
      </c>
      <c r="F875" t="s">
        <v>883</v>
      </c>
      <c r="G875" t="s">
        <v>884</v>
      </c>
      <c r="H875" s="1">
        <f>VLOOKUP(tbl_details5[[#This Row],[Order ID]],Orders!A:F,2,FALSE)</f>
        <v>43438</v>
      </c>
      <c r="I875" s="1" t="str">
        <f>TEXT(tbl_details5[[#This Row],[Order Date]],"mmm-yy")</f>
        <v>Dec-18</v>
      </c>
      <c r="J875" t="str">
        <f>VLOOKUP(tbl_details5[[#This Row],[Order ID]],Table1[],4,FALSE)</f>
        <v>Sathya</v>
      </c>
      <c r="K875" t="str">
        <f>VLOOKUP(tbl_details5[[#This Row],[Order ID]],Table1[],5,FALSE)</f>
        <v>Gujarat</v>
      </c>
      <c r="L875" t="str">
        <f>VLOOKUP(tbl_details5[[#This Row],[Order ID]],Table1[],6,FALSE)</f>
        <v>Surat</v>
      </c>
    </row>
    <row r="876" spans="1:12" x14ac:dyDescent="0.25">
      <c r="A876" t="s">
        <v>593</v>
      </c>
      <c r="B876" s="4">
        <v>31</v>
      </c>
      <c r="C876" s="4">
        <v>11</v>
      </c>
      <c r="D876" s="5">
        <f>tbl_details5[[#This Row],[Profit]]/tbl_details5[[#This Row],[Revenue]]</f>
        <v>0.35483870967741937</v>
      </c>
      <c r="E876">
        <v>3</v>
      </c>
      <c r="F876" t="s">
        <v>885</v>
      </c>
      <c r="G876" t="s">
        <v>902</v>
      </c>
      <c r="H876" s="1">
        <f>VLOOKUP(tbl_details5[[#This Row],[Order ID]],Orders!A:F,2,FALSE)</f>
        <v>43439</v>
      </c>
      <c r="I876" s="1" t="str">
        <f>TEXT(tbl_details5[[#This Row],[Order Date]],"mmm-yy")</f>
        <v>Dec-18</v>
      </c>
      <c r="J876" t="str">
        <f>VLOOKUP(tbl_details5[[#This Row],[Order ID]],Table1[],4,FALSE)</f>
        <v>Aman</v>
      </c>
      <c r="K876" t="str">
        <f>VLOOKUP(tbl_details5[[#This Row],[Order ID]],Table1[],5,FALSE)</f>
        <v>Maharashtra</v>
      </c>
      <c r="L876" t="str">
        <f>VLOOKUP(tbl_details5[[#This Row],[Order ID]],Table1[],6,FALSE)</f>
        <v>Mumbai</v>
      </c>
    </row>
    <row r="877" spans="1:12" x14ac:dyDescent="0.25">
      <c r="A877" t="s">
        <v>593</v>
      </c>
      <c r="B877" s="4">
        <v>42</v>
      </c>
      <c r="C877" s="4">
        <v>7</v>
      </c>
      <c r="D877" s="5">
        <f>tbl_details5[[#This Row],[Profit]]/tbl_details5[[#This Row],[Revenue]]</f>
        <v>0.16666666666666666</v>
      </c>
      <c r="E877">
        <v>2</v>
      </c>
      <c r="F877" t="s">
        <v>885</v>
      </c>
      <c r="G877" t="s">
        <v>894</v>
      </c>
      <c r="H877" s="1">
        <f>VLOOKUP(tbl_details5[[#This Row],[Order ID]],Orders!A:F,2,FALSE)</f>
        <v>43439</v>
      </c>
      <c r="I877" s="1" t="str">
        <f>TEXT(tbl_details5[[#This Row],[Order Date]],"mmm-yy")</f>
        <v>Dec-18</v>
      </c>
      <c r="J877" t="str">
        <f>VLOOKUP(tbl_details5[[#This Row],[Order ID]],Table1[],4,FALSE)</f>
        <v>Aman</v>
      </c>
      <c r="K877" t="str">
        <f>VLOOKUP(tbl_details5[[#This Row],[Order ID]],Table1[],5,FALSE)</f>
        <v>Maharashtra</v>
      </c>
      <c r="L877" t="str">
        <f>VLOOKUP(tbl_details5[[#This Row],[Order ID]],Table1[],6,FALSE)</f>
        <v>Mumbai</v>
      </c>
    </row>
    <row r="878" spans="1:12" x14ac:dyDescent="0.25">
      <c r="A878" t="s">
        <v>593</v>
      </c>
      <c r="B878" s="4">
        <v>190</v>
      </c>
      <c r="C878" s="4">
        <v>68</v>
      </c>
      <c r="D878" s="5">
        <f>tbl_details5[[#This Row],[Profit]]/tbl_details5[[#This Row],[Revenue]]</f>
        <v>0.35789473684210527</v>
      </c>
      <c r="E878">
        <v>8</v>
      </c>
      <c r="F878" t="s">
        <v>885</v>
      </c>
      <c r="G878" t="s">
        <v>895</v>
      </c>
      <c r="H878" s="1">
        <f>VLOOKUP(tbl_details5[[#This Row],[Order ID]],Orders!A:F,2,FALSE)</f>
        <v>43439</v>
      </c>
      <c r="I878" s="1" t="str">
        <f>TEXT(tbl_details5[[#This Row],[Order Date]],"mmm-yy")</f>
        <v>Dec-18</v>
      </c>
      <c r="J878" t="str">
        <f>VLOOKUP(tbl_details5[[#This Row],[Order ID]],Table1[],4,FALSE)</f>
        <v>Aman</v>
      </c>
      <c r="K878" t="str">
        <f>VLOOKUP(tbl_details5[[#This Row],[Order ID]],Table1[],5,FALSE)</f>
        <v>Maharashtra</v>
      </c>
      <c r="L878" t="str">
        <f>VLOOKUP(tbl_details5[[#This Row],[Order ID]],Table1[],6,FALSE)</f>
        <v>Mumbai</v>
      </c>
    </row>
    <row r="879" spans="1:12" x14ac:dyDescent="0.25">
      <c r="A879" t="s">
        <v>593</v>
      </c>
      <c r="B879" s="4">
        <v>103</v>
      </c>
      <c r="C879" s="4">
        <v>36</v>
      </c>
      <c r="D879" s="5">
        <f>tbl_details5[[#This Row],[Profit]]/tbl_details5[[#This Row],[Revenue]]</f>
        <v>0.34951456310679613</v>
      </c>
      <c r="E879">
        <v>2</v>
      </c>
      <c r="F879" t="s">
        <v>885</v>
      </c>
      <c r="G879" t="s">
        <v>887</v>
      </c>
      <c r="H879" s="1">
        <f>VLOOKUP(tbl_details5[[#This Row],[Order ID]],Orders!A:F,2,FALSE)</f>
        <v>43439</v>
      </c>
      <c r="I879" s="1" t="str">
        <f>TEXT(tbl_details5[[#This Row],[Order Date]],"mmm-yy")</f>
        <v>Dec-18</v>
      </c>
      <c r="J879" t="str">
        <f>VLOOKUP(tbl_details5[[#This Row],[Order ID]],Table1[],4,FALSE)</f>
        <v>Aman</v>
      </c>
      <c r="K879" t="str">
        <f>VLOOKUP(tbl_details5[[#This Row],[Order ID]],Table1[],5,FALSE)</f>
        <v>Maharashtra</v>
      </c>
      <c r="L879" t="str">
        <f>VLOOKUP(tbl_details5[[#This Row],[Order ID]],Table1[],6,FALSE)</f>
        <v>Mumbai</v>
      </c>
    </row>
    <row r="880" spans="1:12" x14ac:dyDescent="0.25">
      <c r="A880" t="s">
        <v>593</v>
      </c>
      <c r="B880" s="4">
        <v>287</v>
      </c>
      <c r="C880" s="4">
        <v>66</v>
      </c>
      <c r="D880" s="5">
        <f>tbl_details5[[#This Row],[Profit]]/tbl_details5[[#This Row],[Revenue]]</f>
        <v>0.22996515679442509</v>
      </c>
      <c r="E880">
        <v>6</v>
      </c>
      <c r="F880" t="s">
        <v>885</v>
      </c>
      <c r="G880" t="s">
        <v>894</v>
      </c>
      <c r="H880" s="1">
        <f>VLOOKUP(tbl_details5[[#This Row],[Order ID]],Orders!A:F,2,FALSE)</f>
        <v>43439</v>
      </c>
      <c r="I880" s="1" t="str">
        <f>TEXT(tbl_details5[[#This Row],[Order Date]],"mmm-yy")</f>
        <v>Dec-18</v>
      </c>
      <c r="J880" t="str">
        <f>VLOOKUP(tbl_details5[[#This Row],[Order ID]],Table1[],4,FALSE)</f>
        <v>Aman</v>
      </c>
      <c r="K880" t="str">
        <f>VLOOKUP(tbl_details5[[#This Row],[Order ID]],Table1[],5,FALSE)</f>
        <v>Maharashtra</v>
      </c>
      <c r="L880" t="str">
        <f>VLOOKUP(tbl_details5[[#This Row],[Order ID]],Table1[],6,FALSE)</f>
        <v>Mumbai</v>
      </c>
    </row>
    <row r="881" spans="1:12" x14ac:dyDescent="0.25">
      <c r="A881" t="s">
        <v>593</v>
      </c>
      <c r="B881" s="4">
        <v>23</v>
      </c>
      <c r="C881" s="4">
        <v>4</v>
      </c>
      <c r="D881" s="5">
        <f>tbl_details5[[#This Row],[Profit]]/tbl_details5[[#This Row],[Revenue]]</f>
        <v>0.17391304347826086</v>
      </c>
      <c r="E881">
        <v>2</v>
      </c>
      <c r="F881" t="s">
        <v>885</v>
      </c>
      <c r="G881" t="s">
        <v>902</v>
      </c>
      <c r="H881" s="1">
        <f>VLOOKUP(tbl_details5[[#This Row],[Order ID]],Orders!A:F,2,FALSE)</f>
        <v>43439</v>
      </c>
      <c r="I881" s="1" t="str">
        <f>TEXT(tbl_details5[[#This Row],[Order Date]],"mmm-yy")</f>
        <v>Dec-18</v>
      </c>
      <c r="J881" t="str">
        <f>VLOOKUP(tbl_details5[[#This Row],[Order ID]],Table1[],4,FALSE)</f>
        <v>Aman</v>
      </c>
      <c r="K881" t="str">
        <f>VLOOKUP(tbl_details5[[#This Row],[Order ID]],Table1[],5,FALSE)</f>
        <v>Maharashtra</v>
      </c>
      <c r="L881" t="str">
        <f>VLOOKUP(tbl_details5[[#This Row],[Order ID]],Table1[],6,FALSE)</f>
        <v>Mumbai</v>
      </c>
    </row>
    <row r="882" spans="1:12" x14ac:dyDescent="0.25">
      <c r="A882" t="s">
        <v>593</v>
      </c>
      <c r="B882" s="4">
        <v>79</v>
      </c>
      <c r="C882" s="4">
        <v>-2</v>
      </c>
      <c r="D882" s="5">
        <f>tbl_details5[[#This Row],[Profit]]/tbl_details5[[#This Row],[Revenue]]</f>
        <v>-2.5316455696202531E-2</v>
      </c>
      <c r="E882">
        <v>2</v>
      </c>
      <c r="F882" t="s">
        <v>883</v>
      </c>
      <c r="G882" t="s">
        <v>901</v>
      </c>
      <c r="H882" s="1">
        <f>VLOOKUP(tbl_details5[[#This Row],[Order ID]],Orders!A:F,2,FALSE)</f>
        <v>43439</v>
      </c>
      <c r="I882" s="1" t="str">
        <f>TEXT(tbl_details5[[#This Row],[Order Date]],"mmm-yy")</f>
        <v>Dec-18</v>
      </c>
      <c r="J882" t="str">
        <f>VLOOKUP(tbl_details5[[#This Row],[Order ID]],Table1[],4,FALSE)</f>
        <v>Aman</v>
      </c>
      <c r="K882" t="str">
        <f>VLOOKUP(tbl_details5[[#This Row],[Order ID]],Table1[],5,FALSE)</f>
        <v>Maharashtra</v>
      </c>
      <c r="L882" t="str">
        <f>VLOOKUP(tbl_details5[[#This Row],[Order ID]],Table1[],6,FALSE)</f>
        <v>Mumbai</v>
      </c>
    </row>
    <row r="883" spans="1:12" x14ac:dyDescent="0.25">
      <c r="A883" t="s">
        <v>594</v>
      </c>
      <c r="B883" s="4">
        <v>43</v>
      </c>
      <c r="C883" s="4">
        <v>5</v>
      </c>
      <c r="D883" s="5">
        <f>tbl_details5[[#This Row],[Profit]]/tbl_details5[[#This Row],[Revenue]]</f>
        <v>0.11627906976744186</v>
      </c>
      <c r="E883">
        <v>3</v>
      </c>
      <c r="F883" t="s">
        <v>885</v>
      </c>
      <c r="G883" t="s">
        <v>886</v>
      </c>
      <c r="H883" s="1">
        <f>VLOOKUP(tbl_details5[[#This Row],[Order ID]],Orders!A:F,2,FALSE)</f>
        <v>43440</v>
      </c>
      <c r="I883" s="1" t="str">
        <f>TEXT(tbl_details5[[#This Row],[Order Date]],"mmm-yy")</f>
        <v>Dec-18</v>
      </c>
      <c r="J883" t="str">
        <f>VLOOKUP(tbl_details5[[#This Row],[Order ID]],Table1[],4,FALSE)</f>
        <v>Rohan</v>
      </c>
      <c r="K883" t="str">
        <f>VLOOKUP(tbl_details5[[#This Row],[Order ID]],Table1[],5,FALSE)</f>
        <v>Madhya Pradesh</v>
      </c>
      <c r="L883" t="str">
        <f>VLOOKUP(tbl_details5[[#This Row],[Order ID]],Table1[],6,FALSE)</f>
        <v>Indore</v>
      </c>
    </row>
    <row r="884" spans="1:12" x14ac:dyDescent="0.25">
      <c r="A884" t="s">
        <v>594</v>
      </c>
      <c r="B884" s="4">
        <v>33</v>
      </c>
      <c r="C884" s="4">
        <v>10</v>
      </c>
      <c r="D884" s="5">
        <f>tbl_details5[[#This Row],[Profit]]/tbl_details5[[#This Row],[Revenue]]</f>
        <v>0.30303030303030304</v>
      </c>
      <c r="E884">
        <v>3</v>
      </c>
      <c r="F884" t="s">
        <v>885</v>
      </c>
      <c r="G884" t="s">
        <v>887</v>
      </c>
      <c r="H884" s="1">
        <f>VLOOKUP(tbl_details5[[#This Row],[Order ID]],Orders!A:F,2,FALSE)</f>
        <v>43440</v>
      </c>
      <c r="I884" s="1" t="str">
        <f>TEXT(tbl_details5[[#This Row],[Order Date]],"mmm-yy")</f>
        <v>Dec-18</v>
      </c>
      <c r="J884" t="str">
        <f>VLOOKUP(tbl_details5[[#This Row],[Order ID]],Table1[],4,FALSE)</f>
        <v>Rohan</v>
      </c>
      <c r="K884" t="str">
        <f>VLOOKUP(tbl_details5[[#This Row],[Order ID]],Table1[],5,FALSE)</f>
        <v>Madhya Pradesh</v>
      </c>
      <c r="L884" t="str">
        <f>VLOOKUP(tbl_details5[[#This Row],[Order ID]],Table1[],6,FALSE)</f>
        <v>Indore</v>
      </c>
    </row>
    <row r="885" spans="1:12" x14ac:dyDescent="0.25">
      <c r="A885" t="s">
        <v>594</v>
      </c>
      <c r="B885" s="4">
        <v>24</v>
      </c>
      <c r="C885" s="4">
        <v>11</v>
      </c>
      <c r="D885" s="5">
        <f>tbl_details5[[#This Row],[Profit]]/tbl_details5[[#This Row],[Revenue]]</f>
        <v>0.45833333333333331</v>
      </c>
      <c r="E885">
        <v>5</v>
      </c>
      <c r="F885" t="s">
        <v>885</v>
      </c>
      <c r="G885" t="s">
        <v>887</v>
      </c>
      <c r="H885" s="1">
        <f>VLOOKUP(tbl_details5[[#This Row],[Order ID]],Orders!A:F,2,FALSE)</f>
        <v>43440</v>
      </c>
      <c r="I885" s="1" t="str">
        <f>TEXT(tbl_details5[[#This Row],[Order Date]],"mmm-yy")</f>
        <v>Dec-18</v>
      </c>
      <c r="J885" t="str">
        <f>VLOOKUP(tbl_details5[[#This Row],[Order ID]],Table1[],4,FALSE)</f>
        <v>Rohan</v>
      </c>
      <c r="K885" t="str">
        <f>VLOOKUP(tbl_details5[[#This Row],[Order ID]],Table1[],5,FALSE)</f>
        <v>Madhya Pradesh</v>
      </c>
      <c r="L885" t="str">
        <f>VLOOKUP(tbl_details5[[#This Row],[Order ID]],Table1[],6,FALSE)</f>
        <v>Indore</v>
      </c>
    </row>
    <row r="886" spans="1:12" x14ac:dyDescent="0.25">
      <c r="A886" t="s">
        <v>594</v>
      </c>
      <c r="B886" s="4">
        <v>734</v>
      </c>
      <c r="C886" s="4">
        <v>213</v>
      </c>
      <c r="D886" s="5">
        <f>tbl_details5[[#This Row],[Profit]]/tbl_details5[[#This Row],[Revenue]]</f>
        <v>0.2901907356948229</v>
      </c>
      <c r="E886">
        <v>6</v>
      </c>
      <c r="F886" t="s">
        <v>888</v>
      </c>
      <c r="G886" t="s">
        <v>889</v>
      </c>
      <c r="H886" s="1">
        <f>VLOOKUP(tbl_details5[[#This Row],[Order ID]],Orders!A:F,2,FALSE)</f>
        <v>43440</v>
      </c>
      <c r="I886" s="1" t="str">
        <f>TEXT(tbl_details5[[#This Row],[Order Date]],"mmm-yy")</f>
        <v>Dec-18</v>
      </c>
      <c r="J886" t="str">
        <f>VLOOKUP(tbl_details5[[#This Row],[Order ID]],Table1[],4,FALSE)</f>
        <v>Rohan</v>
      </c>
      <c r="K886" t="str">
        <f>VLOOKUP(tbl_details5[[#This Row],[Order ID]],Table1[],5,FALSE)</f>
        <v>Madhya Pradesh</v>
      </c>
      <c r="L886" t="str">
        <f>VLOOKUP(tbl_details5[[#This Row],[Order ID]],Table1[],6,FALSE)</f>
        <v>Indore</v>
      </c>
    </row>
    <row r="887" spans="1:12" x14ac:dyDescent="0.25">
      <c r="A887" t="s">
        <v>595</v>
      </c>
      <c r="B887" s="4">
        <v>33</v>
      </c>
      <c r="C887" s="4">
        <v>13</v>
      </c>
      <c r="D887" s="5">
        <f>tbl_details5[[#This Row],[Profit]]/tbl_details5[[#This Row],[Revenue]]</f>
        <v>0.39393939393939392</v>
      </c>
      <c r="E887">
        <v>3</v>
      </c>
      <c r="F887" t="s">
        <v>885</v>
      </c>
      <c r="G887" t="s">
        <v>897</v>
      </c>
      <c r="H887" s="1">
        <f>VLOOKUP(tbl_details5[[#This Row],[Order ID]],Orders!A:F,2,FALSE)</f>
        <v>43441</v>
      </c>
      <c r="I887" s="1" t="str">
        <f>TEXT(tbl_details5[[#This Row],[Order Date]],"mmm-yy")</f>
        <v>Dec-18</v>
      </c>
      <c r="J887" t="str">
        <f>VLOOKUP(tbl_details5[[#This Row],[Order ID]],Table1[],4,FALSE)</f>
        <v>Abhishek</v>
      </c>
      <c r="K887" t="str">
        <f>VLOOKUP(tbl_details5[[#This Row],[Order ID]],Table1[],5,FALSE)</f>
        <v>Rajasthan</v>
      </c>
      <c r="L887" t="str">
        <f>VLOOKUP(tbl_details5[[#This Row],[Order ID]],Table1[],6,FALSE)</f>
        <v>Udaipur</v>
      </c>
    </row>
    <row r="888" spans="1:12" x14ac:dyDescent="0.25">
      <c r="A888" t="s">
        <v>595</v>
      </c>
      <c r="B888" s="4">
        <v>499</v>
      </c>
      <c r="C888" s="4">
        <v>33</v>
      </c>
      <c r="D888" s="5">
        <f>tbl_details5[[#This Row],[Profit]]/tbl_details5[[#This Row],[Revenue]]</f>
        <v>6.6132264529058113E-2</v>
      </c>
      <c r="E888">
        <v>4</v>
      </c>
      <c r="F888" t="s">
        <v>885</v>
      </c>
      <c r="G888" t="s">
        <v>891</v>
      </c>
      <c r="H888" s="1">
        <f>VLOOKUP(tbl_details5[[#This Row],[Order ID]],Orders!A:F,2,FALSE)</f>
        <v>43441</v>
      </c>
      <c r="I888" s="1" t="str">
        <f>TEXT(tbl_details5[[#This Row],[Order Date]],"mmm-yy")</f>
        <v>Dec-18</v>
      </c>
      <c r="J888" t="str">
        <f>VLOOKUP(tbl_details5[[#This Row],[Order ID]],Table1[],4,FALSE)</f>
        <v>Abhishek</v>
      </c>
      <c r="K888" t="str">
        <f>VLOOKUP(tbl_details5[[#This Row],[Order ID]],Table1[],5,FALSE)</f>
        <v>Rajasthan</v>
      </c>
      <c r="L888" t="str">
        <f>VLOOKUP(tbl_details5[[#This Row],[Order ID]],Table1[],6,FALSE)</f>
        <v>Udaipur</v>
      </c>
    </row>
    <row r="889" spans="1:12" x14ac:dyDescent="0.25">
      <c r="A889" t="s">
        <v>595</v>
      </c>
      <c r="B889" s="4">
        <v>147</v>
      </c>
      <c r="C889" s="4">
        <v>73</v>
      </c>
      <c r="D889" s="5">
        <f>tbl_details5[[#This Row],[Profit]]/tbl_details5[[#This Row],[Revenue]]</f>
        <v>0.49659863945578231</v>
      </c>
      <c r="E889">
        <v>3</v>
      </c>
      <c r="F889" t="s">
        <v>885</v>
      </c>
      <c r="G889" t="s">
        <v>886</v>
      </c>
      <c r="H889" s="1">
        <f>VLOOKUP(tbl_details5[[#This Row],[Order ID]],Orders!A:F,2,FALSE)</f>
        <v>43441</v>
      </c>
      <c r="I889" s="1" t="str">
        <f>TEXT(tbl_details5[[#This Row],[Order Date]],"mmm-yy")</f>
        <v>Dec-18</v>
      </c>
      <c r="J889" t="str">
        <f>VLOOKUP(tbl_details5[[#This Row],[Order ID]],Table1[],4,FALSE)</f>
        <v>Abhishek</v>
      </c>
      <c r="K889" t="str">
        <f>VLOOKUP(tbl_details5[[#This Row],[Order ID]],Table1[],5,FALSE)</f>
        <v>Rajasthan</v>
      </c>
      <c r="L889" t="str">
        <f>VLOOKUP(tbl_details5[[#This Row],[Order ID]],Table1[],6,FALSE)</f>
        <v>Udaipur</v>
      </c>
    </row>
    <row r="890" spans="1:12" x14ac:dyDescent="0.25">
      <c r="A890" t="s">
        <v>595</v>
      </c>
      <c r="B890" s="4">
        <v>53</v>
      </c>
      <c r="C890" s="4">
        <v>5</v>
      </c>
      <c r="D890" s="5">
        <f>tbl_details5[[#This Row],[Profit]]/tbl_details5[[#This Row],[Revenue]]</f>
        <v>9.4339622641509441E-2</v>
      </c>
      <c r="E890">
        <v>3</v>
      </c>
      <c r="F890" t="s">
        <v>885</v>
      </c>
      <c r="G890" t="s">
        <v>895</v>
      </c>
      <c r="H890" s="1">
        <f>VLOOKUP(tbl_details5[[#This Row],[Order ID]],Orders!A:F,2,FALSE)</f>
        <v>43441</v>
      </c>
      <c r="I890" s="1" t="str">
        <f>TEXT(tbl_details5[[#This Row],[Order Date]],"mmm-yy")</f>
        <v>Dec-18</v>
      </c>
      <c r="J890" t="str">
        <f>VLOOKUP(tbl_details5[[#This Row],[Order ID]],Table1[],4,FALSE)</f>
        <v>Abhishek</v>
      </c>
      <c r="K890" t="str">
        <f>VLOOKUP(tbl_details5[[#This Row],[Order ID]],Table1[],5,FALSE)</f>
        <v>Rajasthan</v>
      </c>
      <c r="L890" t="str">
        <f>VLOOKUP(tbl_details5[[#This Row],[Order ID]],Table1[],6,FALSE)</f>
        <v>Udaipur</v>
      </c>
    </row>
    <row r="891" spans="1:12" x14ac:dyDescent="0.25">
      <c r="A891" t="s">
        <v>595</v>
      </c>
      <c r="B891" s="4">
        <v>171</v>
      </c>
      <c r="C891" s="4">
        <v>2</v>
      </c>
      <c r="D891" s="5">
        <f>tbl_details5[[#This Row],[Profit]]/tbl_details5[[#This Row],[Revenue]]</f>
        <v>1.1695906432748537E-2</v>
      </c>
      <c r="E891">
        <v>2</v>
      </c>
      <c r="F891" t="s">
        <v>888</v>
      </c>
      <c r="G891" t="s">
        <v>889</v>
      </c>
      <c r="H891" s="1">
        <f>VLOOKUP(tbl_details5[[#This Row],[Order ID]],Orders!A:F,2,FALSE)</f>
        <v>43441</v>
      </c>
      <c r="I891" s="1" t="str">
        <f>TEXT(tbl_details5[[#This Row],[Order Date]],"mmm-yy")</f>
        <v>Dec-18</v>
      </c>
      <c r="J891" t="str">
        <f>VLOOKUP(tbl_details5[[#This Row],[Order ID]],Table1[],4,FALSE)</f>
        <v>Abhishek</v>
      </c>
      <c r="K891" t="str">
        <f>VLOOKUP(tbl_details5[[#This Row],[Order ID]],Table1[],5,FALSE)</f>
        <v>Rajasthan</v>
      </c>
      <c r="L891" t="str">
        <f>VLOOKUP(tbl_details5[[#This Row],[Order ID]],Table1[],6,FALSE)</f>
        <v>Udaipur</v>
      </c>
    </row>
    <row r="892" spans="1:12" x14ac:dyDescent="0.25">
      <c r="A892" t="s">
        <v>595</v>
      </c>
      <c r="B892" s="4">
        <v>915</v>
      </c>
      <c r="C892" s="4">
        <v>-99</v>
      </c>
      <c r="D892" s="5">
        <f>tbl_details5[[#This Row],[Profit]]/tbl_details5[[#This Row],[Revenue]]</f>
        <v>-0.10819672131147541</v>
      </c>
      <c r="E892">
        <v>3</v>
      </c>
      <c r="F892" t="s">
        <v>883</v>
      </c>
      <c r="G892" t="s">
        <v>898</v>
      </c>
      <c r="H892" s="1">
        <f>VLOOKUP(tbl_details5[[#This Row],[Order ID]],Orders!A:F,2,FALSE)</f>
        <v>43441</v>
      </c>
      <c r="I892" s="1" t="str">
        <f>TEXT(tbl_details5[[#This Row],[Order Date]],"mmm-yy")</f>
        <v>Dec-18</v>
      </c>
      <c r="J892" t="str">
        <f>VLOOKUP(tbl_details5[[#This Row],[Order ID]],Table1[],4,FALSE)</f>
        <v>Abhishek</v>
      </c>
      <c r="K892" t="str">
        <f>VLOOKUP(tbl_details5[[#This Row],[Order ID]],Table1[],5,FALSE)</f>
        <v>Rajasthan</v>
      </c>
      <c r="L892" t="str">
        <f>VLOOKUP(tbl_details5[[#This Row],[Order ID]],Table1[],6,FALSE)</f>
        <v>Udaipur</v>
      </c>
    </row>
    <row r="893" spans="1:12" x14ac:dyDescent="0.25">
      <c r="A893" t="s">
        <v>595</v>
      </c>
      <c r="B893" s="4">
        <v>191</v>
      </c>
      <c r="C893" s="4">
        <v>93</v>
      </c>
      <c r="D893" s="5">
        <f>tbl_details5[[#This Row],[Profit]]/tbl_details5[[#This Row],[Revenue]]</f>
        <v>0.48691099476439792</v>
      </c>
      <c r="E893">
        <v>4</v>
      </c>
      <c r="F893" t="s">
        <v>885</v>
      </c>
      <c r="G893" t="s">
        <v>896</v>
      </c>
      <c r="H893" s="1">
        <f>VLOOKUP(tbl_details5[[#This Row],[Order ID]],Orders!A:F,2,FALSE)</f>
        <v>43441</v>
      </c>
      <c r="I893" s="1" t="str">
        <f>TEXT(tbl_details5[[#This Row],[Order Date]],"mmm-yy")</f>
        <v>Dec-18</v>
      </c>
      <c r="J893" t="str">
        <f>VLOOKUP(tbl_details5[[#This Row],[Order ID]],Table1[],4,FALSE)</f>
        <v>Abhishek</v>
      </c>
      <c r="K893" t="str">
        <f>VLOOKUP(tbl_details5[[#This Row],[Order ID]],Table1[],5,FALSE)</f>
        <v>Rajasthan</v>
      </c>
      <c r="L893" t="str">
        <f>VLOOKUP(tbl_details5[[#This Row],[Order ID]],Table1[],6,FALSE)</f>
        <v>Udaipur</v>
      </c>
    </row>
    <row r="894" spans="1:12" x14ac:dyDescent="0.25">
      <c r="A894" t="s">
        <v>595</v>
      </c>
      <c r="B894" s="4">
        <v>857</v>
      </c>
      <c r="C894" s="4">
        <v>274</v>
      </c>
      <c r="D894" s="5">
        <f>tbl_details5[[#This Row],[Profit]]/tbl_details5[[#This Row],[Revenue]]</f>
        <v>0.31971995332555425</v>
      </c>
      <c r="E894">
        <v>2</v>
      </c>
      <c r="F894" t="s">
        <v>883</v>
      </c>
      <c r="G894" t="s">
        <v>898</v>
      </c>
      <c r="H894" s="1">
        <f>VLOOKUP(tbl_details5[[#This Row],[Order ID]],Orders!A:F,2,FALSE)</f>
        <v>43441</v>
      </c>
      <c r="I894" s="1" t="str">
        <f>TEXT(tbl_details5[[#This Row],[Order Date]],"mmm-yy")</f>
        <v>Dec-18</v>
      </c>
      <c r="J894" t="str">
        <f>VLOOKUP(tbl_details5[[#This Row],[Order ID]],Table1[],4,FALSE)</f>
        <v>Abhishek</v>
      </c>
      <c r="K894" t="str">
        <f>VLOOKUP(tbl_details5[[#This Row],[Order ID]],Table1[],5,FALSE)</f>
        <v>Rajasthan</v>
      </c>
      <c r="L894" t="str">
        <f>VLOOKUP(tbl_details5[[#This Row],[Order ID]],Table1[],6,FALSE)</f>
        <v>Udaipur</v>
      </c>
    </row>
    <row r="895" spans="1:12" x14ac:dyDescent="0.25">
      <c r="A895" t="s">
        <v>596</v>
      </c>
      <c r="B895" s="4">
        <v>22</v>
      </c>
      <c r="C895" s="4">
        <v>9</v>
      </c>
      <c r="D895" s="5">
        <f>tbl_details5[[#This Row],[Profit]]/tbl_details5[[#This Row],[Revenue]]</f>
        <v>0.40909090909090912</v>
      </c>
      <c r="E895">
        <v>2</v>
      </c>
      <c r="F895" t="s">
        <v>885</v>
      </c>
      <c r="G895" t="s">
        <v>897</v>
      </c>
      <c r="H895" s="1">
        <f>VLOOKUP(tbl_details5[[#This Row],[Order ID]],Orders!A:F,2,FALSE)</f>
        <v>43442</v>
      </c>
      <c r="I895" s="1" t="str">
        <f>TEXT(tbl_details5[[#This Row],[Order Date]],"mmm-yy")</f>
        <v>Dec-18</v>
      </c>
      <c r="J895" t="str">
        <f>VLOOKUP(tbl_details5[[#This Row],[Order ID]],Table1[],4,FALSE)</f>
        <v>Aishwarya</v>
      </c>
      <c r="K895" t="str">
        <f>VLOOKUP(tbl_details5[[#This Row],[Order ID]],Table1[],5,FALSE)</f>
        <v>Uttar Pradesh</v>
      </c>
      <c r="L895" t="str">
        <f>VLOOKUP(tbl_details5[[#This Row],[Order ID]],Table1[],6,FALSE)</f>
        <v>Allahabad</v>
      </c>
    </row>
    <row r="896" spans="1:12" x14ac:dyDescent="0.25">
      <c r="A896" t="s">
        <v>596</v>
      </c>
      <c r="B896" s="4">
        <v>28</v>
      </c>
      <c r="C896" s="4">
        <v>6</v>
      </c>
      <c r="D896" s="5">
        <f>tbl_details5[[#This Row],[Profit]]/tbl_details5[[#This Row],[Revenue]]</f>
        <v>0.21428571428571427</v>
      </c>
      <c r="E896">
        <v>4</v>
      </c>
      <c r="F896" t="s">
        <v>885</v>
      </c>
      <c r="G896" t="s">
        <v>902</v>
      </c>
      <c r="H896" s="1">
        <f>VLOOKUP(tbl_details5[[#This Row],[Order ID]],Orders!A:F,2,FALSE)</f>
        <v>43442</v>
      </c>
      <c r="I896" s="1" t="str">
        <f>TEXT(tbl_details5[[#This Row],[Order Date]],"mmm-yy")</f>
        <v>Dec-18</v>
      </c>
      <c r="J896" t="str">
        <f>VLOOKUP(tbl_details5[[#This Row],[Order ID]],Table1[],4,FALSE)</f>
        <v>Aishwarya</v>
      </c>
      <c r="K896" t="str">
        <f>VLOOKUP(tbl_details5[[#This Row],[Order ID]],Table1[],5,FALSE)</f>
        <v>Uttar Pradesh</v>
      </c>
      <c r="L896" t="str">
        <f>VLOOKUP(tbl_details5[[#This Row],[Order ID]],Table1[],6,FALSE)</f>
        <v>Allahabad</v>
      </c>
    </row>
    <row r="897" spans="1:12" x14ac:dyDescent="0.25">
      <c r="A897" t="s">
        <v>596</v>
      </c>
      <c r="B897" s="4">
        <v>43</v>
      </c>
      <c r="C897" s="4">
        <v>17</v>
      </c>
      <c r="D897" s="5">
        <f>tbl_details5[[#This Row],[Profit]]/tbl_details5[[#This Row],[Revenue]]</f>
        <v>0.39534883720930231</v>
      </c>
      <c r="E897">
        <v>1</v>
      </c>
      <c r="F897" t="s">
        <v>885</v>
      </c>
      <c r="G897" t="s">
        <v>891</v>
      </c>
      <c r="H897" s="1">
        <f>VLOOKUP(tbl_details5[[#This Row],[Order ID]],Orders!A:F,2,FALSE)</f>
        <v>43442</v>
      </c>
      <c r="I897" s="1" t="str">
        <f>TEXT(tbl_details5[[#This Row],[Order Date]],"mmm-yy")</f>
        <v>Dec-18</v>
      </c>
      <c r="J897" t="str">
        <f>VLOOKUP(tbl_details5[[#This Row],[Order ID]],Table1[],4,FALSE)</f>
        <v>Aishwarya</v>
      </c>
      <c r="K897" t="str">
        <f>VLOOKUP(tbl_details5[[#This Row],[Order ID]],Table1[],5,FALSE)</f>
        <v>Uttar Pradesh</v>
      </c>
      <c r="L897" t="str">
        <f>VLOOKUP(tbl_details5[[#This Row],[Order ID]],Table1[],6,FALSE)</f>
        <v>Allahabad</v>
      </c>
    </row>
    <row r="898" spans="1:12" x14ac:dyDescent="0.25">
      <c r="A898" t="s">
        <v>596</v>
      </c>
      <c r="B898" s="4">
        <v>846</v>
      </c>
      <c r="C898" s="4">
        <v>9</v>
      </c>
      <c r="D898" s="5">
        <f>tbl_details5[[#This Row],[Profit]]/tbl_details5[[#This Row],[Revenue]]</f>
        <v>1.0638297872340425E-2</v>
      </c>
      <c r="E898">
        <v>2</v>
      </c>
      <c r="F898" t="s">
        <v>883</v>
      </c>
      <c r="G898" t="s">
        <v>893</v>
      </c>
      <c r="H898" s="1">
        <f>VLOOKUP(tbl_details5[[#This Row],[Order ID]],Orders!A:F,2,FALSE)</f>
        <v>43442</v>
      </c>
      <c r="I898" s="1" t="str">
        <f>TEXT(tbl_details5[[#This Row],[Order Date]],"mmm-yy")</f>
        <v>Dec-18</v>
      </c>
      <c r="J898" t="str">
        <f>VLOOKUP(tbl_details5[[#This Row],[Order ID]],Table1[],4,FALSE)</f>
        <v>Aishwarya</v>
      </c>
      <c r="K898" t="str">
        <f>VLOOKUP(tbl_details5[[#This Row],[Order ID]],Table1[],5,FALSE)</f>
        <v>Uttar Pradesh</v>
      </c>
      <c r="L898" t="str">
        <f>VLOOKUP(tbl_details5[[#This Row],[Order ID]],Table1[],6,FALSE)</f>
        <v>Allahabad</v>
      </c>
    </row>
    <row r="899" spans="1:12" x14ac:dyDescent="0.25">
      <c r="A899" t="s">
        <v>598</v>
      </c>
      <c r="B899" s="4">
        <v>15</v>
      </c>
      <c r="C899" s="4">
        <v>2</v>
      </c>
      <c r="D899" s="5">
        <f>tbl_details5[[#This Row],[Profit]]/tbl_details5[[#This Row],[Revenue]]</f>
        <v>0.13333333333333333</v>
      </c>
      <c r="E899">
        <v>1</v>
      </c>
      <c r="F899" t="s">
        <v>885</v>
      </c>
      <c r="G899" t="s">
        <v>897</v>
      </c>
      <c r="H899" s="1">
        <f>VLOOKUP(tbl_details5[[#This Row],[Order ID]],Orders!A:F,2,FALSE)</f>
        <v>43443</v>
      </c>
      <c r="I899" s="1" t="str">
        <f>TEXT(tbl_details5[[#This Row],[Order Date]],"mmm-yy")</f>
        <v>Dec-18</v>
      </c>
      <c r="J899" t="str">
        <f>VLOOKUP(tbl_details5[[#This Row],[Order ID]],Table1[],4,FALSE)</f>
        <v>Anand</v>
      </c>
      <c r="K899" t="str">
        <f>VLOOKUP(tbl_details5[[#This Row],[Order ID]],Table1[],5,FALSE)</f>
        <v>Punjab</v>
      </c>
      <c r="L899" t="str">
        <f>VLOOKUP(tbl_details5[[#This Row],[Order ID]],Table1[],6,FALSE)</f>
        <v>Amritsar</v>
      </c>
    </row>
    <row r="900" spans="1:12" x14ac:dyDescent="0.25">
      <c r="A900" t="s">
        <v>598</v>
      </c>
      <c r="B900" s="4">
        <v>140</v>
      </c>
      <c r="C900" s="4">
        <v>68</v>
      </c>
      <c r="D900" s="5">
        <f>tbl_details5[[#This Row],[Profit]]/tbl_details5[[#This Row],[Revenue]]</f>
        <v>0.48571428571428571</v>
      </c>
      <c r="E900">
        <v>5</v>
      </c>
      <c r="F900" t="s">
        <v>885</v>
      </c>
      <c r="G900" t="s">
        <v>895</v>
      </c>
      <c r="H900" s="1">
        <f>VLOOKUP(tbl_details5[[#This Row],[Order ID]],Orders!A:F,2,FALSE)</f>
        <v>43443</v>
      </c>
      <c r="I900" s="1" t="str">
        <f>TEXT(tbl_details5[[#This Row],[Order Date]],"mmm-yy")</f>
        <v>Dec-18</v>
      </c>
      <c r="J900" t="str">
        <f>VLOOKUP(tbl_details5[[#This Row],[Order ID]],Table1[],4,FALSE)</f>
        <v>Anand</v>
      </c>
      <c r="K900" t="str">
        <f>VLOOKUP(tbl_details5[[#This Row],[Order ID]],Table1[],5,FALSE)</f>
        <v>Punjab</v>
      </c>
      <c r="L900" t="str">
        <f>VLOOKUP(tbl_details5[[#This Row],[Order ID]],Table1[],6,FALSE)</f>
        <v>Amritsar</v>
      </c>
    </row>
    <row r="901" spans="1:12" x14ac:dyDescent="0.25">
      <c r="A901" t="s">
        <v>598</v>
      </c>
      <c r="B901" s="4">
        <v>210</v>
      </c>
      <c r="C901" s="4">
        <v>62</v>
      </c>
      <c r="D901" s="5">
        <f>tbl_details5[[#This Row],[Profit]]/tbl_details5[[#This Row],[Revenue]]</f>
        <v>0.29523809523809524</v>
      </c>
      <c r="E901">
        <v>2</v>
      </c>
      <c r="F901" t="s">
        <v>888</v>
      </c>
      <c r="G901" t="s">
        <v>890</v>
      </c>
      <c r="H901" s="1">
        <f>VLOOKUP(tbl_details5[[#This Row],[Order ID]],Orders!A:F,2,FALSE)</f>
        <v>43443</v>
      </c>
      <c r="I901" s="1" t="str">
        <f>TEXT(tbl_details5[[#This Row],[Order Date]],"mmm-yy")</f>
        <v>Dec-18</v>
      </c>
      <c r="J901" t="str">
        <f>VLOOKUP(tbl_details5[[#This Row],[Order ID]],Table1[],4,FALSE)</f>
        <v>Anand</v>
      </c>
      <c r="K901" t="str">
        <f>VLOOKUP(tbl_details5[[#This Row],[Order ID]],Table1[],5,FALSE)</f>
        <v>Punjab</v>
      </c>
      <c r="L901" t="str">
        <f>VLOOKUP(tbl_details5[[#This Row],[Order ID]],Table1[],6,FALSE)</f>
        <v>Amritsar</v>
      </c>
    </row>
    <row r="902" spans="1:12" x14ac:dyDescent="0.25">
      <c r="A902" t="s">
        <v>599</v>
      </c>
      <c r="B902" s="4">
        <v>158</v>
      </c>
      <c r="C902" s="4">
        <v>38</v>
      </c>
      <c r="D902" s="5">
        <f>tbl_details5[[#This Row],[Profit]]/tbl_details5[[#This Row],[Revenue]]</f>
        <v>0.24050632911392406</v>
      </c>
      <c r="E902">
        <v>3</v>
      </c>
      <c r="F902" t="s">
        <v>885</v>
      </c>
      <c r="G902" t="s">
        <v>887</v>
      </c>
      <c r="H902" s="1">
        <f>VLOOKUP(tbl_details5[[#This Row],[Order ID]],Orders!A:F,2,FALSE)</f>
        <v>43444</v>
      </c>
      <c r="I902" s="1" t="str">
        <f>TEXT(tbl_details5[[#This Row],[Order Date]],"mmm-yy")</f>
        <v>Dec-18</v>
      </c>
      <c r="J902" t="str">
        <f>VLOOKUP(tbl_details5[[#This Row],[Order ID]],Table1[],4,FALSE)</f>
        <v>Suraj</v>
      </c>
      <c r="K902" t="str">
        <f>VLOOKUP(tbl_details5[[#This Row],[Order ID]],Table1[],5,FALSE)</f>
        <v>Gujarat</v>
      </c>
      <c r="L902" t="str">
        <f>VLOOKUP(tbl_details5[[#This Row],[Order ID]],Table1[],6,FALSE)</f>
        <v>Surat</v>
      </c>
    </row>
    <row r="903" spans="1:12" x14ac:dyDescent="0.25">
      <c r="A903" t="s">
        <v>599</v>
      </c>
      <c r="B903" s="4">
        <v>90</v>
      </c>
      <c r="C903" s="4">
        <v>27</v>
      </c>
      <c r="D903" s="5">
        <f>tbl_details5[[#This Row],[Profit]]/tbl_details5[[#This Row],[Revenue]]</f>
        <v>0.3</v>
      </c>
      <c r="E903">
        <v>2</v>
      </c>
      <c r="F903" t="s">
        <v>885</v>
      </c>
      <c r="G903" t="s">
        <v>895</v>
      </c>
      <c r="H903" s="1">
        <f>VLOOKUP(tbl_details5[[#This Row],[Order ID]],Orders!A:F,2,FALSE)</f>
        <v>43444</v>
      </c>
      <c r="I903" s="1" t="str">
        <f>TEXT(tbl_details5[[#This Row],[Order Date]],"mmm-yy")</f>
        <v>Dec-18</v>
      </c>
      <c r="J903" t="str">
        <f>VLOOKUP(tbl_details5[[#This Row],[Order ID]],Table1[],4,FALSE)</f>
        <v>Suraj</v>
      </c>
      <c r="K903" t="str">
        <f>VLOOKUP(tbl_details5[[#This Row],[Order ID]],Table1[],5,FALSE)</f>
        <v>Gujarat</v>
      </c>
      <c r="L903" t="str">
        <f>VLOOKUP(tbl_details5[[#This Row],[Order ID]],Table1[],6,FALSE)</f>
        <v>Surat</v>
      </c>
    </row>
    <row r="904" spans="1:12" x14ac:dyDescent="0.25">
      <c r="A904" t="s">
        <v>599</v>
      </c>
      <c r="B904" s="4">
        <v>159</v>
      </c>
      <c r="C904" s="4">
        <v>2</v>
      </c>
      <c r="D904" s="5">
        <f>tbl_details5[[#This Row],[Profit]]/tbl_details5[[#This Row],[Revenue]]</f>
        <v>1.2578616352201259E-2</v>
      </c>
      <c r="E904">
        <v>3</v>
      </c>
      <c r="F904" t="s">
        <v>883</v>
      </c>
      <c r="G904" t="s">
        <v>901</v>
      </c>
      <c r="H904" s="1">
        <f>VLOOKUP(tbl_details5[[#This Row],[Order ID]],Orders!A:F,2,FALSE)</f>
        <v>43444</v>
      </c>
      <c r="I904" s="1" t="str">
        <f>TEXT(tbl_details5[[#This Row],[Order Date]],"mmm-yy")</f>
        <v>Dec-18</v>
      </c>
      <c r="J904" t="str">
        <f>VLOOKUP(tbl_details5[[#This Row],[Order ID]],Table1[],4,FALSE)</f>
        <v>Suraj</v>
      </c>
      <c r="K904" t="str">
        <f>VLOOKUP(tbl_details5[[#This Row],[Order ID]],Table1[],5,FALSE)</f>
        <v>Gujarat</v>
      </c>
      <c r="L904" t="str">
        <f>VLOOKUP(tbl_details5[[#This Row],[Order ID]],Table1[],6,FALSE)</f>
        <v>Surat</v>
      </c>
    </row>
    <row r="905" spans="1:12" x14ac:dyDescent="0.25">
      <c r="A905" t="s">
        <v>599</v>
      </c>
      <c r="B905" s="4">
        <v>61</v>
      </c>
      <c r="C905" s="4">
        <v>28</v>
      </c>
      <c r="D905" s="5">
        <f>tbl_details5[[#This Row],[Profit]]/tbl_details5[[#This Row],[Revenue]]</f>
        <v>0.45901639344262296</v>
      </c>
      <c r="E905">
        <v>2</v>
      </c>
      <c r="F905" t="s">
        <v>885</v>
      </c>
      <c r="G905" t="s">
        <v>887</v>
      </c>
      <c r="H905" s="1">
        <f>VLOOKUP(tbl_details5[[#This Row],[Order ID]],Orders!A:F,2,FALSE)</f>
        <v>43444</v>
      </c>
      <c r="I905" s="1" t="str">
        <f>TEXT(tbl_details5[[#This Row],[Order Date]],"mmm-yy")</f>
        <v>Dec-18</v>
      </c>
      <c r="J905" t="str">
        <f>VLOOKUP(tbl_details5[[#This Row],[Order ID]],Table1[],4,FALSE)</f>
        <v>Suraj</v>
      </c>
      <c r="K905" t="str">
        <f>VLOOKUP(tbl_details5[[#This Row],[Order ID]],Table1[],5,FALSE)</f>
        <v>Gujarat</v>
      </c>
      <c r="L905" t="str">
        <f>VLOOKUP(tbl_details5[[#This Row],[Order ID]],Table1[],6,FALSE)</f>
        <v>Surat</v>
      </c>
    </row>
    <row r="906" spans="1:12" x14ac:dyDescent="0.25">
      <c r="A906" t="s">
        <v>601</v>
      </c>
      <c r="B906" s="4">
        <v>79</v>
      </c>
      <c r="C906" s="4">
        <v>6</v>
      </c>
      <c r="D906" s="5">
        <f>tbl_details5[[#This Row],[Profit]]/tbl_details5[[#This Row],[Revenue]]</f>
        <v>7.5949367088607597E-2</v>
      </c>
      <c r="E906">
        <v>7</v>
      </c>
      <c r="F906" t="s">
        <v>885</v>
      </c>
      <c r="G906" t="s">
        <v>891</v>
      </c>
      <c r="H906" s="1">
        <f>VLOOKUP(tbl_details5[[#This Row],[Order ID]],Orders!A:F,2,FALSE)</f>
        <v>43444</v>
      </c>
      <c r="I906" s="1" t="str">
        <f>TEXT(tbl_details5[[#This Row],[Order Date]],"mmm-yy")</f>
        <v>Dec-18</v>
      </c>
      <c r="J906" t="str">
        <f>VLOOKUP(tbl_details5[[#This Row],[Order ID]],Table1[],4,FALSE)</f>
        <v>Ishpreet</v>
      </c>
      <c r="K906" t="str">
        <f>VLOOKUP(tbl_details5[[#This Row],[Order ID]],Table1[],5,FALSE)</f>
        <v>Maharashtra</v>
      </c>
      <c r="L906" t="str">
        <f>VLOOKUP(tbl_details5[[#This Row],[Order ID]],Table1[],6,FALSE)</f>
        <v>Mumbai</v>
      </c>
    </row>
    <row r="907" spans="1:12" x14ac:dyDescent="0.25">
      <c r="A907" t="s">
        <v>601</v>
      </c>
      <c r="B907" s="4">
        <v>268</v>
      </c>
      <c r="C907" s="4">
        <v>6</v>
      </c>
      <c r="D907" s="5">
        <f>tbl_details5[[#This Row],[Profit]]/tbl_details5[[#This Row],[Revenue]]</f>
        <v>2.2388059701492536E-2</v>
      </c>
      <c r="E907">
        <v>2</v>
      </c>
      <c r="F907" t="s">
        <v>883</v>
      </c>
      <c r="G907" t="s">
        <v>884</v>
      </c>
      <c r="H907" s="1">
        <f>VLOOKUP(tbl_details5[[#This Row],[Order ID]],Orders!A:F,2,FALSE)</f>
        <v>43444</v>
      </c>
      <c r="I907" s="1" t="str">
        <f>TEXT(tbl_details5[[#This Row],[Order Date]],"mmm-yy")</f>
        <v>Dec-18</v>
      </c>
      <c r="J907" t="str">
        <f>VLOOKUP(tbl_details5[[#This Row],[Order ID]],Table1[],4,FALSE)</f>
        <v>Ishpreet</v>
      </c>
      <c r="K907" t="str">
        <f>VLOOKUP(tbl_details5[[#This Row],[Order ID]],Table1[],5,FALSE)</f>
        <v>Maharashtra</v>
      </c>
      <c r="L907" t="str">
        <f>VLOOKUP(tbl_details5[[#This Row],[Order ID]],Table1[],6,FALSE)</f>
        <v>Mumbai</v>
      </c>
    </row>
    <row r="908" spans="1:12" x14ac:dyDescent="0.25">
      <c r="A908" t="s">
        <v>601</v>
      </c>
      <c r="B908" s="4">
        <v>802</v>
      </c>
      <c r="C908" s="4">
        <v>120</v>
      </c>
      <c r="D908" s="5">
        <f>tbl_details5[[#This Row],[Profit]]/tbl_details5[[#This Row],[Revenue]]</f>
        <v>0.14962593516209477</v>
      </c>
      <c r="E908">
        <v>7</v>
      </c>
      <c r="F908" t="s">
        <v>888</v>
      </c>
      <c r="G908" t="s">
        <v>900</v>
      </c>
      <c r="H908" s="1">
        <f>VLOOKUP(tbl_details5[[#This Row],[Order ID]],Orders!A:F,2,FALSE)</f>
        <v>43444</v>
      </c>
      <c r="I908" s="1" t="str">
        <f>TEXT(tbl_details5[[#This Row],[Order Date]],"mmm-yy")</f>
        <v>Dec-18</v>
      </c>
      <c r="J908" t="str">
        <f>VLOOKUP(tbl_details5[[#This Row],[Order ID]],Table1[],4,FALSE)</f>
        <v>Ishpreet</v>
      </c>
      <c r="K908" t="str">
        <f>VLOOKUP(tbl_details5[[#This Row],[Order ID]],Table1[],5,FALSE)</f>
        <v>Maharashtra</v>
      </c>
      <c r="L908" t="str">
        <f>VLOOKUP(tbl_details5[[#This Row],[Order ID]],Table1[],6,FALSE)</f>
        <v>Mumbai</v>
      </c>
    </row>
    <row r="909" spans="1:12" x14ac:dyDescent="0.25">
      <c r="A909" t="s">
        <v>601</v>
      </c>
      <c r="B909" s="4">
        <v>1700</v>
      </c>
      <c r="C909" s="4">
        <v>85</v>
      </c>
      <c r="D909" s="5">
        <f>tbl_details5[[#This Row],[Profit]]/tbl_details5[[#This Row],[Revenue]]</f>
        <v>0.05</v>
      </c>
      <c r="E909">
        <v>3</v>
      </c>
      <c r="F909" t="s">
        <v>885</v>
      </c>
      <c r="G909" t="s">
        <v>892</v>
      </c>
      <c r="H909" s="1">
        <f>VLOOKUP(tbl_details5[[#This Row],[Order ID]],Orders!A:F,2,FALSE)</f>
        <v>43444</v>
      </c>
      <c r="I909" s="1" t="str">
        <f>TEXT(tbl_details5[[#This Row],[Order Date]],"mmm-yy")</f>
        <v>Dec-18</v>
      </c>
      <c r="J909" t="str">
        <f>VLOOKUP(tbl_details5[[#This Row],[Order ID]],Table1[],4,FALSE)</f>
        <v>Ishpreet</v>
      </c>
      <c r="K909" t="str">
        <f>VLOOKUP(tbl_details5[[#This Row],[Order ID]],Table1[],5,FALSE)</f>
        <v>Maharashtra</v>
      </c>
      <c r="L909" t="str">
        <f>VLOOKUP(tbl_details5[[#This Row],[Order ID]],Table1[],6,FALSE)</f>
        <v>Mumbai</v>
      </c>
    </row>
    <row r="910" spans="1:12" x14ac:dyDescent="0.25">
      <c r="A910" t="s">
        <v>601</v>
      </c>
      <c r="B910" s="4">
        <v>154</v>
      </c>
      <c r="C910" s="4">
        <v>26</v>
      </c>
      <c r="D910" s="5">
        <f>tbl_details5[[#This Row],[Profit]]/tbl_details5[[#This Row],[Revenue]]</f>
        <v>0.16883116883116883</v>
      </c>
      <c r="E910">
        <v>4</v>
      </c>
      <c r="F910" t="s">
        <v>888</v>
      </c>
      <c r="G910" t="s">
        <v>900</v>
      </c>
      <c r="H910" s="1">
        <f>VLOOKUP(tbl_details5[[#This Row],[Order ID]],Orders!A:F,2,FALSE)</f>
        <v>43444</v>
      </c>
      <c r="I910" s="1" t="str">
        <f>TEXT(tbl_details5[[#This Row],[Order Date]],"mmm-yy")</f>
        <v>Dec-18</v>
      </c>
      <c r="J910" t="str">
        <f>VLOOKUP(tbl_details5[[#This Row],[Order ID]],Table1[],4,FALSE)</f>
        <v>Ishpreet</v>
      </c>
      <c r="K910" t="str">
        <f>VLOOKUP(tbl_details5[[#This Row],[Order ID]],Table1[],5,FALSE)</f>
        <v>Maharashtra</v>
      </c>
      <c r="L910" t="str">
        <f>VLOOKUP(tbl_details5[[#This Row],[Order ID]],Table1[],6,FALSE)</f>
        <v>Mumbai</v>
      </c>
    </row>
    <row r="911" spans="1:12" x14ac:dyDescent="0.25">
      <c r="A911" t="s">
        <v>603</v>
      </c>
      <c r="B911" s="4">
        <v>455</v>
      </c>
      <c r="C911" s="4">
        <v>77</v>
      </c>
      <c r="D911" s="5">
        <f>tbl_details5[[#This Row],[Profit]]/tbl_details5[[#This Row],[Revenue]]</f>
        <v>0.16923076923076924</v>
      </c>
      <c r="E911">
        <v>8</v>
      </c>
      <c r="F911" t="s">
        <v>888</v>
      </c>
      <c r="G911" t="s">
        <v>900</v>
      </c>
      <c r="H911" s="1">
        <f>VLOOKUP(tbl_details5[[#This Row],[Order ID]],Orders!A:F,2,FALSE)</f>
        <v>43444</v>
      </c>
      <c r="I911" s="1" t="str">
        <f>TEXT(tbl_details5[[#This Row],[Order Date]],"mmm-yy")</f>
        <v>Dec-18</v>
      </c>
      <c r="J911" t="str">
        <f>VLOOKUP(tbl_details5[[#This Row],[Order ID]],Table1[],4,FALSE)</f>
        <v>Amlan</v>
      </c>
      <c r="K911" t="str">
        <f>VLOOKUP(tbl_details5[[#This Row],[Order ID]],Table1[],5,FALSE)</f>
        <v>Madhya Pradesh</v>
      </c>
      <c r="L911" t="str">
        <f>VLOOKUP(tbl_details5[[#This Row],[Order ID]],Table1[],6,FALSE)</f>
        <v>Indore</v>
      </c>
    </row>
    <row r="912" spans="1:12" x14ac:dyDescent="0.25">
      <c r="A912" t="s">
        <v>603</v>
      </c>
      <c r="B912" s="4">
        <v>19</v>
      </c>
      <c r="C912" s="4">
        <v>8</v>
      </c>
      <c r="D912" s="5">
        <f>tbl_details5[[#This Row],[Profit]]/tbl_details5[[#This Row],[Revenue]]</f>
        <v>0.42105263157894735</v>
      </c>
      <c r="E912">
        <v>2</v>
      </c>
      <c r="F912" t="s">
        <v>885</v>
      </c>
      <c r="G912" t="s">
        <v>887</v>
      </c>
      <c r="H912" s="1">
        <f>VLOOKUP(tbl_details5[[#This Row],[Order ID]],Orders!A:F,2,FALSE)</f>
        <v>43444</v>
      </c>
      <c r="I912" s="1" t="str">
        <f>TEXT(tbl_details5[[#This Row],[Order Date]],"mmm-yy")</f>
        <v>Dec-18</v>
      </c>
      <c r="J912" t="str">
        <f>VLOOKUP(tbl_details5[[#This Row],[Order ID]],Table1[],4,FALSE)</f>
        <v>Amlan</v>
      </c>
      <c r="K912" t="str">
        <f>VLOOKUP(tbl_details5[[#This Row],[Order ID]],Table1[],5,FALSE)</f>
        <v>Madhya Pradesh</v>
      </c>
      <c r="L912" t="str">
        <f>VLOOKUP(tbl_details5[[#This Row],[Order ID]],Table1[],6,FALSE)</f>
        <v>Indore</v>
      </c>
    </row>
    <row r="913" spans="1:12" x14ac:dyDescent="0.25">
      <c r="A913" t="s">
        <v>603</v>
      </c>
      <c r="B913" s="4">
        <v>25</v>
      </c>
      <c r="C913" s="4">
        <v>11</v>
      </c>
      <c r="D913" s="5">
        <f>tbl_details5[[#This Row],[Profit]]/tbl_details5[[#This Row],[Revenue]]</f>
        <v>0.44</v>
      </c>
      <c r="E913">
        <v>3</v>
      </c>
      <c r="F913" t="s">
        <v>885</v>
      </c>
      <c r="G913" t="s">
        <v>897</v>
      </c>
      <c r="H913" s="1">
        <f>VLOOKUP(tbl_details5[[#This Row],[Order ID]],Orders!A:F,2,FALSE)</f>
        <v>43444</v>
      </c>
      <c r="I913" s="1" t="str">
        <f>TEXT(tbl_details5[[#This Row],[Order Date]],"mmm-yy")</f>
        <v>Dec-18</v>
      </c>
      <c r="J913" t="str">
        <f>VLOOKUP(tbl_details5[[#This Row],[Order ID]],Table1[],4,FALSE)</f>
        <v>Amlan</v>
      </c>
      <c r="K913" t="str">
        <f>VLOOKUP(tbl_details5[[#This Row],[Order ID]],Table1[],5,FALSE)</f>
        <v>Madhya Pradesh</v>
      </c>
      <c r="L913" t="str">
        <f>VLOOKUP(tbl_details5[[#This Row],[Order ID]],Table1[],6,FALSE)</f>
        <v>Indore</v>
      </c>
    </row>
    <row r="914" spans="1:12" x14ac:dyDescent="0.25">
      <c r="A914" t="s">
        <v>603</v>
      </c>
      <c r="B914" s="4">
        <v>37</v>
      </c>
      <c r="C914" s="4">
        <v>17</v>
      </c>
      <c r="D914" s="5">
        <f>tbl_details5[[#This Row],[Profit]]/tbl_details5[[#This Row],[Revenue]]</f>
        <v>0.45945945945945948</v>
      </c>
      <c r="E914">
        <v>3</v>
      </c>
      <c r="F914" t="s">
        <v>885</v>
      </c>
      <c r="G914" t="s">
        <v>887</v>
      </c>
      <c r="H914" s="1">
        <f>VLOOKUP(tbl_details5[[#This Row],[Order ID]],Orders!A:F,2,FALSE)</f>
        <v>43444</v>
      </c>
      <c r="I914" s="1" t="str">
        <f>TEXT(tbl_details5[[#This Row],[Order Date]],"mmm-yy")</f>
        <v>Dec-18</v>
      </c>
      <c r="J914" t="str">
        <f>VLOOKUP(tbl_details5[[#This Row],[Order ID]],Table1[],4,FALSE)</f>
        <v>Amlan</v>
      </c>
      <c r="K914" t="str">
        <f>VLOOKUP(tbl_details5[[#This Row],[Order ID]],Table1[],5,FALSE)</f>
        <v>Madhya Pradesh</v>
      </c>
      <c r="L914" t="str">
        <f>VLOOKUP(tbl_details5[[#This Row],[Order ID]],Table1[],6,FALSE)</f>
        <v>Indore</v>
      </c>
    </row>
    <row r="915" spans="1:12" x14ac:dyDescent="0.25">
      <c r="A915" t="s">
        <v>603</v>
      </c>
      <c r="B915" s="4">
        <v>60</v>
      </c>
      <c r="C915" s="4">
        <v>-10</v>
      </c>
      <c r="D915" s="5">
        <f>tbl_details5[[#This Row],[Profit]]/tbl_details5[[#This Row],[Revenue]]</f>
        <v>-0.16666666666666666</v>
      </c>
      <c r="E915">
        <v>2</v>
      </c>
      <c r="F915" t="s">
        <v>883</v>
      </c>
      <c r="G915" t="s">
        <v>901</v>
      </c>
      <c r="H915" s="1">
        <f>VLOOKUP(tbl_details5[[#This Row],[Order ID]],Orders!A:F,2,FALSE)</f>
        <v>43444</v>
      </c>
      <c r="I915" s="1" t="str">
        <f>TEXT(tbl_details5[[#This Row],[Order Date]],"mmm-yy")</f>
        <v>Dec-18</v>
      </c>
      <c r="J915" t="str">
        <f>VLOOKUP(tbl_details5[[#This Row],[Order ID]],Table1[],4,FALSE)</f>
        <v>Amlan</v>
      </c>
      <c r="K915" t="str">
        <f>VLOOKUP(tbl_details5[[#This Row],[Order ID]],Table1[],5,FALSE)</f>
        <v>Madhya Pradesh</v>
      </c>
      <c r="L915" t="str">
        <f>VLOOKUP(tbl_details5[[#This Row],[Order ID]],Table1[],6,FALSE)</f>
        <v>Indore</v>
      </c>
    </row>
    <row r="916" spans="1:12" x14ac:dyDescent="0.25">
      <c r="A916" t="s">
        <v>603</v>
      </c>
      <c r="B916" s="4">
        <v>204</v>
      </c>
      <c r="C916" s="4">
        <v>94</v>
      </c>
      <c r="D916" s="5">
        <f>tbl_details5[[#This Row],[Profit]]/tbl_details5[[#This Row],[Revenue]]</f>
        <v>0.46078431372549017</v>
      </c>
      <c r="E916">
        <v>4</v>
      </c>
      <c r="F916" t="s">
        <v>885</v>
      </c>
      <c r="G916" t="s">
        <v>887</v>
      </c>
      <c r="H916" s="1">
        <f>VLOOKUP(tbl_details5[[#This Row],[Order ID]],Orders!A:F,2,FALSE)</f>
        <v>43444</v>
      </c>
      <c r="I916" s="1" t="str">
        <f>TEXT(tbl_details5[[#This Row],[Order Date]],"mmm-yy")</f>
        <v>Dec-18</v>
      </c>
      <c r="J916" t="str">
        <f>VLOOKUP(tbl_details5[[#This Row],[Order ID]],Table1[],4,FALSE)</f>
        <v>Amlan</v>
      </c>
      <c r="K916" t="str">
        <f>VLOOKUP(tbl_details5[[#This Row],[Order ID]],Table1[],5,FALSE)</f>
        <v>Madhya Pradesh</v>
      </c>
      <c r="L916" t="str">
        <f>VLOOKUP(tbl_details5[[#This Row],[Order ID]],Table1[],6,FALSE)</f>
        <v>Indore</v>
      </c>
    </row>
    <row r="917" spans="1:12" x14ac:dyDescent="0.25">
      <c r="A917" t="s">
        <v>603</v>
      </c>
      <c r="B917" s="4">
        <v>74</v>
      </c>
      <c r="C917" s="4">
        <v>33</v>
      </c>
      <c r="D917" s="5">
        <f>tbl_details5[[#This Row],[Profit]]/tbl_details5[[#This Row],[Revenue]]</f>
        <v>0.44594594594594594</v>
      </c>
      <c r="E917">
        <v>2</v>
      </c>
      <c r="F917" t="s">
        <v>885</v>
      </c>
      <c r="G917" t="s">
        <v>896</v>
      </c>
      <c r="H917" s="1">
        <f>VLOOKUP(tbl_details5[[#This Row],[Order ID]],Orders!A:F,2,FALSE)</f>
        <v>43444</v>
      </c>
      <c r="I917" s="1" t="str">
        <f>TEXT(tbl_details5[[#This Row],[Order Date]],"mmm-yy")</f>
        <v>Dec-18</v>
      </c>
      <c r="J917" t="str">
        <f>VLOOKUP(tbl_details5[[#This Row],[Order ID]],Table1[],4,FALSE)</f>
        <v>Amlan</v>
      </c>
      <c r="K917" t="str">
        <f>VLOOKUP(tbl_details5[[#This Row],[Order ID]],Table1[],5,FALSE)</f>
        <v>Madhya Pradesh</v>
      </c>
      <c r="L917" t="str">
        <f>VLOOKUP(tbl_details5[[#This Row],[Order ID]],Table1[],6,FALSE)</f>
        <v>Indore</v>
      </c>
    </row>
    <row r="918" spans="1:12" x14ac:dyDescent="0.25">
      <c r="A918" t="s">
        <v>603</v>
      </c>
      <c r="B918" s="4">
        <v>336</v>
      </c>
      <c r="C918" s="4">
        <v>57</v>
      </c>
      <c r="D918" s="5">
        <f>tbl_details5[[#This Row],[Profit]]/tbl_details5[[#This Row],[Revenue]]</f>
        <v>0.16964285714285715</v>
      </c>
      <c r="E918">
        <v>2</v>
      </c>
      <c r="F918" t="s">
        <v>888</v>
      </c>
      <c r="G918" t="s">
        <v>890</v>
      </c>
      <c r="H918" s="1">
        <f>VLOOKUP(tbl_details5[[#This Row],[Order ID]],Orders!A:F,2,FALSE)</f>
        <v>43444</v>
      </c>
      <c r="I918" s="1" t="str">
        <f>TEXT(tbl_details5[[#This Row],[Order Date]],"mmm-yy")</f>
        <v>Dec-18</v>
      </c>
      <c r="J918" t="str">
        <f>VLOOKUP(tbl_details5[[#This Row],[Order ID]],Table1[],4,FALSE)</f>
        <v>Amlan</v>
      </c>
      <c r="K918" t="str">
        <f>VLOOKUP(tbl_details5[[#This Row],[Order ID]],Table1[],5,FALSE)</f>
        <v>Madhya Pradesh</v>
      </c>
      <c r="L918" t="str">
        <f>VLOOKUP(tbl_details5[[#This Row],[Order ID]],Table1[],6,FALSE)</f>
        <v>Indore</v>
      </c>
    </row>
    <row r="919" spans="1:12" x14ac:dyDescent="0.25">
      <c r="A919" t="s">
        <v>605</v>
      </c>
      <c r="B919" s="4">
        <v>871</v>
      </c>
      <c r="C919" s="4">
        <v>131</v>
      </c>
      <c r="D919" s="5">
        <f>tbl_details5[[#This Row],[Profit]]/tbl_details5[[#This Row],[Revenue]]</f>
        <v>0.15040183696900114</v>
      </c>
      <c r="E919">
        <v>2</v>
      </c>
      <c r="F919" t="s">
        <v>883</v>
      </c>
      <c r="G919" t="s">
        <v>884</v>
      </c>
      <c r="H919" s="1">
        <f>VLOOKUP(tbl_details5[[#This Row],[Order ID]],Orders!A:F,2,FALSE)</f>
        <v>43444</v>
      </c>
      <c r="I919" s="1" t="str">
        <f>TEXT(tbl_details5[[#This Row],[Order Date]],"mmm-yy")</f>
        <v>Dec-18</v>
      </c>
      <c r="J919" t="str">
        <f>VLOOKUP(tbl_details5[[#This Row],[Order ID]],Table1[],4,FALSE)</f>
        <v>Swapnil</v>
      </c>
      <c r="K919" t="str">
        <f>VLOOKUP(tbl_details5[[#This Row],[Order ID]],Table1[],5,FALSE)</f>
        <v>Delhi</v>
      </c>
      <c r="L919" t="str">
        <f>VLOOKUP(tbl_details5[[#This Row],[Order ID]],Table1[],6,FALSE)</f>
        <v>Delhi</v>
      </c>
    </row>
    <row r="920" spans="1:12" x14ac:dyDescent="0.25">
      <c r="A920" t="s">
        <v>605</v>
      </c>
      <c r="B920" s="4">
        <v>83</v>
      </c>
      <c r="C920" s="4">
        <v>12</v>
      </c>
      <c r="D920" s="5">
        <f>tbl_details5[[#This Row],[Profit]]/tbl_details5[[#This Row],[Revenue]]</f>
        <v>0.14457831325301204</v>
      </c>
      <c r="E920">
        <v>2</v>
      </c>
      <c r="F920" t="s">
        <v>883</v>
      </c>
      <c r="G920" t="s">
        <v>893</v>
      </c>
      <c r="H920" s="1">
        <f>VLOOKUP(tbl_details5[[#This Row],[Order ID]],Orders!A:F,2,FALSE)</f>
        <v>43444</v>
      </c>
      <c r="I920" s="1" t="str">
        <f>TEXT(tbl_details5[[#This Row],[Order Date]],"mmm-yy")</f>
        <v>Dec-18</v>
      </c>
      <c r="J920" t="str">
        <f>VLOOKUP(tbl_details5[[#This Row],[Order ID]],Table1[],4,FALSE)</f>
        <v>Swapnil</v>
      </c>
      <c r="K920" t="str">
        <f>VLOOKUP(tbl_details5[[#This Row],[Order ID]],Table1[],5,FALSE)</f>
        <v>Delhi</v>
      </c>
      <c r="L920" t="str">
        <f>VLOOKUP(tbl_details5[[#This Row],[Order ID]],Table1[],6,FALSE)</f>
        <v>Delhi</v>
      </c>
    </row>
    <row r="921" spans="1:12" x14ac:dyDescent="0.25">
      <c r="A921" t="s">
        <v>607</v>
      </c>
      <c r="B921" s="4">
        <v>152</v>
      </c>
      <c r="C921" s="4">
        <v>50</v>
      </c>
      <c r="D921" s="5">
        <f>tbl_details5[[#This Row],[Profit]]/tbl_details5[[#This Row],[Revenue]]</f>
        <v>0.32894736842105265</v>
      </c>
      <c r="E921">
        <v>6</v>
      </c>
      <c r="F921" t="s">
        <v>885</v>
      </c>
      <c r="G921" t="s">
        <v>886</v>
      </c>
      <c r="H921" s="1">
        <f>VLOOKUP(tbl_details5[[#This Row],[Order ID]],Orders!A:F,2,FALSE)</f>
        <v>43445</v>
      </c>
      <c r="I921" s="1" t="str">
        <f>TEXT(tbl_details5[[#This Row],[Order Date]],"mmm-yy")</f>
        <v>Dec-18</v>
      </c>
      <c r="J921" t="str">
        <f>VLOOKUP(tbl_details5[[#This Row],[Order ID]],Table1[],4,FALSE)</f>
        <v>Bhargav</v>
      </c>
      <c r="K921" t="str">
        <f>VLOOKUP(tbl_details5[[#This Row],[Order ID]],Table1[],5,FALSE)</f>
        <v>Madhya Pradesh</v>
      </c>
      <c r="L921" t="str">
        <f>VLOOKUP(tbl_details5[[#This Row],[Order ID]],Table1[],6,FALSE)</f>
        <v>Delhi</v>
      </c>
    </row>
    <row r="922" spans="1:12" x14ac:dyDescent="0.25">
      <c r="A922" t="s">
        <v>609</v>
      </c>
      <c r="B922" s="4">
        <v>78</v>
      </c>
      <c r="C922" s="4">
        <v>27</v>
      </c>
      <c r="D922" s="5">
        <f>tbl_details5[[#This Row],[Profit]]/tbl_details5[[#This Row],[Revenue]]</f>
        <v>0.34615384615384615</v>
      </c>
      <c r="E922">
        <v>3</v>
      </c>
      <c r="F922" t="s">
        <v>885</v>
      </c>
      <c r="G922" t="s">
        <v>886</v>
      </c>
      <c r="H922" s="1">
        <f>VLOOKUP(tbl_details5[[#This Row],[Order ID]],Orders!A:F,2,FALSE)</f>
        <v>43445</v>
      </c>
      <c r="I922" s="1" t="str">
        <f>TEXT(tbl_details5[[#This Row],[Order Date]],"mmm-yy")</f>
        <v>Dec-18</v>
      </c>
      <c r="J922" t="str">
        <f>VLOOKUP(tbl_details5[[#This Row],[Order ID]],Table1[],4,FALSE)</f>
        <v>Abhijit</v>
      </c>
      <c r="K922" t="str">
        <f>VLOOKUP(tbl_details5[[#This Row],[Order ID]],Table1[],5,FALSE)</f>
        <v>Delhi</v>
      </c>
      <c r="L922" t="str">
        <f>VLOOKUP(tbl_details5[[#This Row],[Order ID]],Table1[],6,FALSE)</f>
        <v>Delhi</v>
      </c>
    </row>
    <row r="923" spans="1:12" x14ac:dyDescent="0.25">
      <c r="A923" t="s">
        <v>611</v>
      </c>
      <c r="B923" s="4">
        <v>30</v>
      </c>
      <c r="C923" s="4">
        <v>11</v>
      </c>
      <c r="D923" s="5">
        <f>tbl_details5[[#This Row],[Profit]]/tbl_details5[[#This Row],[Revenue]]</f>
        <v>0.36666666666666664</v>
      </c>
      <c r="E923">
        <v>5</v>
      </c>
      <c r="F923" t="s">
        <v>885</v>
      </c>
      <c r="G923" t="s">
        <v>887</v>
      </c>
      <c r="H923" s="1">
        <f>VLOOKUP(tbl_details5[[#This Row],[Order ID]],Orders!A:F,2,FALSE)</f>
        <v>43445</v>
      </c>
      <c r="I923" s="1" t="str">
        <f>TEXT(tbl_details5[[#This Row],[Order Date]],"mmm-yy")</f>
        <v>Dec-18</v>
      </c>
      <c r="J923" t="str">
        <f>VLOOKUP(tbl_details5[[#This Row],[Order ID]],Table1[],4,FALSE)</f>
        <v>Jaydeep</v>
      </c>
      <c r="K923" t="str">
        <f>VLOOKUP(tbl_details5[[#This Row],[Order ID]],Table1[],5,FALSE)</f>
        <v>Madhya Pradesh</v>
      </c>
      <c r="L923" t="str">
        <f>VLOOKUP(tbl_details5[[#This Row],[Order ID]],Table1[],6,FALSE)</f>
        <v>Bhopal</v>
      </c>
    </row>
    <row r="924" spans="1:12" x14ac:dyDescent="0.25">
      <c r="A924" t="s">
        <v>613</v>
      </c>
      <c r="B924" s="4">
        <v>179</v>
      </c>
      <c r="C924" s="4">
        <v>25</v>
      </c>
      <c r="D924" s="5">
        <f>tbl_details5[[#This Row],[Profit]]/tbl_details5[[#This Row],[Revenue]]</f>
        <v>0.13966480446927373</v>
      </c>
      <c r="E924">
        <v>5</v>
      </c>
      <c r="F924" t="s">
        <v>885</v>
      </c>
      <c r="G924" t="s">
        <v>894</v>
      </c>
      <c r="H924" s="1">
        <f>VLOOKUP(tbl_details5[[#This Row],[Order ID]],Orders!A:F,2,FALSE)</f>
        <v>43446</v>
      </c>
      <c r="I924" s="1" t="str">
        <f>TEXT(tbl_details5[[#This Row],[Order Date]],"mmm-yy")</f>
        <v>Dec-18</v>
      </c>
      <c r="J924" t="str">
        <f>VLOOKUP(tbl_details5[[#This Row],[Order ID]],Table1[],4,FALSE)</f>
        <v>Pradeep</v>
      </c>
      <c r="K924" t="str">
        <f>VLOOKUP(tbl_details5[[#This Row],[Order ID]],Table1[],5,FALSE)</f>
        <v>Delhi</v>
      </c>
      <c r="L924" t="str">
        <f>VLOOKUP(tbl_details5[[#This Row],[Order ID]],Table1[],6,FALSE)</f>
        <v>Delhi</v>
      </c>
    </row>
    <row r="925" spans="1:12" x14ac:dyDescent="0.25">
      <c r="A925" t="s">
        <v>615</v>
      </c>
      <c r="B925" s="4">
        <v>168</v>
      </c>
      <c r="C925" s="4">
        <v>56</v>
      </c>
      <c r="D925" s="5">
        <f>tbl_details5[[#This Row],[Profit]]/tbl_details5[[#This Row],[Revenue]]</f>
        <v>0.33333333333333331</v>
      </c>
      <c r="E925">
        <v>3</v>
      </c>
      <c r="F925" t="s">
        <v>885</v>
      </c>
      <c r="G925" t="s">
        <v>891</v>
      </c>
      <c r="H925" s="1">
        <f>VLOOKUP(tbl_details5[[#This Row],[Order ID]],Orders!A:F,2,FALSE)</f>
        <v>43447</v>
      </c>
      <c r="I925" s="1" t="str">
        <f>TEXT(tbl_details5[[#This Row],[Order Date]],"mmm-yy")</f>
        <v>Dec-18</v>
      </c>
      <c r="J925" t="str">
        <f>VLOOKUP(tbl_details5[[#This Row],[Order ID]],Table1[],4,FALSE)</f>
        <v>Sujay</v>
      </c>
      <c r="K925" t="str">
        <f>VLOOKUP(tbl_details5[[#This Row],[Order ID]],Table1[],5,FALSE)</f>
        <v>Madhya Pradesh</v>
      </c>
      <c r="L925" t="str">
        <f>VLOOKUP(tbl_details5[[#This Row],[Order ID]],Table1[],6,FALSE)</f>
        <v>Delhi</v>
      </c>
    </row>
    <row r="926" spans="1:12" x14ac:dyDescent="0.25">
      <c r="A926" t="s">
        <v>615</v>
      </c>
      <c r="B926" s="4">
        <v>108</v>
      </c>
      <c r="C926" s="4">
        <v>22</v>
      </c>
      <c r="D926" s="5">
        <f>tbl_details5[[#This Row],[Profit]]/tbl_details5[[#This Row],[Revenue]]</f>
        <v>0.20370370370370369</v>
      </c>
      <c r="E926">
        <v>3</v>
      </c>
      <c r="F926" t="s">
        <v>888</v>
      </c>
      <c r="G926" t="s">
        <v>900</v>
      </c>
      <c r="H926" s="1">
        <f>VLOOKUP(tbl_details5[[#This Row],[Order ID]],Orders!A:F,2,FALSE)</f>
        <v>43447</v>
      </c>
      <c r="I926" s="1" t="str">
        <f>TEXT(tbl_details5[[#This Row],[Order Date]],"mmm-yy")</f>
        <v>Dec-18</v>
      </c>
      <c r="J926" t="str">
        <f>VLOOKUP(tbl_details5[[#This Row],[Order ID]],Table1[],4,FALSE)</f>
        <v>Sujay</v>
      </c>
      <c r="K926" t="str">
        <f>VLOOKUP(tbl_details5[[#This Row],[Order ID]],Table1[],5,FALSE)</f>
        <v>Madhya Pradesh</v>
      </c>
      <c r="L926" t="str">
        <f>VLOOKUP(tbl_details5[[#This Row],[Order ID]],Table1[],6,FALSE)</f>
        <v>Delhi</v>
      </c>
    </row>
    <row r="927" spans="1:12" x14ac:dyDescent="0.25">
      <c r="A927" t="s">
        <v>615</v>
      </c>
      <c r="B927" s="4">
        <v>1622</v>
      </c>
      <c r="C927" s="4">
        <v>248</v>
      </c>
      <c r="D927" s="5">
        <f>tbl_details5[[#This Row],[Profit]]/tbl_details5[[#This Row],[Revenue]]</f>
        <v>0.15289765721331688</v>
      </c>
      <c r="E927">
        <v>3</v>
      </c>
      <c r="F927" t="s">
        <v>888</v>
      </c>
      <c r="G927" t="s">
        <v>890</v>
      </c>
      <c r="H927" s="1">
        <f>VLOOKUP(tbl_details5[[#This Row],[Order ID]],Orders!A:F,2,FALSE)</f>
        <v>43447</v>
      </c>
      <c r="I927" s="1" t="str">
        <f>TEXT(tbl_details5[[#This Row],[Order Date]],"mmm-yy")</f>
        <v>Dec-18</v>
      </c>
      <c r="J927" t="str">
        <f>VLOOKUP(tbl_details5[[#This Row],[Order ID]],Table1[],4,FALSE)</f>
        <v>Sujay</v>
      </c>
      <c r="K927" t="str">
        <f>VLOOKUP(tbl_details5[[#This Row],[Order ID]],Table1[],5,FALSE)</f>
        <v>Madhya Pradesh</v>
      </c>
      <c r="L927" t="str">
        <f>VLOOKUP(tbl_details5[[#This Row],[Order ID]],Table1[],6,FALSE)</f>
        <v>Delhi</v>
      </c>
    </row>
    <row r="928" spans="1:12" x14ac:dyDescent="0.25">
      <c r="A928" t="s">
        <v>615</v>
      </c>
      <c r="B928" s="4">
        <v>323</v>
      </c>
      <c r="C928" s="4">
        <v>122</v>
      </c>
      <c r="D928" s="5">
        <f>tbl_details5[[#This Row],[Profit]]/tbl_details5[[#This Row],[Revenue]]</f>
        <v>0.37770897832817335</v>
      </c>
      <c r="E928">
        <v>5</v>
      </c>
      <c r="F928" t="s">
        <v>888</v>
      </c>
      <c r="G928" t="s">
        <v>890</v>
      </c>
      <c r="H928" s="1">
        <f>VLOOKUP(tbl_details5[[#This Row],[Order ID]],Orders!A:F,2,FALSE)</f>
        <v>43447</v>
      </c>
      <c r="I928" s="1" t="str">
        <f>TEXT(tbl_details5[[#This Row],[Order Date]],"mmm-yy")</f>
        <v>Dec-18</v>
      </c>
      <c r="J928" t="str">
        <f>VLOOKUP(tbl_details5[[#This Row],[Order ID]],Table1[],4,FALSE)</f>
        <v>Sujay</v>
      </c>
      <c r="K928" t="str">
        <f>VLOOKUP(tbl_details5[[#This Row],[Order ID]],Table1[],5,FALSE)</f>
        <v>Madhya Pradesh</v>
      </c>
      <c r="L928" t="str">
        <f>VLOOKUP(tbl_details5[[#This Row],[Order ID]],Table1[],6,FALSE)</f>
        <v>Delhi</v>
      </c>
    </row>
    <row r="929" spans="1:12" x14ac:dyDescent="0.25">
      <c r="A929" t="s">
        <v>615</v>
      </c>
      <c r="B929" s="4">
        <v>12</v>
      </c>
      <c r="C929" s="4">
        <v>2</v>
      </c>
      <c r="D929" s="5">
        <f>tbl_details5[[#This Row],[Profit]]/tbl_details5[[#This Row],[Revenue]]</f>
        <v>0.16666666666666666</v>
      </c>
      <c r="E929">
        <v>2</v>
      </c>
      <c r="F929" t="s">
        <v>885</v>
      </c>
      <c r="G929" t="s">
        <v>902</v>
      </c>
      <c r="H929" s="1">
        <f>VLOOKUP(tbl_details5[[#This Row],[Order ID]],Orders!A:F,2,FALSE)</f>
        <v>43447</v>
      </c>
      <c r="I929" s="1" t="str">
        <f>TEXT(tbl_details5[[#This Row],[Order Date]],"mmm-yy")</f>
        <v>Dec-18</v>
      </c>
      <c r="J929" t="str">
        <f>VLOOKUP(tbl_details5[[#This Row],[Order ID]],Table1[],4,FALSE)</f>
        <v>Sujay</v>
      </c>
      <c r="K929" t="str">
        <f>VLOOKUP(tbl_details5[[#This Row],[Order ID]],Table1[],5,FALSE)</f>
        <v>Madhya Pradesh</v>
      </c>
      <c r="L929" t="str">
        <f>VLOOKUP(tbl_details5[[#This Row],[Order ID]],Table1[],6,FALSE)</f>
        <v>Delhi</v>
      </c>
    </row>
    <row r="930" spans="1:12" x14ac:dyDescent="0.25">
      <c r="A930" t="s">
        <v>617</v>
      </c>
      <c r="B930" s="4">
        <v>125</v>
      </c>
      <c r="C930" s="4">
        <v>15</v>
      </c>
      <c r="D930" s="5">
        <f>tbl_details5[[#This Row],[Profit]]/tbl_details5[[#This Row],[Revenue]]</f>
        <v>0.12</v>
      </c>
      <c r="E930">
        <v>5</v>
      </c>
      <c r="F930" t="s">
        <v>885</v>
      </c>
      <c r="G930" t="s">
        <v>896</v>
      </c>
      <c r="H930" s="1">
        <f>VLOOKUP(tbl_details5[[#This Row],[Order ID]],Orders!A:F,2,FALSE)</f>
        <v>43448</v>
      </c>
      <c r="I930" s="1" t="str">
        <f>TEXT(tbl_details5[[#This Row],[Order Date]],"mmm-yy")</f>
        <v>Dec-18</v>
      </c>
      <c r="J930" t="str">
        <f>VLOOKUP(tbl_details5[[#This Row],[Order ID]],Table1[],4,FALSE)</f>
        <v>Jay</v>
      </c>
      <c r="K930" t="str">
        <f>VLOOKUP(tbl_details5[[#This Row],[Order ID]],Table1[],5,FALSE)</f>
        <v>Delhi</v>
      </c>
      <c r="L930" t="str">
        <f>VLOOKUP(tbl_details5[[#This Row],[Order ID]],Table1[],6,FALSE)</f>
        <v>Delhi</v>
      </c>
    </row>
    <row r="931" spans="1:12" x14ac:dyDescent="0.25">
      <c r="A931" t="s">
        <v>617</v>
      </c>
      <c r="B931" s="4">
        <v>685</v>
      </c>
      <c r="C931" s="4">
        <v>7</v>
      </c>
      <c r="D931" s="5">
        <f>tbl_details5[[#This Row],[Profit]]/tbl_details5[[#This Row],[Revenue]]</f>
        <v>1.0218978102189781E-2</v>
      </c>
      <c r="E931">
        <v>7</v>
      </c>
      <c r="F931" t="s">
        <v>885</v>
      </c>
      <c r="G931" t="s">
        <v>892</v>
      </c>
      <c r="H931" s="1">
        <f>VLOOKUP(tbl_details5[[#This Row],[Order ID]],Orders!A:F,2,FALSE)</f>
        <v>43448</v>
      </c>
      <c r="I931" s="1" t="str">
        <f>TEXT(tbl_details5[[#This Row],[Order Date]],"mmm-yy")</f>
        <v>Dec-18</v>
      </c>
      <c r="J931" t="str">
        <f>VLOOKUP(tbl_details5[[#This Row],[Order ID]],Table1[],4,FALSE)</f>
        <v>Jay</v>
      </c>
      <c r="K931" t="str">
        <f>VLOOKUP(tbl_details5[[#This Row],[Order ID]],Table1[],5,FALSE)</f>
        <v>Delhi</v>
      </c>
      <c r="L931" t="str">
        <f>VLOOKUP(tbl_details5[[#This Row],[Order ID]],Table1[],6,FALSE)</f>
        <v>Delhi</v>
      </c>
    </row>
    <row r="932" spans="1:12" x14ac:dyDescent="0.25">
      <c r="A932" t="s">
        <v>617</v>
      </c>
      <c r="B932" s="4">
        <v>850</v>
      </c>
      <c r="C932" s="4">
        <v>289</v>
      </c>
      <c r="D932" s="5">
        <f>tbl_details5[[#This Row],[Profit]]/tbl_details5[[#This Row],[Revenue]]</f>
        <v>0.34</v>
      </c>
      <c r="E932">
        <v>5</v>
      </c>
      <c r="F932" t="s">
        <v>888</v>
      </c>
      <c r="G932" t="s">
        <v>889</v>
      </c>
      <c r="H932" s="1">
        <f>VLOOKUP(tbl_details5[[#This Row],[Order ID]],Orders!A:F,2,FALSE)</f>
        <v>43448</v>
      </c>
      <c r="I932" s="1" t="str">
        <f>TEXT(tbl_details5[[#This Row],[Order Date]],"mmm-yy")</f>
        <v>Dec-18</v>
      </c>
      <c r="J932" t="str">
        <f>VLOOKUP(tbl_details5[[#This Row],[Order ID]],Table1[],4,FALSE)</f>
        <v>Jay</v>
      </c>
      <c r="K932" t="str">
        <f>VLOOKUP(tbl_details5[[#This Row],[Order ID]],Table1[],5,FALSE)</f>
        <v>Delhi</v>
      </c>
      <c r="L932" t="str">
        <f>VLOOKUP(tbl_details5[[#This Row],[Order ID]],Table1[],6,FALSE)</f>
        <v>Delhi</v>
      </c>
    </row>
    <row r="933" spans="1:12" x14ac:dyDescent="0.25">
      <c r="A933" t="s">
        <v>617</v>
      </c>
      <c r="B933" s="4">
        <v>1622</v>
      </c>
      <c r="C933" s="4">
        <v>-624</v>
      </c>
      <c r="D933" s="5">
        <f>tbl_details5[[#This Row],[Profit]]/tbl_details5[[#This Row],[Revenue]]</f>
        <v>-0.38471023427866829</v>
      </c>
      <c r="E933">
        <v>5</v>
      </c>
      <c r="F933" t="s">
        <v>883</v>
      </c>
      <c r="G933" t="s">
        <v>898</v>
      </c>
      <c r="H933" s="1">
        <f>VLOOKUP(tbl_details5[[#This Row],[Order ID]],Orders!A:F,2,FALSE)</f>
        <v>43448</v>
      </c>
      <c r="I933" s="1" t="str">
        <f>TEXT(tbl_details5[[#This Row],[Order Date]],"mmm-yy")</f>
        <v>Dec-18</v>
      </c>
      <c r="J933" t="str">
        <f>VLOOKUP(tbl_details5[[#This Row],[Order ID]],Table1[],4,FALSE)</f>
        <v>Jay</v>
      </c>
      <c r="K933" t="str">
        <f>VLOOKUP(tbl_details5[[#This Row],[Order ID]],Table1[],5,FALSE)</f>
        <v>Delhi</v>
      </c>
      <c r="L933" t="str">
        <f>VLOOKUP(tbl_details5[[#This Row],[Order ID]],Table1[],6,FALSE)</f>
        <v>Delhi</v>
      </c>
    </row>
    <row r="934" spans="1:12" x14ac:dyDescent="0.25">
      <c r="A934" t="s">
        <v>617</v>
      </c>
      <c r="B934" s="4">
        <v>259</v>
      </c>
      <c r="C934" s="4">
        <v>47</v>
      </c>
      <c r="D934" s="5">
        <f>tbl_details5[[#This Row],[Profit]]/tbl_details5[[#This Row],[Revenue]]</f>
        <v>0.18146718146718147</v>
      </c>
      <c r="E934">
        <v>5</v>
      </c>
      <c r="F934" t="s">
        <v>885</v>
      </c>
      <c r="G934" t="s">
        <v>887</v>
      </c>
      <c r="H934" s="1">
        <f>VLOOKUP(tbl_details5[[#This Row],[Order ID]],Orders!A:F,2,FALSE)</f>
        <v>43448</v>
      </c>
      <c r="I934" s="1" t="str">
        <f>TEXT(tbl_details5[[#This Row],[Order Date]],"mmm-yy")</f>
        <v>Dec-18</v>
      </c>
      <c r="J934" t="str">
        <f>VLOOKUP(tbl_details5[[#This Row],[Order ID]],Table1[],4,FALSE)</f>
        <v>Jay</v>
      </c>
      <c r="K934" t="str">
        <f>VLOOKUP(tbl_details5[[#This Row],[Order ID]],Table1[],5,FALSE)</f>
        <v>Delhi</v>
      </c>
      <c r="L934" t="str">
        <f>VLOOKUP(tbl_details5[[#This Row],[Order ID]],Table1[],6,FALSE)</f>
        <v>Delhi</v>
      </c>
    </row>
    <row r="935" spans="1:12" x14ac:dyDescent="0.25">
      <c r="A935" t="s">
        <v>617</v>
      </c>
      <c r="B935" s="4">
        <v>33</v>
      </c>
      <c r="C935" s="4">
        <v>1</v>
      </c>
      <c r="D935" s="5">
        <f>tbl_details5[[#This Row],[Profit]]/tbl_details5[[#This Row],[Revenue]]</f>
        <v>3.0303030303030304E-2</v>
      </c>
      <c r="E935">
        <v>2</v>
      </c>
      <c r="F935" t="s">
        <v>885</v>
      </c>
      <c r="G935" t="s">
        <v>896</v>
      </c>
      <c r="H935" s="1">
        <f>VLOOKUP(tbl_details5[[#This Row],[Order ID]],Orders!A:F,2,FALSE)</f>
        <v>43448</v>
      </c>
      <c r="I935" s="1" t="str">
        <f>TEXT(tbl_details5[[#This Row],[Order Date]],"mmm-yy")</f>
        <v>Dec-18</v>
      </c>
      <c r="J935" t="str">
        <f>VLOOKUP(tbl_details5[[#This Row],[Order ID]],Table1[],4,FALSE)</f>
        <v>Jay</v>
      </c>
      <c r="K935" t="str">
        <f>VLOOKUP(tbl_details5[[#This Row],[Order ID]],Table1[],5,FALSE)</f>
        <v>Delhi</v>
      </c>
      <c r="L935" t="str">
        <f>VLOOKUP(tbl_details5[[#This Row],[Order ID]],Table1[],6,FALSE)</f>
        <v>Delhi</v>
      </c>
    </row>
    <row r="936" spans="1:12" x14ac:dyDescent="0.25">
      <c r="A936" t="s">
        <v>619</v>
      </c>
      <c r="B936" s="4">
        <v>40</v>
      </c>
      <c r="C936" s="4">
        <v>15</v>
      </c>
      <c r="D936" s="5">
        <f>tbl_details5[[#This Row],[Profit]]/tbl_details5[[#This Row],[Revenue]]</f>
        <v>0.375</v>
      </c>
      <c r="E936">
        <v>1</v>
      </c>
      <c r="F936" t="s">
        <v>885</v>
      </c>
      <c r="G936" t="s">
        <v>894</v>
      </c>
      <c r="H936" s="1">
        <f>VLOOKUP(tbl_details5[[#This Row],[Order ID]],Orders!A:F,2,FALSE)</f>
        <v>43449</v>
      </c>
      <c r="I936" s="1" t="str">
        <f>TEXT(tbl_details5[[#This Row],[Order Date]],"mmm-yy")</f>
        <v>Dec-18</v>
      </c>
      <c r="J936" t="str">
        <f>VLOOKUP(tbl_details5[[#This Row],[Order ID]],Table1[],4,FALSE)</f>
        <v>Phalguni</v>
      </c>
      <c r="K936" t="str">
        <f>VLOOKUP(tbl_details5[[#This Row],[Order ID]],Table1[],5,FALSE)</f>
        <v>Madhya Pradesh</v>
      </c>
      <c r="L936" t="str">
        <f>VLOOKUP(tbl_details5[[#This Row],[Order ID]],Table1[],6,FALSE)</f>
        <v>Bhopal</v>
      </c>
    </row>
    <row r="937" spans="1:12" x14ac:dyDescent="0.25">
      <c r="A937" t="s">
        <v>621</v>
      </c>
      <c r="B937" s="4">
        <v>102</v>
      </c>
      <c r="C937" s="4">
        <v>11</v>
      </c>
      <c r="D937" s="5">
        <f>tbl_details5[[#This Row],[Profit]]/tbl_details5[[#This Row],[Revenue]]</f>
        <v>0.10784313725490197</v>
      </c>
      <c r="E937">
        <v>6</v>
      </c>
      <c r="F937" t="s">
        <v>885</v>
      </c>
      <c r="G937" t="s">
        <v>895</v>
      </c>
      <c r="H937" s="1">
        <f>VLOOKUP(tbl_details5[[#This Row],[Order ID]],Orders!A:F,2,FALSE)</f>
        <v>43450</v>
      </c>
      <c r="I937" s="1" t="str">
        <f>TEXT(tbl_details5[[#This Row],[Order Date]],"mmm-yy")</f>
        <v>Dec-18</v>
      </c>
      <c r="J937" t="str">
        <f>VLOOKUP(tbl_details5[[#This Row],[Order ID]],Table1[],4,FALSE)</f>
        <v>Preksha</v>
      </c>
      <c r="K937" t="str">
        <f>VLOOKUP(tbl_details5[[#This Row],[Order ID]],Table1[],5,FALSE)</f>
        <v>Delhi</v>
      </c>
      <c r="L937" t="str">
        <f>VLOOKUP(tbl_details5[[#This Row],[Order ID]],Table1[],6,FALSE)</f>
        <v>Delhi</v>
      </c>
    </row>
    <row r="938" spans="1:12" x14ac:dyDescent="0.25">
      <c r="A938" t="s">
        <v>623</v>
      </c>
      <c r="B938" s="4">
        <v>103</v>
      </c>
      <c r="C938" s="4">
        <v>21</v>
      </c>
      <c r="D938" s="5">
        <f>tbl_details5[[#This Row],[Profit]]/tbl_details5[[#This Row],[Revenue]]</f>
        <v>0.20388349514563106</v>
      </c>
      <c r="E938">
        <v>7</v>
      </c>
      <c r="F938" t="s">
        <v>885</v>
      </c>
      <c r="G938" t="s">
        <v>886</v>
      </c>
      <c r="H938" s="1">
        <f>VLOOKUP(tbl_details5[[#This Row],[Order ID]],Orders!A:F,2,FALSE)</f>
        <v>43451</v>
      </c>
      <c r="I938" s="1" t="str">
        <f>TEXT(tbl_details5[[#This Row],[Order Date]],"mmm-yy")</f>
        <v>Dec-18</v>
      </c>
      <c r="J938" t="str">
        <f>VLOOKUP(tbl_details5[[#This Row],[Order ID]],Table1[],4,FALSE)</f>
        <v>Geetanjali</v>
      </c>
      <c r="K938" t="str">
        <f>VLOOKUP(tbl_details5[[#This Row],[Order ID]],Table1[],5,FALSE)</f>
        <v>Madhya Pradesh</v>
      </c>
      <c r="L938" t="str">
        <f>VLOOKUP(tbl_details5[[#This Row],[Order ID]],Table1[],6,FALSE)</f>
        <v>Delhi</v>
      </c>
    </row>
    <row r="939" spans="1:12" x14ac:dyDescent="0.25">
      <c r="A939" t="s">
        <v>625</v>
      </c>
      <c r="B939" s="4">
        <v>460</v>
      </c>
      <c r="C939" s="4">
        <v>143</v>
      </c>
      <c r="D939" s="5">
        <f>tbl_details5[[#This Row],[Profit]]/tbl_details5[[#This Row],[Revenue]]</f>
        <v>0.31086956521739129</v>
      </c>
      <c r="E939">
        <v>3</v>
      </c>
      <c r="F939" t="s">
        <v>883</v>
      </c>
      <c r="G939" t="s">
        <v>893</v>
      </c>
      <c r="H939" s="1">
        <f>VLOOKUP(tbl_details5[[#This Row],[Order ID]],Orders!A:F,2,FALSE)</f>
        <v>43452</v>
      </c>
      <c r="I939" s="1" t="str">
        <f>TEXT(tbl_details5[[#This Row],[Order Date]],"mmm-yy")</f>
        <v>Dec-18</v>
      </c>
      <c r="J939" t="str">
        <f>VLOOKUP(tbl_details5[[#This Row],[Order ID]],Table1[],4,FALSE)</f>
        <v>Kajal</v>
      </c>
      <c r="K939" t="str">
        <f>VLOOKUP(tbl_details5[[#This Row],[Order ID]],Table1[],5,FALSE)</f>
        <v>Delhi</v>
      </c>
      <c r="L939" t="str">
        <f>VLOOKUP(tbl_details5[[#This Row],[Order ID]],Table1[],6,FALSE)</f>
        <v>Delhi</v>
      </c>
    </row>
    <row r="940" spans="1:12" x14ac:dyDescent="0.25">
      <c r="A940" t="s">
        <v>625</v>
      </c>
      <c r="B940" s="4">
        <v>125</v>
      </c>
      <c r="C940" s="4">
        <v>22</v>
      </c>
      <c r="D940" s="5">
        <f>tbl_details5[[#This Row],[Profit]]/tbl_details5[[#This Row],[Revenue]]</f>
        <v>0.17599999999999999</v>
      </c>
      <c r="E940">
        <v>3</v>
      </c>
      <c r="F940" t="s">
        <v>885</v>
      </c>
      <c r="G940" t="s">
        <v>886</v>
      </c>
      <c r="H940" s="1">
        <f>VLOOKUP(tbl_details5[[#This Row],[Order ID]],Orders!A:F,2,FALSE)</f>
        <v>43452</v>
      </c>
      <c r="I940" s="1" t="str">
        <f>TEXT(tbl_details5[[#This Row],[Order Date]],"mmm-yy")</f>
        <v>Dec-18</v>
      </c>
      <c r="J940" t="str">
        <f>VLOOKUP(tbl_details5[[#This Row],[Order ID]],Table1[],4,FALSE)</f>
        <v>Kajal</v>
      </c>
      <c r="K940" t="str">
        <f>VLOOKUP(tbl_details5[[#This Row],[Order ID]],Table1[],5,FALSE)</f>
        <v>Delhi</v>
      </c>
      <c r="L940" t="str">
        <f>VLOOKUP(tbl_details5[[#This Row],[Order ID]],Table1[],6,FALSE)</f>
        <v>Delhi</v>
      </c>
    </row>
    <row r="941" spans="1:12" x14ac:dyDescent="0.25">
      <c r="A941" t="s">
        <v>627</v>
      </c>
      <c r="B941" s="4">
        <v>277</v>
      </c>
      <c r="C941" s="4">
        <v>3</v>
      </c>
      <c r="D941" s="5">
        <f>tbl_details5[[#This Row],[Profit]]/tbl_details5[[#This Row],[Revenue]]</f>
        <v>1.0830324909747292E-2</v>
      </c>
      <c r="E941">
        <v>1</v>
      </c>
      <c r="F941" t="s">
        <v>888</v>
      </c>
      <c r="G941" t="s">
        <v>889</v>
      </c>
      <c r="H941" s="1">
        <f>VLOOKUP(tbl_details5[[#This Row],[Order ID]],Orders!A:F,2,FALSE)</f>
        <v>43453</v>
      </c>
      <c r="I941" s="1" t="str">
        <f>TEXT(tbl_details5[[#This Row],[Order Date]],"mmm-yy")</f>
        <v>Dec-18</v>
      </c>
      <c r="J941" t="str">
        <f>VLOOKUP(tbl_details5[[#This Row],[Order ID]],Table1[],4,FALSE)</f>
        <v>Sukruta</v>
      </c>
      <c r="K941" t="str">
        <f>VLOOKUP(tbl_details5[[#This Row],[Order ID]],Table1[],5,FALSE)</f>
        <v>Punjab</v>
      </c>
      <c r="L941" t="str">
        <f>VLOOKUP(tbl_details5[[#This Row],[Order ID]],Table1[],6,FALSE)</f>
        <v>Amritsar</v>
      </c>
    </row>
    <row r="942" spans="1:12" x14ac:dyDescent="0.25">
      <c r="A942" t="s">
        <v>629</v>
      </c>
      <c r="B942" s="4">
        <v>80</v>
      </c>
      <c r="C942" s="4">
        <v>26</v>
      </c>
      <c r="D942" s="5">
        <f>tbl_details5[[#This Row],[Profit]]/tbl_details5[[#This Row],[Revenue]]</f>
        <v>0.32500000000000001</v>
      </c>
      <c r="E942">
        <v>9</v>
      </c>
      <c r="F942" t="s">
        <v>885</v>
      </c>
      <c r="G942" t="s">
        <v>902</v>
      </c>
      <c r="H942" s="1">
        <f>VLOOKUP(tbl_details5[[#This Row],[Order ID]],Orders!A:F,2,FALSE)</f>
        <v>43454</v>
      </c>
      <c r="I942" s="1" t="str">
        <f>TEXT(tbl_details5[[#This Row],[Order Date]],"mmm-yy")</f>
        <v>Dec-18</v>
      </c>
      <c r="J942" t="str">
        <f>VLOOKUP(tbl_details5[[#This Row],[Order ID]],Table1[],4,FALSE)</f>
        <v>Utkarsh</v>
      </c>
      <c r="K942" t="str">
        <f>VLOOKUP(tbl_details5[[#This Row],[Order ID]],Table1[],5,FALSE)</f>
        <v>Gujarat</v>
      </c>
      <c r="L942" t="str">
        <f>VLOOKUP(tbl_details5[[#This Row],[Order ID]],Table1[],6,FALSE)</f>
        <v>Surat</v>
      </c>
    </row>
    <row r="943" spans="1:12" x14ac:dyDescent="0.25">
      <c r="A943" t="s">
        <v>631</v>
      </c>
      <c r="B943" s="4">
        <v>100</v>
      </c>
      <c r="C943" s="4">
        <v>12</v>
      </c>
      <c r="D943" s="5">
        <f>tbl_details5[[#This Row],[Profit]]/tbl_details5[[#This Row],[Revenue]]</f>
        <v>0.12</v>
      </c>
      <c r="E943">
        <v>2</v>
      </c>
      <c r="F943" t="s">
        <v>885</v>
      </c>
      <c r="G943" t="s">
        <v>895</v>
      </c>
      <c r="H943" s="1">
        <f>VLOOKUP(tbl_details5[[#This Row],[Order ID]],Orders!A:F,2,FALSE)</f>
        <v>43455</v>
      </c>
      <c r="I943" s="1" t="str">
        <f>TEXT(tbl_details5[[#This Row],[Order Date]],"mmm-yy")</f>
        <v>Dec-18</v>
      </c>
      <c r="J943" t="str">
        <f>VLOOKUP(tbl_details5[[#This Row],[Order ID]],Table1[],4,FALSE)</f>
        <v>Sanjay</v>
      </c>
      <c r="K943" t="str">
        <f>VLOOKUP(tbl_details5[[#This Row],[Order ID]],Table1[],5,FALSE)</f>
        <v>Maharashtra</v>
      </c>
      <c r="L943" t="str">
        <f>VLOOKUP(tbl_details5[[#This Row],[Order ID]],Table1[],6,FALSE)</f>
        <v>Mumbai</v>
      </c>
    </row>
    <row r="944" spans="1:12" x14ac:dyDescent="0.25">
      <c r="A944" t="s">
        <v>632</v>
      </c>
      <c r="B944" s="4">
        <v>244</v>
      </c>
      <c r="C944" s="4">
        <v>122</v>
      </c>
      <c r="D944" s="5">
        <f>tbl_details5[[#This Row],[Profit]]/tbl_details5[[#This Row],[Revenue]]</f>
        <v>0.5</v>
      </c>
      <c r="E944">
        <v>5</v>
      </c>
      <c r="F944" t="s">
        <v>883</v>
      </c>
      <c r="G944" t="s">
        <v>901</v>
      </c>
      <c r="H944" s="1">
        <f>VLOOKUP(tbl_details5[[#This Row],[Order ID]],Orders!A:F,2,FALSE)</f>
        <v>43456</v>
      </c>
      <c r="I944" s="1" t="str">
        <f>TEXT(tbl_details5[[#This Row],[Order Date]],"mmm-yy")</f>
        <v>Dec-18</v>
      </c>
      <c r="J944" t="str">
        <f>VLOOKUP(tbl_details5[[#This Row],[Order ID]],Table1[],4,FALSE)</f>
        <v>Karandeep</v>
      </c>
      <c r="K944" t="str">
        <f>VLOOKUP(tbl_details5[[#This Row],[Order ID]],Table1[],5,FALSE)</f>
        <v>Madhya Pradesh</v>
      </c>
      <c r="L944" t="str">
        <f>VLOOKUP(tbl_details5[[#This Row],[Order ID]],Table1[],6,FALSE)</f>
        <v>Indore</v>
      </c>
    </row>
    <row r="945" spans="1:12" x14ac:dyDescent="0.25">
      <c r="A945" t="s">
        <v>634</v>
      </c>
      <c r="B945" s="4">
        <v>28</v>
      </c>
      <c r="C945" s="4">
        <v>4</v>
      </c>
      <c r="D945" s="5">
        <f>tbl_details5[[#This Row],[Profit]]/tbl_details5[[#This Row],[Revenue]]</f>
        <v>0.14285714285714285</v>
      </c>
      <c r="E945">
        <v>1</v>
      </c>
      <c r="F945" t="s">
        <v>885</v>
      </c>
      <c r="G945" t="s">
        <v>895</v>
      </c>
      <c r="H945" s="1">
        <f>VLOOKUP(tbl_details5[[#This Row],[Order ID]],Orders!A:F,2,FALSE)</f>
        <v>43457</v>
      </c>
      <c r="I945" s="1" t="str">
        <f>TEXT(tbl_details5[[#This Row],[Order Date]],"mmm-yy")</f>
        <v>Dec-18</v>
      </c>
      <c r="J945" t="str">
        <f>VLOOKUP(tbl_details5[[#This Row],[Order ID]],Table1[],4,FALSE)</f>
        <v>Neha</v>
      </c>
      <c r="K945" t="str">
        <f>VLOOKUP(tbl_details5[[#This Row],[Order ID]],Table1[],5,FALSE)</f>
        <v>Rajasthan</v>
      </c>
      <c r="L945" t="str">
        <f>VLOOKUP(tbl_details5[[#This Row],[Order ID]],Table1[],6,FALSE)</f>
        <v>Udaipur</v>
      </c>
    </row>
    <row r="946" spans="1:12" x14ac:dyDescent="0.25">
      <c r="A946" t="s">
        <v>634</v>
      </c>
      <c r="B946" s="4">
        <v>110</v>
      </c>
      <c r="C946" s="4">
        <v>12</v>
      </c>
      <c r="D946" s="5">
        <f>tbl_details5[[#This Row],[Profit]]/tbl_details5[[#This Row],[Revenue]]</f>
        <v>0.10909090909090909</v>
      </c>
      <c r="E946">
        <v>7</v>
      </c>
      <c r="F946" t="s">
        <v>885</v>
      </c>
      <c r="G946" t="s">
        <v>886</v>
      </c>
      <c r="H946" s="1">
        <f>VLOOKUP(tbl_details5[[#This Row],[Order ID]],Orders!A:F,2,FALSE)</f>
        <v>43457</v>
      </c>
      <c r="I946" s="1" t="str">
        <f>TEXT(tbl_details5[[#This Row],[Order Date]],"mmm-yy")</f>
        <v>Dec-18</v>
      </c>
      <c r="J946" t="str">
        <f>VLOOKUP(tbl_details5[[#This Row],[Order ID]],Table1[],4,FALSE)</f>
        <v>Neha</v>
      </c>
      <c r="K946" t="str">
        <f>VLOOKUP(tbl_details5[[#This Row],[Order ID]],Table1[],5,FALSE)</f>
        <v>Rajasthan</v>
      </c>
      <c r="L946" t="str">
        <f>VLOOKUP(tbl_details5[[#This Row],[Order ID]],Table1[],6,FALSE)</f>
        <v>Udaipur</v>
      </c>
    </row>
    <row r="947" spans="1:12" x14ac:dyDescent="0.25">
      <c r="A947" t="s">
        <v>634</v>
      </c>
      <c r="B947" s="4">
        <v>636</v>
      </c>
      <c r="C947" s="4">
        <v>204</v>
      </c>
      <c r="D947" s="5">
        <f>tbl_details5[[#This Row],[Profit]]/tbl_details5[[#This Row],[Revenue]]</f>
        <v>0.32075471698113206</v>
      </c>
      <c r="E947">
        <v>2</v>
      </c>
      <c r="F947" t="s">
        <v>888</v>
      </c>
      <c r="G947" t="s">
        <v>899</v>
      </c>
      <c r="H947" s="1">
        <f>VLOOKUP(tbl_details5[[#This Row],[Order ID]],Orders!A:F,2,FALSE)</f>
        <v>43457</v>
      </c>
      <c r="I947" s="1" t="str">
        <f>TEXT(tbl_details5[[#This Row],[Order Date]],"mmm-yy")</f>
        <v>Dec-18</v>
      </c>
      <c r="J947" t="str">
        <f>VLOOKUP(tbl_details5[[#This Row],[Order ID]],Table1[],4,FALSE)</f>
        <v>Neha</v>
      </c>
      <c r="K947" t="str">
        <f>VLOOKUP(tbl_details5[[#This Row],[Order ID]],Table1[],5,FALSE)</f>
        <v>Rajasthan</v>
      </c>
      <c r="L947" t="str">
        <f>VLOOKUP(tbl_details5[[#This Row],[Order ID]],Table1[],6,FALSE)</f>
        <v>Udaipur</v>
      </c>
    </row>
    <row r="948" spans="1:12" x14ac:dyDescent="0.25">
      <c r="A948" t="s">
        <v>634</v>
      </c>
      <c r="B948" s="4">
        <v>1599</v>
      </c>
      <c r="C948" s="4">
        <v>37</v>
      </c>
      <c r="D948" s="5">
        <f>tbl_details5[[#This Row],[Profit]]/tbl_details5[[#This Row],[Revenue]]</f>
        <v>2.3139462163852407E-2</v>
      </c>
      <c r="E948">
        <v>6</v>
      </c>
      <c r="F948" t="s">
        <v>888</v>
      </c>
      <c r="G948" t="s">
        <v>889</v>
      </c>
      <c r="H948" s="1">
        <f>VLOOKUP(tbl_details5[[#This Row],[Order ID]],Orders!A:F,2,FALSE)</f>
        <v>43457</v>
      </c>
      <c r="I948" s="1" t="str">
        <f>TEXT(tbl_details5[[#This Row],[Order Date]],"mmm-yy")</f>
        <v>Dec-18</v>
      </c>
      <c r="J948" t="str">
        <f>VLOOKUP(tbl_details5[[#This Row],[Order ID]],Table1[],4,FALSE)</f>
        <v>Neha</v>
      </c>
      <c r="K948" t="str">
        <f>VLOOKUP(tbl_details5[[#This Row],[Order ID]],Table1[],5,FALSE)</f>
        <v>Rajasthan</v>
      </c>
      <c r="L948" t="str">
        <f>VLOOKUP(tbl_details5[[#This Row],[Order ID]],Table1[],6,FALSE)</f>
        <v>Udaipur</v>
      </c>
    </row>
    <row r="949" spans="1:12" x14ac:dyDescent="0.25">
      <c r="A949" t="s">
        <v>634</v>
      </c>
      <c r="B949" s="4">
        <v>977</v>
      </c>
      <c r="C949" s="4">
        <v>244</v>
      </c>
      <c r="D949" s="5">
        <f>tbl_details5[[#This Row],[Profit]]/tbl_details5[[#This Row],[Revenue]]</f>
        <v>0.24974411463664278</v>
      </c>
      <c r="E949">
        <v>7</v>
      </c>
      <c r="F949" t="s">
        <v>888</v>
      </c>
      <c r="G949" t="s">
        <v>890</v>
      </c>
      <c r="H949" s="1">
        <f>VLOOKUP(tbl_details5[[#This Row],[Order ID]],Orders!A:F,2,FALSE)</f>
        <v>43457</v>
      </c>
      <c r="I949" s="1" t="str">
        <f>TEXT(tbl_details5[[#This Row],[Order Date]],"mmm-yy")</f>
        <v>Dec-18</v>
      </c>
      <c r="J949" t="str">
        <f>VLOOKUP(tbl_details5[[#This Row],[Order ID]],Table1[],4,FALSE)</f>
        <v>Neha</v>
      </c>
      <c r="K949" t="str">
        <f>VLOOKUP(tbl_details5[[#This Row],[Order ID]],Table1[],5,FALSE)</f>
        <v>Rajasthan</v>
      </c>
      <c r="L949" t="str">
        <f>VLOOKUP(tbl_details5[[#This Row],[Order ID]],Table1[],6,FALSE)</f>
        <v>Udaipur</v>
      </c>
    </row>
    <row r="950" spans="1:12" x14ac:dyDescent="0.25">
      <c r="A950" t="s">
        <v>636</v>
      </c>
      <c r="B950" s="4">
        <v>100</v>
      </c>
      <c r="C950" s="4">
        <v>7</v>
      </c>
      <c r="D950" s="5">
        <f>tbl_details5[[#This Row],[Profit]]/tbl_details5[[#This Row],[Revenue]]</f>
        <v>7.0000000000000007E-2</v>
      </c>
      <c r="E950">
        <v>2</v>
      </c>
      <c r="F950" t="s">
        <v>885</v>
      </c>
      <c r="G950" t="s">
        <v>895</v>
      </c>
      <c r="H950" s="1">
        <f>VLOOKUP(tbl_details5[[#This Row],[Order ID]],Orders!A:F,2,FALSE)</f>
        <v>43458</v>
      </c>
      <c r="I950" s="1" t="str">
        <f>TEXT(tbl_details5[[#This Row],[Order Date]],"mmm-yy")</f>
        <v>Dec-18</v>
      </c>
      <c r="J950" t="str">
        <f>VLOOKUP(tbl_details5[[#This Row],[Order ID]],Table1[],4,FALSE)</f>
        <v>Jayanti</v>
      </c>
      <c r="K950" t="str">
        <f>VLOOKUP(tbl_details5[[#This Row],[Order ID]],Table1[],5,FALSE)</f>
        <v>Uttar Pradesh</v>
      </c>
      <c r="L950" t="str">
        <f>VLOOKUP(tbl_details5[[#This Row],[Order ID]],Table1[],6,FALSE)</f>
        <v>Allahabad</v>
      </c>
    </row>
    <row r="951" spans="1:12" x14ac:dyDescent="0.25">
      <c r="A951" t="s">
        <v>638</v>
      </c>
      <c r="B951" s="4">
        <v>170</v>
      </c>
      <c r="C951" s="4">
        <v>19</v>
      </c>
      <c r="D951" s="5">
        <f>tbl_details5[[#This Row],[Profit]]/tbl_details5[[#This Row],[Revenue]]</f>
        <v>0.11176470588235295</v>
      </c>
      <c r="E951">
        <v>5</v>
      </c>
      <c r="F951" t="s">
        <v>885</v>
      </c>
      <c r="G951" t="s">
        <v>895</v>
      </c>
      <c r="H951" s="1">
        <f>VLOOKUP(tbl_details5[[#This Row],[Order ID]],Orders!A:F,2,FALSE)</f>
        <v>43459</v>
      </c>
      <c r="I951" s="1" t="str">
        <f>TEXT(tbl_details5[[#This Row],[Order Date]],"mmm-yy")</f>
        <v>Dec-18</v>
      </c>
      <c r="J951" t="str">
        <f>VLOOKUP(tbl_details5[[#This Row],[Order ID]],Table1[],4,FALSE)</f>
        <v>Sandra</v>
      </c>
      <c r="K951" t="str">
        <f>VLOOKUP(tbl_details5[[#This Row],[Order ID]],Table1[],5,FALSE)</f>
        <v>Punjab</v>
      </c>
      <c r="L951" t="str">
        <f>VLOOKUP(tbl_details5[[#This Row],[Order ID]],Table1[],6,FALSE)</f>
        <v>Amritsar</v>
      </c>
    </row>
    <row r="952" spans="1:12" x14ac:dyDescent="0.25">
      <c r="A952" t="s">
        <v>638</v>
      </c>
      <c r="B952" s="4">
        <v>84</v>
      </c>
      <c r="C952" s="4">
        <v>-42</v>
      </c>
      <c r="D952" s="5">
        <f>tbl_details5[[#This Row],[Profit]]/tbl_details5[[#This Row],[Revenue]]</f>
        <v>-0.5</v>
      </c>
      <c r="E952">
        <v>2</v>
      </c>
      <c r="F952" t="s">
        <v>888</v>
      </c>
      <c r="G952" t="s">
        <v>900</v>
      </c>
      <c r="H952" s="1">
        <f>VLOOKUP(tbl_details5[[#This Row],[Order ID]],Orders!A:F,2,FALSE)</f>
        <v>43459</v>
      </c>
      <c r="I952" s="1" t="str">
        <f>TEXT(tbl_details5[[#This Row],[Order Date]],"mmm-yy")</f>
        <v>Dec-18</v>
      </c>
      <c r="J952" t="str">
        <f>VLOOKUP(tbl_details5[[#This Row],[Order ID]],Table1[],4,FALSE)</f>
        <v>Sandra</v>
      </c>
      <c r="K952" t="str">
        <f>VLOOKUP(tbl_details5[[#This Row],[Order ID]],Table1[],5,FALSE)</f>
        <v>Punjab</v>
      </c>
      <c r="L952" t="str">
        <f>VLOOKUP(tbl_details5[[#This Row],[Order ID]],Table1[],6,FALSE)</f>
        <v>Amritsar</v>
      </c>
    </row>
    <row r="953" spans="1:12" x14ac:dyDescent="0.25">
      <c r="A953" t="s">
        <v>638</v>
      </c>
      <c r="B953" s="4">
        <v>71</v>
      </c>
      <c r="C953" s="4">
        <v>-44</v>
      </c>
      <c r="D953" s="5">
        <f>tbl_details5[[#This Row],[Profit]]/tbl_details5[[#This Row],[Revenue]]</f>
        <v>-0.61971830985915488</v>
      </c>
      <c r="E953">
        <v>5</v>
      </c>
      <c r="F953" t="s">
        <v>888</v>
      </c>
      <c r="G953" t="s">
        <v>900</v>
      </c>
      <c r="H953" s="1">
        <f>VLOOKUP(tbl_details5[[#This Row],[Order ID]],Orders!A:F,2,FALSE)</f>
        <v>43459</v>
      </c>
      <c r="I953" s="1" t="str">
        <f>TEXT(tbl_details5[[#This Row],[Order Date]],"mmm-yy")</f>
        <v>Dec-18</v>
      </c>
      <c r="J953" t="str">
        <f>VLOOKUP(tbl_details5[[#This Row],[Order ID]],Table1[],4,FALSE)</f>
        <v>Sandra</v>
      </c>
      <c r="K953" t="str">
        <f>VLOOKUP(tbl_details5[[#This Row],[Order ID]],Table1[],5,FALSE)</f>
        <v>Punjab</v>
      </c>
      <c r="L953" t="str">
        <f>VLOOKUP(tbl_details5[[#This Row],[Order ID]],Table1[],6,FALSE)</f>
        <v>Amritsar</v>
      </c>
    </row>
    <row r="954" spans="1:12" x14ac:dyDescent="0.25">
      <c r="A954" t="s">
        <v>640</v>
      </c>
      <c r="B954" s="4">
        <v>52</v>
      </c>
      <c r="C954" s="4">
        <v>18</v>
      </c>
      <c r="D954" s="5">
        <f>tbl_details5[[#This Row],[Profit]]/tbl_details5[[#This Row],[Revenue]]</f>
        <v>0.34615384615384615</v>
      </c>
      <c r="E954">
        <v>2</v>
      </c>
      <c r="F954" t="s">
        <v>885</v>
      </c>
      <c r="G954" t="s">
        <v>886</v>
      </c>
      <c r="H954" s="1">
        <f>VLOOKUP(tbl_details5[[#This Row],[Order ID]],Orders!A:F,2,FALSE)</f>
        <v>43460</v>
      </c>
      <c r="I954" s="1" t="str">
        <f>TEXT(tbl_details5[[#This Row],[Order Date]],"mmm-yy")</f>
        <v>Dec-18</v>
      </c>
      <c r="J954" t="str">
        <f>VLOOKUP(tbl_details5[[#This Row],[Order ID]],Table1[],4,FALSE)</f>
        <v>Akshata</v>
      </c>
      <c r="K954" t="str">
        <f>VLOOKUP(tbl_details5[[#This Row],[Order ID]],Table1[],5,FALSE)</f>
        <v>Gujarat</v>
      </c>
      <c r="L954" t="str">
        <f>VLOOKUP(tbl_details5[[#This Row],[Order ID]],Table1[],6,FALSE)</f>
        <v>Surat</v>
      </c>
    </row>
    <row r="955" spans="1:12" x14ac:dyDescent="0.25">
      <c r="A955" t="s">
        <v>642</v>
      </c>
      <c r="B955" s="4">
        <v>226</v>
      </c>
      <c r="C955" s="4">
        <v>58</v>
      </c>
      <c r="D955" s="5">
        <f>tbl_details5[[#This Row],[Profit]]/tbl_details5[[#This Row],[Revenue]]</f>
        <v>0.25663716814159293</v>
      </c>
      <c r="E955">
        <v>3</v>
      </c>
      <c r="F955" t="s">
        <v>888</v>
      </c>
      <c r="G955" t="s">
        <v>900</v>
      </c>
      <c r="H955" s="1">
        <f>VLOOKUP(tbl_details5[[#This Row],[Order ID]],Orders!A:F,2,FALSE)</f>
        <v>43461</v>
      </c>
      <c r="I955" s="1" t="str">
        <f>TEXT(tbl_details5[[#This Row],[Order Date]],"mmm-yy")</f>
        <v>Dec-18</v>
      </c>
      <c r="J955" t="str">
        <f>VLOOKUP(tbl_details5[[#This Row],[Order ID]],Table1[],4,FALSE)</f>
        <v>Vishakha</v>
      </c>
      <c r="K955" t="str">
        <f>VLOOKUP(tbl_details5[[#This Row],[Order ID]],Table1[],5,FALSE)</f>
        <v>Maharashtra</v>
      </c>
      <c r="L955" t="str">
        <f>VLOOKUP(tbl_details5[[#This Row],[Order ID]],Table1[],6,FALSE)</f>
        <v>Mumbai</v>
      </c>
    </row>
    <row r="956" spans="1:12" x14ac:dyDescent="0.25">
      <c r="A956" t="s">
        <v>642</v>
      </c>
      <c r="B956" s="4">
        <v>484</v>
      </c>
      <c r="C956" s="4">
        <v>28</v>
      </c>
      <c r="D956" s="5">
        <f>tbl_details5[[#This Row],[Profit]]/tbl_details5[[#This Row],[Revenue]]</f>
        <v>5.7851239669421489E-2</v>
      </c>
      <c r="E956">
        <v>3</v>
      </c>
      <c r="F956" t="s">
        <v>888</v>
      </c>
      <c r="G956" t="s">
        <v>899</v>
      </c>
      <c r="H956" s="1">
        <f>VLOOKUP(tbl_details5[[#This Row],[Order ID]],Orders!A:F,2,FALSE)</f>
        <v>43461</v>
      </c>
      <c r="I956" s="1" t="str">
        <f>TEXT(tbl_details5[[#This Row],[Order Date]],"mmm-yy")</f>
        <v>Dec-18</v>
      </c>
      <c r="J956" t="str">
        <f>VLOOKUP(tbl_details5[[#This Row],[Order ID]],Table1[],4,FALSE)</f>
        <v>Vishakha</v>
      </c>
      <c r="K956" t="str">
        <f>VLOOKUP(tbl_details5[[#This Row],[Order ID]],Table1[],5,FALSE)</f>
        <v>Maharashtra</v>
      </c>
      <c r="L956" t="str">
        <f>VLOOKUP(tbl_details5[[#This Row],[Order ID]],Table1[],6,FALSE)</f>
        <v>Mumbai</v>
      </c>
    </row>
    <row r="957" spans="1:12" x14ac:dyDescent="0.25">
      <c r="A957" t="s">
        <v>642</v>
      </c>
      <c r="B957" s="4">
        <v>253</v>
      </c>
      <c r="C957" s="4">
        <v>-11</v>
      </c>
      <c r="D957" s="5">
        <f>tbl_details5[[#This Row],[Profit]]/tbl_details5[[#This Row],[Revenue]]</f>
        <v>-4.3478260869565216E-2</v>
      </c>
      <c r="E957">
        <v>1</v>
      </c>
      <c r="F957" t="s">
        <v>885</v>
      </c>
      <c r="G957" t="s">
        <v>892</v>
      </c>
      <c r="H957" s="1">
        <f>VLOOKUP(tbl_details5[[#This Row],[Order ID]],Orders!A:F,2,FALSE)</f>
        <v>43461</v>
      </c>
      <c r="I957" s="1" t="str">
        <f>TEXT(tbl_details5[[#This Row],[Order Date]],"mmm-yy")</f>
        <v>Dec-18</v>
      </c>
      <c r="J957" t="str">
        <f>VLOOKUP(tbl_details5[[#This Row],[Order ID]],Table1[],4,FALSE)</f>
        <v>Vishakha</v>
      </c>
      <c r="K957" t="str">
        <f>VLOOKUP(tbl_details5[[#This Row],[Order ID]],Table1[],5,FALSE)</f>
        <v>Maharashtra</v>
      </c>
      <c r="L957" t="str">
        <f>VLOOKUP(tbl_details5[[#This Row],[Order ID]],Table1[],6,FALSE)</f>
        <v>Mumbai</v>
      </c>
    </row>
    <row r="958" spans="1:12" x14ac:dyDescent="0.25">
      <c r="A958" t="s">
        <v>642</v>
      </c>
      <c r="B958" s="4">
        <v>3873</v>
      </c>
      <c r="C958" s="4">
        <v>891</v>
      </c>
      <c r="D958" s="5">
        <f>tbl_details5[[#This Row],[Profit]]/tbl_details5[[#This Row],[Revenue]]</f>
        <v>0.23005422153369481</v>
      </c>
      <c r="E958">
        <v>6</v>
      </c>
      <c r="F958" t="s">
        <v>888</v>
      </c>
      <c r="G958" t="s">
        <v>890</v>
      </c>
      <c r="H958" s="1">
        <f>VLOOKUP(tbl_details5[[#This Row],[Order ID]],Orders!A:F,2,FALSE)</f>
        <v>43461</v>
      </c>
      <c r="I958" s="1" t="str">
        <f>TEXT(tbl_details5[[#This Row],[Order Date]],"mmm-yy")</f>
        <v>Dec-18</v>
      </c>
      <c r="J958" t="str">
        <f>VLOOKUP(tbl_details5[[#This Row],[Order ID]],Table1[],4,FALSE)</f>
        <v>Vishakha</v>
      </c>
      <c r="K958" t="str">
        <f>VLOOKUP(tbl_details5[[#This Row],[Order ID]],Table1[],5,FALSE)</f>
        <v>Maharashtra</v>
      </c>
      <c r="L958" t="str">
        <f>VLOOKUP(tbl_details5[[#This Row],[Order ID]],Table1[],6,FALSE)</f>
        <v>Mumbai</v>
      </c>
    </row>
    <row r="959" spans="1:12" x14ac:dyDescent="0.25">
      <c r="A959" t="s">
        <v>644</v>
      </c>
      <c r="B959" s="4">
        <v>148</v>
      </c>
      <c r="C959" s="4">
        <v>54</v>
      </c>
      <c r="D959" s="5">
        <f>tbl_details5[[#This Row],[Profit]]/tbl_details5[[#This Row],[Revenue]]</f>
        <v>0.36486486486486486</v>
      </c>
      <c r="E959">
        <v>2</v>
      </c>
      <c r="F959" t="s">
        <v>883</v>
      </c>
      <c r="G959" t="s">
        <v>893</v>
      </c>
      <c r="H959" s="1">
        <f>VLOOKUP(tbl_details5[[#This Row],[Order ID]],Orders!A:F,2,FALSE)</f>
        <v>43462</v>
      </c>
      <c r="I959" s="1" t="str">
        <f>TEXT(tbl_details5[[#This Row],[Order Date]],"mmm-yy")</f>
        <v>Dec-18</v>
      </c>
      <c r="J959" t="str">
        <f>VLOOKUP(tbl_details5[[#This Row],[Order ID]],Table1[],4,FALSE)</f>
        <v>Prajakta</v>
      </c>
      <c r="K959" t="str">
        <f>VLOOKUP(tbl_details5[[#This Row],[Order ID]],Table1[],5,FALSE)</f>
        <v>Karnataka</v>
      </c>
      <c r="L959" t="str">
        <f>VLOOKUP(tbl_details5[[#This Row],[Order ID]],Table1[],6,FALSE)</f>
        <v>Bangalore</v>
      </c>
    </row>
    <row r="960" spans="1:12" x14ac:dyDescent="0.25">
      <c r="A960" t="s">
        <v>646</v>
      </c>
      <c r="B960" s="4">
        <v>27</v>
      </c>
      <c r="C960" s="4">
        <v>12</v>
      </c>
      <c r="D960" s="5">
        <f>tbl_details5[[#This Row],[Profit]]/tbl_details5[[#This Row],[Revenue]]</f>
        <v>0.44444444444444442</v>
      </c>
      <c r="E960">
        <v>1</v>
      </c>
      <c r="F960" t="s">
        <v>885</v>
      </c>
      <c r="G960" t="s">
        <v>886</v>
      </c>
      <c r="H960" s="1">
        <f>VLOOKUP(tbl_details5[[#This Row],[Order ID]],Orders!A:F,2,FALSE)</f>
        <v>43463</v>
      </c>
      <c r="I960" s="1" t="str">
        <f>TEXT(tbl_details5[[#This Row],[Order Date]],"mmm-yy")</f>
        <v>Dec-18</v>
      </c>
      <c r="J960" t="str">
        <f>VLOOKUP(tbl_details5[[#This Row],[Order ID]],Table1[],4,FALSE)</f>
        <v>Shruti</v>
      </c>
      <c r="K960" t="str">
        <f>VLOOKUP(tbl_details5[[#This Row],[Order ID]],Table1[],5,FALSE)</f>
        <v>Maharashtra</v>
      </c>
      <c r="L960" t="str">
        <f>VLOOKUP(tbl_details5[[#This Row],[Order ID]],Table1[],6,FALSE)</f>
        <v>Mumbai</v>
      </c>
    </row>
    <row r="961" spans="1:12" x14ac:dyDescent="0.25">
      <c r="A961" t="s">
        <v>646</v>
      </c>
      <c r="B961" s="4">
        <v>314</v>
      </c>
      <c r="C961" s="4">
        <v>-41</v>
      </c>
      <c r="D961" s="5">
        <f>tbl_details5[[#This Row],[Profit]]/tbl_details5[[#This Row],[Revenue]]</f>
        <v>-0.13057324840764331</v>
      </c>
      <c r="E961">
        <v>3</v>
      </c>
      <c r="F961" t="s">
        <v>888</v>
      </c>
      <c r="G961" t="s">
        <v>889</v>
      </c>
      <c r="H961" s="1">
        <f>VLOOKUP(tbl_details5[[#This Row],[Order ID]],Orders!A:F,2,FALSE)</f>
        <v>43463</v>
      </c>
      <c r="I961" s="1" t="str">
        <f>TEXT(tbl_details5[[#This Row],[Order Date]],"mmm-yy")</f>
        <v>Dec-18</v>
      </c>
      <c r="J961" t="str">
        <f>VLOOKUP(tbl_details5[[#This Row],[Order ID]],Table1[],4,FALSE)</f>
        <v>Shruti</v>
      </c>
      <c r="K961" t="str">
        <f>VLOOKUP(tbl_details5[[#This Row],[Order ID]],Table1[],5,FALSE)</f>
        <v>Maharashtra</v>
      </c>
      <c r="L961" t="str">
        <f>VLOOKUP(tbl_details5[[#This Row],[Order ID]],Table1[],6,FALSE)</f>
        <v>Mumbai</v>
      </c>
    </row>
    <row r="962" spans="1:12" x14ac:dyDescent="0.25">
      <c r="A962" t="s">
        <v>646</v>
      </c>
      <c r="B962" s="4">
        <v>1228</v>
      </c>
      <c r="C962" s="4">
        <v>14</v>
      </c>
      <c r="D962" s="5">
        <f>tbl_details5[[#This Row],[Profit]]/tbl_details5[[#This Row],[Revenue]]</f>
        <v>1.1400651465798045E-2</v>
      </c>
      <c r="E962">
        <v>3</v>
      </c>
      <c r="F962" t="s">
        <v>883</v>
      </c>
      <c r="G962" t="s">
        <v>893</v>
      </c>
      <c r="H962" s="1">
        <f>VLOOKUP(tbl_details5[[#This Row],[Order ID]],Orders!A:F,2,FALSE)</f>
        <v>43463</v>
      </c>
      <c r="I962" s="1" t="str">
        <f>TEXT(tbl_details5[[#This Row],[Order Date]],"mmm-yy")</f>
        <v>Dec-18</v>
      </c>
      <c r="J962" t="str">
        <f>VLOOKUP(tbl_details5[[#This Row],[Order ID]],Table1[],4,FALSE)</f>
        <v>Shruti</v>
      </c>
      <c r="K962" t="str">
        <f>VLOOKUP(tbl_details5[[#This Row],[Order ID]],Table1[],5,FALSE)</f>
        <v>Maharashtra</v>
      </c>
      <c r="L962" t="str">
        <f>VLOOKUP(tbl_details5[[#This Row],[Order ID]],Table1[],6,FALSE)</f>
        <v>Mumbai</v>
      </c>
    </row>
    <row r="963" spans="1:12" x14ac:dyDescent="0.25">
      <c r="A963" t="s">
        <v>647</v>
      </c>
      <c r="B963" s="4">
        <v>57</v>
      </c>
      <c r="C963" s="4">
        <v>6</v>
      </c>
      <c r="D963" s="5">
        <f>tbl_details5[[#This Row],[Profit]]/tbl_details5[[#This Row],[Revenue]]</f>
        <v>0.10526315789473684</v>
      </c>
      <c r="E963">
        <v>5</v>
      </c>
      <c r="F963" t="s">
        <v>885</v>
      </c>
      <c r="G963" t="s">
        <v>897</v>
      </c>
      <c r="H963" s="1">
        <f>VLOOKUP(tbl_details5[[#This Row],[Order ID]],Orders!A:F,2,FALSE)</f>
        <v>43464</v>
      </c>
      <c r="I963" s="1" t="str">
        <f>TEXT(tbl_details5[[#This Row],[Order Date]],"mmm-yy")</f>
        <v>Dec-18</v>
      </c>
      <c r="J963" t="str">
        <f>VLOOKUP(tbl_details5[[#This Row],[Order ID]],Table1[],4,FALSE)</f>
        <v>Dipali</v>
      </c>
      <c r="K963" t="str">
        <f>VLOOKUP(tbl_details5[[#This Row],[Order ID]],Table1[],5,FALSE)</f>
        <v>Madhya Pradesh</v>
      </c>
      <c r="L963" t="str">
        <f>VLOOKUP(tbl_details5[[#This Row],[Order ID]],Table1[],6,FALSE)</f>
        <v>Indore</v>
      </c>
    </row>
    <row r="964" spans="1:12" x14ac:dyDescent="0.25">
      <c r="A964" t="s">
        <v>649</v>
      </c>
      <c r="B964" s="4">
        <v>200</v>
      </c>
      <c r="C964" s="4">
        <v>7</v>
      </c>
      <c r="D964" s="5">
        <f>tbl_details5[[#This Row],[Profit]]/tbl_details5[[#This Row],[Revenue]]</f>
        <v>3.5000000000000003E-2</v>
      </c>
      <c r="E964">
        <v>4</v>
      </c>
      <c r="F964" t="s">
        <v>888</v>
      </c>
      <c r="G964" t="s">
        <v>889</v>
      </c>
      <c r="H964" s="1">
        <f>VLOOKUP(tbl_details5[[#This Row],[Order ID]],Orders!A:F,2,FALSE)</f>
        <v>43465</v>
      </c>
      <c r="I964" s="1" t="str">
        <f>TEXT(tbl_details5[[#This Row],[Order Date]],"mmm-yy")</f>
        <v>Dec-18</v>
      </c>
      <c r="J964" t="str">
        <f>VLOOKUP(tbl_details5[[#This Row],[Order ID]],Table1[],4,FALSE)</f>
        <v>Shreya</v>
      </c>
      <c r="K964" t="str">
        <f>VLOOKUP(tbl_details5[[#This Row],[Order ID]],Table1[],5,FALSE)</f>
        <v>Uttar Pradesh</v>
      </c>
      <c r="L964" t="str">
        <f>VLOOKUP(tbl_details5[[#This Row],[Order ID]],Table1[],6,FALSE)</f>
        <v>Lucknow</v>
      </c>
    </row>
    <row r="965" spans="1:12" x14ac:dyDescent="0.25">
      <c r="A965" t="s">
        <v>650</v>
      </c>
      <c r="B965" s="4">
        <v>25</v>
      </c>
      <c r="C965" s="4">
        <v>10</v>
      </c>
      <c r="D965" s="5">
        <f>tbl_details5[[#This Row],[Profit]]/tbl_details5[[#This Row],[Revenue]]</f>
        <v>0.4</v>
      </c>
      <c r="E965">
        <v>1</v>
      </c>
      <c r="F965" t="s">
        <v>883</v>
      </c>
      <c r="G965" t="s">
        <v>901</v>
      </c>
      <c r="H965" s="1">
        <f>VLOOKUP(tbl_details5[[#This Row],[Order ID]],Orders!A:F,2,FALSE)</f>
        <v>43466</v>
      </c>
      <c r="I965" s="1" t="str">
        <f>TEXT(tbl_details5[[#This Row],[Order Date]],"mmm-yy")</f>
        <v>Jan-19</v>
      </c>
      <c r="J965" t="str">
        <f>VLOOKUP(tbl_details5[[#This Row],[Order ID]],Table1[],4,FALSE)</f>
        <v>Smriti</v>
      </c>
      <c r="K965" t="str">
        <f>VLOOKUP(tbl_details5[[#This Row],[Order ID]],Table1[],5,FALSE)</f>
        <v>Bihar</v>
      </c>
      <c r="L965" t="str">
        <f>VLOOKUP(tbl_details5[[#This Row],[Order ID]],Table1[],6,FALSE)</f>
        <v>Patna</v>
      </c>
    </row>
    <row r="966" spans="1:12" x14ac:dyDescent="0.25">
      <c r="A966" t="s">
        <v>650</v>
      </c>
      <c r="B966" s="4">
        <v>122</v>
      </c>
      <c r="C966" s="4">
        <v>15</v>
      </c>
      <c r="D966" s="5">
        <f>tbl_details5[[#This Row],[Profit]]/tbl_details5[[#This Row],[Revenue]]</f>
        <v>0.12295081967213115</v>
      </c>
      <c r="E966">
        <v>3</v>
      </c>
      <c r="F966" t="s">
        <v>888</v>
      </c>
      <c r="G966" t="s">
        <v>900</v>
      </c>
      <c r="H966" s="1">
        <f>VLOOKUP(tbl_details5[[#This Row],[Order ID]],Orders!A:F,2,FALSE)</f>
        <v>43466</v>
      </c>
      <c r="I966" s="1" t="str">
        <f>TEXT(tbl_details5[[#This Row],[Order Date]],"mmm-yy")</f>
        <v>Jan-19</v>
      </c>
      <c r="J966" t="str">
        <f>VLOOKUP(tbl_details5[[#This Row],[Order ID]],Table1[],4,FALSE)</f>
        <v>Smriti</v>
      </c>
      <c r="K966" t="str">
        <f>VLOOKUP(tbl_details5[[#This Row],[Order ID]],Table1[],5,FALSE)</f>
        <v>Bihar</v>
      </c>
      <c r="L966" t="str">
        <f>VLOOKUP(tbl_details5[[#This Row],[Order ID]],Table1[],6,FALSE)</f>
        <v>Patna</v>
      </c>
    </row>
    <row r="967" spans="1:12" x14ac:dyDescent="0.25">
      <c r="A967" t="s">
        <v>652</v>
      </c>
      <c r="B967" s="4">
        <v>1308</v>
      </c>
      <c r="C967" s="4">
        <v>536</v>
      </c>
      <c r="D967" s="5">
        <f>tbl_details5[[#This Row],[Profit]]/tbl_details5[[#This Row],[Revenue]]</f>
        <v>0.40978593272171254</v>
      </c>
      <c r="E967">
        <v>3</v>
      </c>
      <c r="F967" t="s">
        <v>883</v>
      </c>
      <c r="G967" t="s">
        <v>884</v>
      </c>
      <c r="H967" s="1">
        <f>VLOOKUP(tbl_details5[[#This Row],[Order ID]],Orders!A:F,2,FALSE)</f>
        <v>43467</v>
      </c>
      <c r="I967" s="1" t="str">
        <f>TEXT(tbl_details5[[#This Row],[Order Date]],"mmm-yy")</f>
        <v>Jan-19</v>
      </c>
      <c r="J967" t="str">
        <f>VLOOKUP(tbl_details5[[#This Row],[Order ID]],Table1[],4,FALSE)</f>
        <v>Girase</v>
      </c>
      <c r="K967" t="str">
        <f>VLOOKUP(tbl_details5[[#This Row],[Order ID]],Table1[],5,FALSE)</f>
        <v xml:space="preserve">Kerala </v>
      </c>
      <c r="L967" t="str">
        <f>VLOOKUP(tbl_details5[[#This Row],[Order ID]],Table1[],6,FALSE)</f>
        <v>Thiruvananthapuram</v>
      </c>
    </row>
    <row r="968" spans="1:12" x14ac:dyDescent="0.25">
      <c r="A968" t="s">
        <v>652</v>
      </c>
      <c r="B968" s="4">
        <v>216</v>
      </c>
      <c r="C968" s="4">
        <v>-135</v>
      </c>
      <c r="D968" s="5">
        <f>tbl_details5[[#This Row],[Profit]]/tbl_details5[[#This Row],[Revenue]]</f>
        <v>-0.625</v>
      </c>
      <c r="E968">
        <v>3</v>
      </c>
      <c r="F968" t="s">
        <v>883</v>
      </c>
      <c r="G968" t="s">
        <v>893</v>
      </c>
      <c r="H968" s="1">
        <f>VLOOKUP(tbl_details5[[#This Row],[Order ID]],Orders!A:F,2,FALSE)</f>
        <v>43467</v>
      </c>
      <c r="I968" s="1" t="str">
        <f>TEXT(tbl_details5[[#This Row],[Order Date]],"mmm-yy")</f>
        <v>Jan-19</v>
      </c>
      <c r="J968" t="str">
        <f>VLOOKUP(tbl_details5[[#This Row],[Order ID]],Table1[],4,FALSE)</f>
        <v>Girase</v>
      </c>
      <c r="K968" t="str">
        <f>VLOOKUP(tbl_details5[[#This Row],[Order ID]],Table1[],5,FALSE)</f>
        <v xml:space="preserve">Kerala </v>
      </c>
      <c r="L968" t="str">
        <f>VLOOKUP(tbl_details5[[#This Row],[Order ID]],Table1[],6,FALSE)</f>
        <v>Thiruvananthapuram</v>
      </c>
    </row>
    <row r="969" spans="1:12" x14ac:dyDescent="0.25">
      <c r="A969" t="s">
        <v>652</v>
      </c>
      <c r="B969" s="4">
        <v>154</v>
      </c>
      <c r="C969" s="4">
        <v>-85</v>
      </c>
      <c r="D969" s="5">
        <f>tbl_details5[[#This Row],[Profit]]/tbl_details5[[#This Row],[Revenue]]</f>
        <v>-0.55194805194805197</v>
      </c>
      <c r="E969">
        <v>3</v>
      </c>
      <c r="F969" t="s">
        <v>883</v>
      </c>
      <c r="G969" t="s">
        <v>893</v>
      </c>
      <c r="H969" s="1">
        <f>VLOOKUP(tbl_details5[[#This Row],[Order ID]],Orders!A:F,2,FALSE)</f>
        <v>43467</v>
      </c>
      <c r="I969" s="1" t="str">
        <f>TEXT(tbl_details5[[#This Row],[Order Date]],"mmm-yy")</f>
        <v>Jan-19</v>
      </c>
      <c r="J969" t="str">
        <f>VLOOKUP(tbl_details5[[#This Row],[Order ID]],Table1[],4,FALSE)</f>
        <v>Girase</v>
      </c>
      <c r="K969" t="str">
        <f>VLOOKUP(tbl_details5[[#This Row],[Order ID]],Table1[],5,FALSE)</f>
        <v xml:space="preserve">Kerala </v>
      </c>
      <c r="L969" t="str">
        <f>VLOOKUP(tbl_details5[[#This Row],[Order ID]],Table1[],6,FALSE)</f>
        <v>Thiruvananthapuram</v>
      </c>
    </row>
    <row r="970" spans="1:12" x14ac:dyDescent="0.25">
      <c r="A970" t="s">
        <v>654</v>
      </c>
      <c r="B970" s="4">
        <v>40</v>
      </c>
      <c r="C970" s="4">
        <v>13</v>
      </c>
      <c r="D970" s="5">
        <f>tbl_details5[[#This Row],[Profit]]/tbl_details5[[#This Row],[Revenue]]</f>
        <v>0.32500000000000001</v>
      </c>
      <c r="E970">
        <v>3</v>
      </c>
      <c r="F970" t="s">
        <v>885</v>
      </c>
      <c r="G970" t="s">
        <v>895</v>
      </c>
      <c r="H970" s="1">
        <f>VLOOKUP(tbl_details5[[#This Row],[Order ID]],Orders!A:F,2,FALSE)</f>
        <v>43468</v>
      </c>
      <c r="I970" s="1" t="str">
        <f>TEXT(tbl_details5[[#This Row],[Order Date]],"mmm-yy")</f>
        <v>Jan-19</v>
      </c>
      <c r="J970" t="str">
        <f>VLOOKUP(tbl_details5[[#This Row],[Order ID]],Table1[],4,FALSE)</f>
        <v>Monica</v>
      </c>
      <c r="K970" t="str">
        <f>VLOOKUP(tbl_details5[[#This Row],[Order ID]],Table1[],5,FALSE)</f>
        <v>Punjab</v>
      </c>
      <c r="L970" t="str">
        <f>VLOOKUP(tbl_details5[[#This Row],[Order ID]],Table1[],6,FALSE)</f>
        <v>Chandigarh</v>
      </c>
    </row>
    <row r="971" spans="1:12" x14ac:dyDescent="0.25">
      <c r="A971" t="s">
        <v>654</v>
      </c>
      <c r="B971" s="4">
        <v>351</v>
      </c>
      <c r="C971" s="4">
        <v>-94</v>
      </c>
      <c r="D971" s="5">
        <f>tbl_details5[[#This Row],[Profit]]/tbl_details5[[#This Row],[Revenue]]</f>
        <v>-0.26780626780626782</v>
      </c>
      <c r="E971">
        <v>5</v>
      </c>
      <c r="F971" t="s">
        <v>888</v>
      </c>
      <c r="G971" t="s">
        <v>889</v>
      </c>
      <c r="H971" s="1">
        <f>VLOOKUP(tbl_details5[[#This Row],[Order ID]],Orders!A:F,2,FALSE)</f>
        <v>43468</v>
      </c>
      <c r="I971" s="1" t="str">
        <f>TEXT(tbl_details5[[#This Row],[Order Date]],"mmm-yy")</f>
        <v>Jan-19</v>
      </c>
      <c r="J971" t="str">
        <f>VLOOKUP(tbl_details5[[#This Row],[Order ID]],Table1[],4,FALSE)</f>
        <v>Monica</v>
      </c>
      <c r="K971" t="str">
        <f>VLOOKUP(tbl_details5[[#This Row],[Order ID]],Table1[],5,FALSE)</f>
        <v>Punjab</v>
      </c>
      <c r="L971" t="str">
        <f>VLOOKUP(tbl_details5[[#This Row],[Order ID]],Table1[],6,FALSE)</f>
        <v>Chandigarh</v>
      </c>
    </row>
    <row r="972" spans="1:12" x14ac:dyDescent="0.25">
      <c r="A972" t="s">
        <v>654</v>
      </c>
      <c r="B972" s="4">
        <v>595</v>
      </c>
      <c r="C972" s="4">
        <v>119</v>
      </c>
      <c r="D972" s="5">
        <f>tbl_details5[[#This Row],[Profit]]/tbl_details5[[#This Row],[Revenue]]</f>
        <v>0.2</v>
      </c>
      <c r="E972">
        <v>4</v>
      </c>
      <c r="F972" t="s">
        <v>883</v>
      </c>
      <c r="G972" t="s">
        <v>884</v>
      </c>
      <c r="H972" s="1">
        <f>VLOOKUP(tbl_details5[[#This Row],[Order ID]],Orders!A:F,2,FALSE)</f>
        <v>43468</v>
      </c>
      <c r="I972" s="1" t="str">
        <f>TEXT(tbl_details5[[#This Row],[Order Date]],"mmm-yy")</f>
        <v>Jan-19</v>
      </c>
      <c r="J972" t="str">
        <f>VLOOKUP(tbl_details5[[#This Row],[Order ID]],Table1[],4,FALSE)</f>
        <v>Monica</v>
      </c>
      <c r="K972" t="str">
        <f>VLOOKUP(tbl_details5[[#This Row],[Order ID]],Table1[],5,FALSE)</f>
        <v>Punjab</v>
      </c>
      <c r="L972" t="str">
        <f>VLOOKUP(tbl_details5[[#This Row],[Order ID]],Table1[],6,FALSE)</f>
        <v>Chandigarh</v>
      </c>
    </row>
    <row r="973" spans="1:12" x14ac:dyDescent="0.25">
      <c r="A973" t="s">
        <v>654</v>
      </c>
      <c r="B973" s="4">
        <v>151</v>
      </c>
      <c r="C973" s="4">
        <v>29</v>
      </c>
      <c r="D973" s="5">
        <f>tbl_details5[[#This Row],[Profit]]/tbl_details5[[#This Row],[Revenue]]</f>
        <v>0.19205298013245034</v>
      </c>
      <c r="E973">
        <v>5</v>
      </c>
      <c r="F973" t="s">
        <v>885</v>
      </c>
      <c r="G973" t="s">
        <v>887</v>
      </c>
      <c r="H973" s="1">
        <f>VLOOKUP(tbl_details5[[#This Row],[Order ID]],Orders!A:F,2,FALSE)</f>
        <v>43468</v>
      </c>
      <c r="I973" s="1" t="str">
        <f>TEXT(tbl_details5[[#This Row],[Order Date]],"mmm-yy")</f>
        <v>Jan-19</v>
      </c>
      <c r="J973" t="str">
        <f>VLOOKUP(tbl_details5[[#This Row],[Order ID]],Table1[],4,FALSE)</f>
        <v>Monica</v>
      </c>
      <c r="K973" t="str">
        <f>VLOOKUP(tbl_details5[[#This Row],[Order ID]],Table1[],5,FALSE)</f>
        <v>Punjab</v>
      </c>
      <c r="L973" t="str">
        <f>VLOOKUP(tbl_details5[[#This Row],[Order ID]],Table1[],6,FALSE)</f>
        <v>Chandigarh</v>
      </c>
    </row>
    <row r="974" spans="1:12" x14ac:dyDescent="0.25">
      <c r="A974" t="s">
        <v>654</v>
      </c>
      <c r="B974" s="4">
        <v>58</v>
      </c>
      <c r="C974" s="4">
        <v>17</v>
      </c>
      <c r="D974" s="5">
        <f>tbl_details5[[#This Row],[Profit]]/tbl_details5[[#This Row],[Revenue]]</f>
        <v>0.29310344827586204</v>
      </c>
      <c r="E974">
        <v>2</v>
      </c>
      <c r="F974" t="s">
        <v>885</v>
      </c>
      <c r="G974" t="s">
        <v>887</v>
      </c>
      <c r="H974" s="1">
        <f>VLOOKUP(tbl_details5[[#This Row],[Order ID]],Orders!A:F,2,FALSE)</f>
        <v>43468</v>
      </c>
      <c r="I974" s="1" t="str">
        <f>TEXT(tbl_details5[[#This Row],[Order Date]],"mmm-yy")</f>
        <v>Jan-19</v>
      </c>
      <c r="J974" t="str">
        <f>VLOOKUP(tbl_details5[[#This Row],[Order ID]],Table1[],4,FALSE)</f>
        <v>Monica</v>
      </c>
      <c r="K974" t="str">
        <f>VLOOKUP(tbl_details5[[#This Row],[Order ID]],Table1[],5,FALSE)</f>
        <v>Punjab</v>
      </c>
      <c r="L974" t="str">
        <f>VLOOKUP(tbl_details5[[#This Row],[Order ID]],Table1[],6,FALSE)</f>
        <v>Chandigarh</v>
      </c>
    </row>
    <row r="975" spans="1:12" x14ac:dyDescent="0.25">
      <c r="A975" t="s">
        <v>654</v>
      </c>
      <c r="B975" s="4">
        <v>202</v>
      </c>
      <c r="C975" s="4">
        <v>89</v>
      </c>
      <c r="D975" s="5">
        <f>tbl_details5[[#This Row],[Profit]]/tbl_details5[[#This Row],[Revenue]]</f>
        <v>0.4405940594059406</v>
      </c>
      <c r="E975">
        <v>9</v>
      </c>
      <c r="F975" t="s">
        <v>885</v>
      </c>
      <c r="G975" t="s">
        <v>895</v>
      </c>
      <c r="H975" s="1">
        <f>VLOOKUP(tbl_details5[[#This Row],[Order ID]],Orders!A:F,2,FALSE)</f>
        <v>43468</v>
      </c>
      <c r="I975" s="1" t="str">
        <f>TEXT(tbl_details5[[#This Row],[Order Date]],"mmm-yy")</f>
        <v>Jan-19</v>
      </c>
      <c r="J975" t="str">
        <f>VLOOKUP(tbl_details5[[#This Row],[Order ID]],Table1[],4,FALSE)</f>
        <v>Monica</v>
      </c>
      <c r="K975" t="str">
        <f>VLOOKUP(tbl_details5[[#This Row],[Order ID]],Table1[],5,FALSE)</f>
        <v>Punjab</v>
      </c>
      <c r="L975" t="str">
        <f>VLOOKUP(tbl_details5[[#This Row],[Order ID]],Table1[],6,FALSE)</f>
        <v>Chandigarh</v>
      </c>
    </row>
    <row r="976" spans="1:12" x14ac:dyDescent="0.25">
      <c r="A976" t="s">
        <v>656</v>
      </c>
      <c r="B976" s="4">
        <v>73</v>
      </c>
      <c r="C976" s="4">
        <v>-36</v>
      </c>
      <c r="D976" s="5">
        <f>tbl_details5[[#This Row],[Profit]]/tbl_details5[[#This Row],[Revenue]]</f>
        <v>-0.49315068493150682</v>
      </c>
      <c r="E976">
        <v>3</v>
      </c>
      <c r="F976" t="s">
        <v>883</v>
      </c>
      <c r="G976" t="s">
        <v>893</v>
      </c>
      <c r="H976" s="1">
        <f>VLOOKUP(tbl_details5[[#This Row],[Order ID]],Orders!A:F,2,FALSE)</f>
        <v>43469</v>
      </c>
      <c r="I976" s="1" t="str">
        <f>TEXT(tbl_details5[[#This Row],[Order Date]],"mmm-yy")</f>
        <v>Jan-19</v>
      </c>
      <c r="J976" t="str">
        <f>VLOOKUP(tbl_details5[[#This Row],[Order ID]],Table1[],4,FALSE)</f>
        <v>Sidharth</v>
      </c>
      <c r="K976" t="str">
        <f>VLOOKUP(tbl_details5[[#This Row],[Order ID]],Table1[],5,FALSE)</f>
        <v>Maharashtra</v>
      </c>
      <c r="L976" t="str">
        <f>VLOOKUP(tbl_details5[[#This Row],[Order ID]],Table1[],6,FALSE)</f>
        <v>Mumbai</v>
      </c>
    </row>
    <row r="977" spans="1:12" x14ac:dyDescent="0.25">
      <c r="A977" t="s">
        <v>658</v>
      </c>
      <c r="B977" s="4">
        <v>71</v>
      </c>
      <c r="C977" s="4">
        <v>-14</v>
      </c>
      <c r="D977" s="5">
        <f>tbl_details5[[#This Row],[Profit]]/tbl_details5[[#This Row],[Revenue]]</f>
        <v>-0.19718309859154928</v>
      </c>
      <c r="E977">
        <v>4</v>
      </c>
      <c r="F977" t="s">
        <v>883</v>
      </c>
      <c r="G977" t="s">
        <v>901</v>
      </c>
      <c r="H977" s="1">
        <f>VLOOKUP(tbl_details5[[#This Row],[Order ID]],Orders!A:F,2,FALSE)</f>
        <v>43469</v>
      </c>
      <c r="I977" s="1" t="str">
        <f>TEXT(tbl_details5[[#This Row],[Order Date]],"mmm-yy")</f>
        <v>Jan-19</v>
      </c>
      <c r="J977" t="str">
        <f>VLOOKUP(tbl_details5[[#This Row],[Order ID]],Table1[],4,FALSE)</f>
        <v>Bhutekar</v>
      </c>
      <c r="K977" t="str">
        <f>VLOOKUP(tbl_details5[[#This Row],[Order ID]],Table1[],5,FALSE)</f>
        <v>Madhya Pradesh</v>
      </c>
      <c r="L977" t="str">
        <f>VLOOKUP(tbl_details5[[#This Row],[Order ID]],Table1[],6,FALSE)</f>
        <v>Indore</v>
      </c>
    </row>
    <row r="978" spans="1:12" x14ac:dyDescent="0.25">
      <c r="A978" t="s">
        <v>660</v>
      </c>
      <c r="B978" s="4">
        <v>81</v>
      </c>
      <c r="C978" s="4">
        <v>-44</v>
      </c>
      <c r="D978" s="5">
        <f>tbl_details5[[#This Row],[Profit]]/tbl_details5[[#This Row],[Revenue]]</f>
        <v>-0.54320987654320985</v>
      </c>
      <c r="E978">
        <v>3</v>
      </c>
      <c r="F978" t="s">
        <v>885</v>
      </c>
      <c r="G978" t="s">
        <v>886</v>
      </c>
      <c r="H978" s="1">
        <f>VLOOKUP(tbl_details5[[#This Row],[Order ID]],Orders!A:F,2,FALSE)</f>
        <v>43469</v>
      </c>
      <c r="I978" s="1" t="str">
        <f>TEXT(tbl_details5[[#This Row],[Order Date]],"mmm-yy")</f>
        <v>Jan-19</v>
      </c>
      <c r="J978" t="str">
        <f>VLOOKUP(tbl_details5[[#This Row],[Order ID]],Table1[],4,FALSE)</f>
        <v>Shikhar</v>
      </c>
      <c r="K978" t="str">
        <f>VLOOKUP(tbl_details5[[#This Row],[Order ID]],Table1[],5,FALSE)</f>
        <v>Maharashtra</v>
      </c>
      <c r="L978" t="str">
        <f>VLOOKUP(tbl_details5[[#This Row],[Order ID]],Table1[],6,FALSE)</f>
        <v>Mumbai</v>
      </c>
    </row>
    <row r="979" spans="1:12" x14ac:dyDescent="0.25">
      <c r="A979" t="s">
        <v>660</v>
      </c>
      <c r="B979" s="4">
        <v>412</v>
      </c>
      <c r="C979" s="4">
        <v>-412</v>
      </c>
      <c r="D979" s="5">
        <f>tbl_details5[[#This Row],[Profit]]/tbl_details5[[#This Row],[Revenue]]</f>
        <v>-1</v>
      </c>
      <c r="E979">
        <v>6</v>
      </c>
      <c r="F979" t="s">
        <v>885</v>
      </c>
      <c r="G979" t="s">
        <v>891</v>
      </c>
      <c r="H979" s="1">
        <f>VLOOKUP(tbl_details5[[#This Row],[Order ID]],Orders!A:F,2,FALSE)</f>
        <v>43469</v>
      </c>
      <c r="I979" s="1" t="str">
        <f>TEXT(tbl_details5[[#This Row],[Order Date]],"mmm-yy")</f>
        <v>Jan-19</v>
      </c>
      <c r="J979" t="str">
        <f>VLOOKUP(tbl_details5[[#This Row],[Order ID]],Table1[],4,FALSE)</f>
        <v>Shikhar</v>
      </c>
      <c r="K979" t="str">
        <f>VLOOKUP(tbl_details5[[#This Row],[Order ID]],Table1[],5,FALSE)</f>
        <v>Maharashtra</v>
      </c>
      <c r="L979" t="str">
        <f>VLOOKUP(tbl_details5[[#This Row],[Order ID]],Table1[],6,FALSE)</f>
        <v>Mumbai</v>
      </c>
    </row>
    <row r="980" spans="1:12" x14ac:dyDescent="0.25">
      <c r="A980" t="s">
        <v>660</v>
      </c>
      <c r="B980" s="4">
        <v>207</v>
      </c>
      <c r="C980" s="4">
        <v>-100</v>
      </c>
      <c r="D980" s="5">
        <f>tbl_details5[[#This Row],[Profit]]/tbl_details5[[#This Row],[Revenue]]</f>
        <v>-0.48309178743961351</v>
      </c>
      <c r="E980">
        <v>2</v>
      </c>
      <c r="F980" t="s">
        <v>885</v>
      </c>
      <c r="G980" t="s">
        <v>891</v>
      </c>
      <c r="H980" s="1">
        <f>VLOOKUP(tbl_details5[[#This Row],[Order ID]],Orders!A:F,2,FALSE)</f>
        <v>43469</v>
      </c>
      <c r="I980" s="1" t="str">
        <f>TEXT(tbl_details5[[#This Row],[Order Date]],"mmm-yy")</f>
        <v>Jan-19</v>
      </c>
      <c r="J980" t="str">
        <f>VLOOKUP(tbl_details5[[#This Row],[Order ID]],Table1[],4,FALSE)</f>
        <v>Shikhar</v>
      </c>
      <c r="K980" t="str">
        <f>VLOOKUP(tbl_details5[[#This Row],[Order ID]],Table1[],5,FALSE)</f>
        <v>Maharashtra</v>
      </c>
      <c r="L980" t="str">
        <f>VLOOKUP(tbl_details5[[#This Row],[Order ID]],Table1[],6,FALSE)</f>
        <v>Mumbai</v>
      </c>
    </row>
    <row r="981" spans="1:12" x14ac:dyDescent="0.25">
      <c r="A981" t="s">
        <v>662</v>
      </c>
      <c r="B981" s="4">
        <v>105</v>
      </c>
      <c r="C981" s="4">
        <v>33</v>
      </c>
      <c r="D981" s="5">
        <f>tbl_details5[[#This Row],[Profit]]/tbl_details5[[#This Row],[Revenue]]</f>
        <v>0.31428571428571428</v>
      </c>
      <c r="E981">
        <v>6</v>
      </c>
      <c r="F981" t="s">
        <v>885</v>
      </c>
      <c r="G981" t="s">
        <v>891</v>
      </c>
      <c r="H981" s="1">
        <f>VLOOKUP(tbl_details5[[#This Row],[Order ID]],Orders!A:F,2,FALSE)</f>
        <v>43469</v>
      </c>
      <c r="I981" s="1" t="str">
        <f>TEXT(tbl_details5[[#This Row],[Order Date]],"mmm-yy")</f>
        <v>Jan-19</v>
      </c>
      <c r="J981" t="str">
        <f>VLOOKUP(tbl_details5[[#This Row],[Order ID]],Table1[],4,FALSE)</f>
        <v>Rahul</v>
      </c>
      <c r="K981" t="str">
        <f>VLOOKUP(tbl_details5[[#This Row],[Order ID]],Table1[],5,FALSE)</f>
        <v>Madhya Pradesh</v>
      </c>
      <c r="L981" t="str">
        <f>VLOOKUP(tbl_details5[[#This Row],[Order ID]],Table1[],6,FALSE)</f>
        <v>Indore</v>
      </c>
    </row>
    <row r="982" spans="1:12" x14ac:dyDescent="0.25">
      <c r="A982" t="s">
        <v>664</v>
      </c>
      <c r="B982" s="4">
        <v>162</v>
      </c>
      <c r="C982" s="4">
        <v>20</v>
      </c>
      <c r="D982" s="5">
        <f>tbl_details5[[#This Row],[Profit]]/tbl_details5[[#This Row],[Revenue]]</f>
        <v>0.12345679012345678</v>
      </c>
      <c r="E982">
        <v>3</v>
      </c>
      <c r="F982" t="s">
        <v>883</v>
      </c>
      <c r="G982" t="s">
        <v>893</v>
      </c>
      <c r="H982" s="1">
        <f>VLOOKUP(tbl_details5[[#This Row],[Order ID]],Orders!A:F,2,FALSE)</f>
        <v>43469</v>
      </c>
      <c r="I982" s="1" t="str">
        <f>TEXT(tbl_details5[[#This Row],[Order Date]],"mmm-yy")</f>
        <v>Jan-19</v>
      </c>
      <c r="J982" t="str">
        <f>VLOOKUP(tbl_details5[[#This Row],[Order ID]],Table1[],4,FALSE)</f>
        <v>Sudhir</v>
      </c>
      <c r="K982" t="str">
        <f>VLOOKUP(tbl_details5[[#This Row],[Order ID]],Table1[],5,FALSE)</f>
        <v>Nagaland</v>
      </c>
      <c r="L982" t="str">
        <f>VLOOKUP(tbl_details5[[#This Row],[Order ID]],Table1[],6,FALSE)</f>
        <v>Kohima</v>
      </c>
    </row>
    <row r="983" spans="1:12" x14ac:dyDescent="0.25">
      <c r="A983" t="s">
        <v>664</v>
      </c>
      <c r="B983" s="4">
        <v>150</v>
      </c>
      <c r="C983" s="4">
        <v>32</v>
      </c>
      <c r="D983" s="5">
        <f>tbl_details5[[#This Row],[Profit]]/tbl_details5[[#This Row],[Revenue]]</f>
        <v>0.21333333333333335</v>
      </c>
      <c r="E983">
        <v>3</v>
      </c>
      <c r="F983" t="s">
        <v>885</v>
      </c>
      <c r="G983" t="s">
        <v>887</v>
      </c>
      <c r="H983" s="1">
        <f>VLOOKUP(tbl_details5[[#This Row],[Order ID]],Orders!A:F,2,FALSE)</f>
        <v>43469</v>
      </c>
      <c r="I983" s="1" t="str">
        <f>TEXT(tbl_details5[[#This Row],[Order Date]],"mmm-yy")</f>
        <v>Jan-19</v>
      </c>
      <c r="J983" t="str">
        <f>VLOOKUP(tbl_details5[[#This Row],[Order ID]],Table1[],4,FALSE)</f>
        <v>Sudhir</v>
      </c>
      <c r="K983" t="str">
        <f>VLOOKUP(tbl_details5[[#This Row],[Order ID]],Table1[],5,FALSE)</f>
        <v>Nagaland</v>
      </c>
      <c r="L983" t="str">
        <f>VLOOKUP(tbl_details5[[#This Row],[Order ID]],Table1[],6,FALSE)</f>
        <v>Kohima</v>
      </c>
    </row>
    <row r="984" spans="1:12" x14ac:dyDescent="0.25">
      <c r="A984" t="s">
        <v>664</v>
      </c>
      <c r="B984" s="4">
        <v>1657</v>
      </c>
      <c r="C984" s="4">
        <v>460</v>
      </c>
      <c r="D984" s="5">
        <f>tbl_details5[[#This Row],[Profit]]/tbl_details5[[#This Row],[Revenue]]</f>
        <v>0.27761013880506941</v>
      </c>
      <c r="E984">
        <v>4</v>
      </c>
      <c r="F984" t="s">
        <v>883</v>
      </c>
      <c r="G984" t="s">
        <v>893</v>
      </c>
      <c r="H984" s="1">
        <f>VLOOKUP(tbl_details5[[#This Row],[Order ID]],Orders!A:F,2,FALSE)</f>
        <v>43469</v>
      </c>
      <c r="I984" s="1" t="str">
        <f>TEXT(tbl_details5[[#This Row],[Order Date]],"mmm-yy")</f>
        <v>Jan-19</v>
      </c>
      <c r="J984" t="str">
        <f>VLOOKUP(tbl_details5[[#This Row],[Order ID]],Table1[],4,FALSE)</f>
        <v>Sudhir</v>
      </c>
      <c r="K984" t="str">
        <f>VLOOKUP(tbl_details5[[#This Row],[Order ID]],Table1[],5,FALSE)</f>
        <v>Nagaland</v>
      </c>
      <c r="L984" t="str">
        <f>VLOOKUP(tbl_details5[[#This Row],[Order ID]],Table1[],6,FALSE)</f>
        <v>Kohima</v>
      </c>
    </row>
    <row r="985" spans="1:12" x14ac:dyDescent="0.25">
      <c r="A985" t="s">
        <v>666</v>
      </c>
      <c r="B985" s="4">
        <v>61</v>
      </c>
      <c r="C985" s="4">
        <v>25</v>
      </c>
      <c r="D985" s="5">
        <f>tbl_details5[[#This Row],[Profit]]/tbl_details5[[#This Row],[Revenue]]</f>
        <v>0.4098360655737705</v>
      </c>
      <c r="E985">
        <v>4</v>
      </c>
      <c r="F985" t="s">
        <v>885</v>
      </c>
      <c r="G985" t="s">
        <v>891</v>
      </c>
      <c r="H985" s="1">
        <f>VLOOKUP(tbl_details5[[#This Row],[Order ID]],Orders!A:F,2,FALSE)</f>
        <v>43470</v>
      </c>
      <c r="I985" s="1" t="str">
        <f>TEXT(tbl_details5[[#This Row],[Order Date]],"mmm-yy")</f>
        <v>Jan-19</v>
      </c>
      <c r="J985" t="str">
        <f>VLOOKUP(tbl_details5[[#This Row],[Order ID]],Table1[],4,FALSE)</f>
        <v>Nikhil</v>
      </c>
      <c r="K985" t="str">
        <f>VLOOKUP(tbl_details5[[#This Row],[Order ID]],Table1[],5,FALSE)</f>
        <v>Punjab</v>
      </c>
      <c r="L985" t="str">
        <f>VLOOKUP(tbl_details5[[#This Row],[Order ID]],Table1[],6,FALSE)</f>
        <v>Chandigarh</v>
      </c>
    </row>
    <row r="986" spans="1:12" x14ac:dyDescent="0.25">
      <c r="A986" t="s">
        <v>668</v>
      </c>
      <c r="B986" s="4">
        <v>1101</v>
      </c>
      <c r="C986" s="4">
        <v>352</v>
      </c>
      <c r="D986" s="5">
        <f>tbl_details5[[#This Row],[Profit]]/tbl_details5[[#This Row],[Revenue]]</f>
        <v>0.31970935513169846</v>
      </c>
      <c r="E986">
        <v>3</v>
      </c>
      <c r="F986" t="s">
        <v>883</v>
      </c>
      <c r="G986" t="s">
        <v>884</v>
      </c>
      <c r="H986" s="1">
        <f>VLOOKUP(tbl_details5[[#This Row],[Order ID]],Orders!A:F,2,FALSE)</f>
        <v>43470</v>
      </c>
      <c r="I986" s="1" t="str">
        <f>TEXT(tbl_details5[[#This Row],[Order Date]],"mmm-yy")</f>
        <v>Jan-19</v>
      </c>
      <c r="J986" t="str">
        <f>VLOOKUP(tbl_details5[[#This Row],[Order ID]],Table1[],4,FALSE)</f>
        <v>Ankit</v>
      </c>
      <c r="K986" t="str">
        <f>VLOOKUP(tbl_details5[[#This Row],[Order ID]],Table1[],5,FALSE)</f>
        <v>Haryana</v>
      </c>
      <c r="L986" t="str">
        <f>VLOOKUP(tbl_details5[[#This Row],[Order ID]],Table1[],6,FALSE)</f>
        <v>Chandigarh</v>
      </c>
    </row>
    <row r="987" spans="1:12" x14ac:dyDescent="0.25">
      <c r="A987" t="s">
        <v>669</v>
      </c>
      <c r="B987" s="4">
        <v>61</v>
      </c>
      <c r="C987" s="4">
        <v>1</v>
      </c>
      <c r="D987" s="5">
        <f>tbl_details5[[#This Row],[Profit]]/tbl_details5[[#This Row],[Revenue]]</f>
        <v>1.6393442622950821E-2</v>
      </c>
      <c r="E987">
        <v>2</v>
      </c>
      <c r="F987" t="s">
        <v>883</v>
      </c>
      <c r="G987" t="s">
        <v>901</v>
      </c>
      <c r="H987" s="1">
        <f>VLOOKUP(tbl_details5[[#This Row],[Order ID]],Orders!A:F,2,FALSE)</f>
        <v>43470</v>
      </c>
      <c r="I987" s="1" t="str">
        <f>TEXT(tbl_details5[[#This Row],[Order Date]],"mmm-yy")</f>
        <v>Jan-19</v>
      </c>
      <c r="J987" t="str">
        <f>VLOOKUP(tbl_details5[[#This Row],[Order ID]],Table1[],4,FALSE)</f>
        <v>Shikhar</v>
      </c>
      <c r="K987" t="str">
        <f>VLOOKUP(tbl_details5[[#This Row],[Order ID]],Table1[],5,FALSE)</f>
        <v>Himachal Pradesh</v>
      </c>
      <c r="L987" t="str">
        <f>VLOOKUP(tbl_details5[[#This Row],[Order ID]],Table1[],6,FALSE)</f>
        <v>Simla</v>
      </c>
    </row>
    <row r="988" spans="1:12" x14ac:dyDescent="0.25">
      <c r="A988" t="s">
        <v>669</v>
      </c>
      <c r="B988" s="4">
        <v>59</v>
      </c>
      <c r="C988" s="4">
        <v>25</v>
      </c>
      <c r="D988" s="5">
        <f>tbl_details5[[#This Row],[Profit]]/tbl_details5[[#This Row],[Revenue]]</f>
        <v>0.42372881355932202</v>
      </c>
      <c r="E988">
        <v>3</v>
      </c>
      <c r="F988" t="s">
        <v>885</v>
      </c>
      <c r="G988" t="s">
        <v>886</v>
      </c>
      <c r="H988" s="1">
        <f>VLOOKUP(tbl_details5[[#This Row],[Order ID]],Orders!A:F,2,FALSE)</f>
        <v>43470</v>
      </c>
      <c r="I988" s="1" t="str">
        <f>TEXT(tbl_details5[[#This Row],[Order Date]],"mmm-yy")</f>
        <v>Jan-19</v>
      </c>
      <c r="J988" t="str">
        <f>VLOOKUP(tbl_details5[[#This Row],[Order ID]],Table1[],4,FALSE)</f>
        <v>Shikhar</v>
      </c>
      <c r="K988" t="str">
        <f>VLOOKUP(tbl_details5[[#This Row],[Order ID]],Table1[],5,FALSE)</f>
        <v>Himachal Pradesh</v>
      </c>
      <c r="L988" t="str">
        <f>VLOOKUP(tbl_details5[[#This Row],[Order ID]],Table1[],6,FALSE)</f>
        <v>Simla</v>
      </c>
    </row>
    <row r="989" spans="1:12" x14ac:dyDescent="0.25">
      <c r="A989" t="s">
        <v>670</v>
      </c>
      <c r="B989" s="4">
        <v>61</v>
      </c>
      <c r="C989" s="4">
        <v>18</v>
      </c>
      <c r="D989" s="5">
        <f>tbl_details5[[#This Row],[Profit]]/tbl_details5[[#This Row],[Revenue]]</f>
        <v>0.29508196721311475</v>
      </c>
      <c r="E989">
        <v>2</v>
      </c>
      <c r="F989" t="s">
        <v>888</v>
      </c>
      <c r="G989" t="s">
        <v>900</v>
      </c>
      <c r="H989" s="1">
        <f>VLOOKUP(tbl_details5[[#This Row],[Order ID]],Orders!A:F,2,FALSE)</f>
        <v>43470</v>
      </c>
      <c r="I989" s="1" t="str">
        <f>TEXT(tbl_details5[[#This Row],[Order Date]],"mmm-yy")</f>
        <v>Jan-19</v>
      </c>
      <c r="J989" t="str">
        <f>VLOOKUP(tbl_details5[[#This Row],[Order ID]],Table1[],4,FALSE)</f>
        <v>Vineet</v>
      </c>
      <c r="K989" t="str">
        <f>VLOOKUP(tbl_details5[[#This Row],[Order ID]],Table1[],5,FALSE)</f>
        <v>Sikkim</v>
      </c>
      <c r="L989" t="str">
        <f>VLOOKUP(tbl_details5[[#This Row],[Order ID]],Table1[],6,FALSE)</f>
        <v>Gangtok</v>
      </c>
    </row>
    <row r="990" spans="1:12" x14ac:dyDescent="0.25">
      <c r="A990" t="s">
        <v>670</v>
      </c>
      <c r="B990" s="4">
        <v>136</v>
      </c>
      <c r="C990" s="4">
        <v>41</v>
      </c>
      <c r="D990" s="5">
        <f>tbl_details5[[#This Row],[Profit]]/tbl_details5[[#This Row],[Revenue]]</f>
        <v>0.3014705882352941</v>
      </c>
      <c r="E990">
        <v>3</v>
      </c>
      <c r="F990" t="s">
        <v>888</v>
      </c>
      <c r="G990" t="s">
        <v>900</v>
      </c>
      <c r="H990" s="1">
        <f>VLOOKUP(tbl_details5[[#This Row],[Order ID]],Orders!A:F,2,FALSE)</f>
        <v>43470</v>
      </c>
      <c r="I990" s="1" t="str">
        <f>TEXT(tbl_details5[[#This Row],[Order Date]],"mmm-yy")</f>
        <v>Jan-19</v>
      </c>
      <c r="J990" t="str">
        <f>VLOOKUP(tbl_details5[[#This Row],[Order ID]],Table1[],4,FALSE)</f>
        <v>Vineet</v>
      </c>
      <c r="K990" t="str">
        <f>VLOOKUP(tbl_details5[[#This Row],[Order ID]],Table1[],5,FALSE)</f>
        <v>Sikkim</v>
      </c>
      <c r="L990" t="str">
        <f>VLOOKUP(tbl_details5[[#This Row],[Order ID]],Table1[],6,FALSE)</f>
        <v>Gangtok</v>
      </c>
    </row>
    <row r="991" spans="1:12" x14ac:dyDescent="0.25">
      <c r="A991" t="s">
        <v>670</v>
      </c>
      <c r="B991" s="4">
        <v>469</v>
      </c>
      <c r="C991" s="4">
        <v>33</v>
      </c>
      <c r="D991" s="5">
        <f>tbl_details5[[#This Row],[Profit]]/tbl_details5[[#This Row],[Revenue]]</f>
        <v>7.0362473347547971E-2</v>
      </c>
      <c r="E991">
        <v>4</v>
      </c>
      <c r="F991" t="s">
        <v>888</v>
      </c>
      <c r="G991" t="s">
        <v>889</v>
      </c>
      <c r="H991" s="1">
        <f>VLOOKUP(tbl_details5[[#This Row],[Order ID]],Orders!A:F,2,FALSE)</f>
        <v>43470</v>
      </c>
      <c r="I991" s="1" t="str">
        <f>TEXT(tbl_details5[[#This Row],[Order Date]],"mmm-yy")</f>
        <v>Jan-19</v>
      </c>
      <c r="J991" t="str">
        <f>VLOOKUP(tbl_details5[[#This Row],[Order ID]],Table1[],4,FALSE)</f>
        <v>Vineet</v>
      </c>
      <c r="K991" t="str">
        <f>VLOOKUP(tbl_details5[[#This Row],[Order ID]],Table1[],5,FALSE)</f>
        <v>Sikkim</v>
      </c>
      <c r="L991" t="str">
        <f>VLOOKUP(tbl_details5[[#This Row],[Order ID]],Table1[],6,FALSE)</f>
        <v>Gangtok</v>
      </c>
    </row>
    <row r="992" spans="1:12" x14ac:dyDescent="0.25">
      <c r="A992" t="s">
        <v>672</v>
      </c>
      <c r="B992" s="4">
        <v>55</v>
      </c>
      <c r="C992" s="4">
        <v>4</v>
      </c>
      <c r="D992" s="5">
        <f>tbl_details5[[#This Row],[Profit]]/tbl_details5[[#This Row],[Revenue]]</f>
        <v>7.2727272727272724E-2</v>
      </c>
      <c r="E992">
        <v>2</v>
      </c>
      <c r="F992" t="s">
        <v>885</v>
      </c>
      <c r="G992" t="s">
        <v>886</v>
      </c>
      <c r="H992" s="1">
        <f>VLOOKUP(tbl_details5[[#This Row],[Order ID]],Orders!A:F,2,FALSE)</f>
        <v>43471</v>
      </c>
      <c r="I992" s="1" t="str">
        <f>TEXT(tbl_details5[[#This Row],[Order Date]],"mmm-yy")</f>
        <v>Jan-19</v>
      </c>
      <c r="J992" t="str">
        <f>VLOOKUP(tbl_details5[[#This Row],[Order ID]],Table1[],4,FALSE)</f>
        <v>Vivek</v>
      </c>
      <c r="K992" t="str">
        <f>VLOOKUP(tbl_details5[[#This Row],[Order ID]],Table1[],5,FALSE)</f>
        <v>Goa</v>
      </c>
      <c r="L992" t="str">
        <f>VLOOKUP(tbl_details5[[#This Row],[Order ID]],Table1[],6,FALSE)</f>
        <v>Goa</v>
      </c>
    </row>
    <row r="993" spans="1:12" x14ac:dyDescent="0.25">
      <c r="A993" t="s">
        <v>672</v>
      </c>
      <c r="B993" s="4">
        <v>13</v>
      </c>
      <c r="C993" s="4">
        <v>3</v>
      </c>
      <c r="D993" s="5">
        <f>tbl_details5[[#This Row],[Profit]]/tbl_details5[[#This Row],[Revenue]]</f>
        <v>0.23076923076923078</v>
      </c>
      <c r="E993">
        <v>2</v>
      </c>
      <c r="F993" t="s">
        <v>885</v>
      </c>
      <c r="G993" t="s">
        <v>887</v>
      </c>
      <c r="H993" s="1">
        <f>VLOOKUP(tbl_details5[[#This Row],[Order ID]],Orders!A:F,2,FALSE)</f>
        <v>43471</v>
      </c>
      <c r="I993" s="1" t="str">
        <f>TEXT(tbl_details5[[#This Row],[Order Date]],"mmm-yy")</f>
        <v>Jan-19</v>
      </c>
      <c r="J993" t="str">
        <f>VLOOKUP(tbl_details5[[#This Row],[Order ID]],Table1[],4,FALSE)</f>
        <v>Vivek</v>
      </c>
      <c r="K993" t="str">
        <f>VLOOKUP(tbl_details5[[#This Row],[Order ID]],Table1[],5,FALSE)</f>
        <v>Goa</v>
      </c>
      <c r="L993" t="str">
        <f>VLOOKUP(tbl_details5[[#This Row],[Order ID]],Table1[],6,FALSE)</f>
        <v>Goa</v>
      </c>
    </row>
    <row r="994" spans="1:12" x14ac:dyDescent="0.25">
      <c r="A994" t="s">
        <v>672</v>
      </c>
      <c r="B994" s="4">
        <v>46</v>
      </c>
      <c r="C994" s="4">
        <v>0</v>
      </c>
      <c r="D994" s="5">
        <f>tbl_details5[[#This Row],[Profit]]/tbl_details5[[#This Row],[Revenue]]</f>
        <v>0</v>
      </c>
      <c r="E994">
        <v>4</v>
      </c>
      <c r="F994" t="s">
        <v>885</v>
      </c>
      <c r="G994" t="s">
        <v>897</v>
      </c>
      <c r="H994" s="1">
        <f>VLOOKUP(tbl_details5[[#This Row],[Order ID]],Orders!A:F,2,FALSE)</f>
        <v>43471</v>
      </c>
      <c r="I994" s="1" t="str">
        <f>TEXT(tbl_details5[[#This Row],[Order Date]],"mmm-yy")</f>
        <v>Jan-19</v>
      </c>
      <c r="J994" t="str">
        <f>VLOOKUP(tbl_details5[[#This Row],[Order ID]],Table1[],4,FALSE)</f>
        <v>Vivek</v>
      </c>
      <c r="K994" t="str">
        <f>VLOOKUP(tbl_details5[[#This Row],[Order ID]],Table1[],5,FALSE)</f>
        <v>Goa</v>
      </c>
      <c r="L994" t="str">
        <f>VLOOKUP(tbl_details5[[#This Row],[Order ID]],Table1[],6,FALSE)</f>
        <v>Goa</v>
      </c>
    </row>
    <row r="995" spans="1:12" x14ac:dyDescent="0.25">
      <c r="A995" t="s">
        <v>674</v>
      </c>
      <c r="B995" s="4">
        <v>177</v>
      </c>
      <c r="C995" s="4">
        <v>41</v>
      </c>
      <c r="D995" s="5">
        <f>tbl_details5[[#This Row],[Profit]]/tbl_details5[[#This Row],[Revenue]]</f>
        <v>0.23163841807909605</v>
      </c>
      <c r="E995">
        <v>4</v>
      </c>
      <c r="F995" t="s">
        <v>885</v>
      </c>
      <c r="G995" t="s">
        <v>896</v>
      </c>
      <c r="H995" s="1">
        <f>VLOOKUP(tbl_details5[[#This Row],[Order ID]],Orders!A:F,2,FALSE)</f>
        <v>43472</v>
      </c>
      <c r="I995" s="1" t="str">
        <f>TEXT(tbl_details5[[#This Row],[Order Date]],"mmm-yy")</f>
        <v>Jan-19</v>
      </c>
      <c r="J995" t="str">
        <f>VLOOKUP(tbl_details5[[#This Row],[Order ID]],Table1[],4,FALSE)</f>
        <v>Jaideep</v>
      </c>
      <c r="K995" t="str">
        <f>VLOOKUP(tbl_details5[[#This Row],[Order ID]],Table1[],5,FALSE)</f>
        <v>Nagaland</v>
      </c>
      <c r="L995" t="str">
        <f>VLOOKUP(tbl_details5[[#This Row],[Order ID]],Table1[],6,FALSE)</f>
        <v>Kohima</v>
      </c>
    </row>
    <row r="996" spans="1:12" x14ac:dyDescent="0.25">
      <c r="A996" t="s">
        <v>676</v>
      </c>
      <c r="B996" s="4">
        <v>646</v>
      </c>
      <c r="C996" s="4">
        <v>-23</v>
      </c>
      <c r="D996" s="5">
        <f>tbl_details5[[#This Row],[Profit]]/tbl_details5[[#This Row],[Revenue]]</f>
        <v>-3.5603715170278639E-2</v>
      </c>
      <c r="E996">
        <v>2</v>
      </c>
      <c r="F996" t="s">
        <v>888</v>
      </c>
      <c r="G996" t="s">
        <v>899</v>
      </c>
      <c r="H996" s="1">
        <f>VLOOKUP(tbl_details5[[#This Row],[Order ID]],Orders!A:F,2,FALSE)</f>
        <v>43473</v>
      </c>
      <c r="I996" s="1" t="str">
        <f>TEXT(tbl_details5[[#This Row],[Order Date]],"mmm-yy")</f>
        <v>Jan-19</v>
      </c>
      <c r="J996" t="str">
        <f>VLOOKUP(tbl_details5[[#This Row],[Order ID]],Table1[],4,FALSE)</f>
        <v>Ankur</v>
      </c>
      <c r="K996" t="str">
        <f>VLOOKUP(tbl_details5[[#This Row],[Order ID]],Table1[],5,FALSE)</f>
        <v>Andhra Pradesh</v>
      </c>
      <c r="L996" t="str">
        <f>VLOOKUP(tbl_details5[[#This Row],[Order ID]],Table1[],6,FALSE)</f>
        <v>Hyderabad</v>
      </c>
    </row>
    <row r="997" spans="1:12" x14ac:dyDescent="0.25">
      <c r="A997" t="s">
        <v>677</v>
      </c>
      <c r="B997" s="4">
        <v>48</v>
      </c>
      <c r="C997" s="4">
        <v>20</v>
      </c>
      <c r="D997" s="5">
        <f>tbl_details5[[#This Row],[Profit]]/tbl_details5[[#This Row],[Revenue]]</f>
        <v>0.41666666666666669</v>
      </c>
      <c r="E997">
        <v>4</v>
      </c>
      <c r="F997" t="s">
        <v>885</v>
      </c>
      <c r="G997" t="s">
        <v>886</v>
      </c>
      <c r="H997" s="1">
        <f>VLOOKUP(tbl_details5[[#This Row],[Order ID]],Orders!A:F,2,FALSE)</f>
        <v>43474</v>
      </c>
      <c r="I997" s="1" t="str">
        <f>TEXT(tbl_details5[[#This Row],[Order Date]],"mmm-yy")</f>
        <v>Jan-19</v>
      </c>
      <c r="J997" t="str">
        <f>VLOOKUP(tbl_details5[[#This Row],[Order ID]],Table1[],4,FALSE)</f>
        <v>Shardul</v>
      </c>
      <c r="K997" t="str">
        <f>VLOOKUP(tbl_details5[[#This Row],[Order ID]],Table1[],5,FALSE)</f>
        <v>Gujarat</v>
      </c>
      <c r="L997" t="str">
        <f>VLOOKUP(tbl_details5[[#This Row],[Order ID]],Table1[],6,FALSE)</f>
        <v>Ahmedabad</v>
      </c>
    </row>
    <row r="998" spans="1:12" x14ac:dyDescent="0.25">
      <c r="A998" t="s">
        <v>677</v>
      </c>
      <c r="B998" s="4">
        <v>26</v>
      </c>
      <c r="C998" s="4">
        <v>7</v>
      </c>
      <c r="D998" s="5">
        <f>tbl_details5[[#This Row],[Profit]]/tbl_details5[[#This Row],[Revenue]]</f>
        <v>0.26923076923076922</v>
      </c>
      <c r="E998">
        <v>4</v>
      </c>
      <c r="F998" t="s">
        <v>885</v>
      </c>
      <c r="G998" t="s">
        <v>887</v>
      </c>
      <c r="H998" s="1">
        <f>VLOOKUP(tbl_details5[[#This Row],[Order ID]],Orders!A:F,2,FALSE)</f>
        <v>43474</v>
      </c>
      <c r="I998" s="1" t="str">
        <f>TEXT(tbl_details5[[#This Row],[Order Date]],"mmm-yy")</f>
        <v>Jan-19</v>
      </c>
      <c r="J998" t="str">
        <f>VLOOKUP(tbl_details5[[#This Row],[Order ID]],Table1[],4,FALSE)</f>
        <v>Shardul</v>
      </c>
      <c r="K998" t="str">
        <f>VLOOKUP(tbl_details5[[#This Row],[Order ID]],Table1[],5,FALSE)</f>
        <v>Gujarat</v>
      </c>
      <c r="L998" t="str">
        <f>VLOOKUP(tbl_details5[[#This Row],[Order ID]],Table1[],6,FALSE)</f>
        <v>Ahmedabad</v>
      </c>
    </row>
    <row r="999" spans="1:12" x14ac:dyDescent="0.25">
      <c r="A999" t="s">
        <v>677</v>
      </c>
      <c r="B999" s="4">
        <v>149</v>
      </c>
      <c r="C999" s="4">
        <v>15</v>
      </c>
      <c r="D999" s="5">
        <f>tbl_details5[[#This Row],[Profit]]/tbl_details5[[#This Row],[Revenue]]</f>
        <v>0.10067114093959731</v>
      </c>
      <c r="E999">
        <v>3</v>
      </c>
      <c r="F999" t="s">
        <v>885</v>
      </c>
      <c r="G999" t="s">
        <v>891</v>
      </c>
      <c r="H999" s="1">
        <f>VLOOKUP(tbl_details5[[#This Row],[Order ID]],Orders!A:F,2,FALSE)</f>
        <v>43474</v>
      </c>
      <c r="I999" s="1" t="str">
        <f>TEXT(tbl_details5[[#This Row],[Order Date]],"mmm-yy")</f>
        <v>Jan-19</v>
      </c>
      <c r="J999" t="str">
        <f>VLOOKUP(tbl_details5[[#This Row],[Order ID]],Table1[],4,FALSE)</f>
        <v>Shardul</v>
      </c>
      <c r="K999" t="str">
        <f>VLOOKUP(tbl_details5[[#This Row],[Order ID]],Table1[],5,FALSE)</f>
        <v>Gujarat</v>
      </c>
      <c r="L999" t="str">
        <f>VLOOKUP(tbl_details5[[#This Row],[Order ID]],Table1[],6,FALSE)</f>
        <v>Ahmedabad</v>
      </c>
    </row>
    <row r="1000" spans="1:12" x14ac:dyDescent="0.25">
      <c r="A1000" t="s">
        <v>677</v>
      </c>
      <c r="B1000" s="4">
        <v>1547</v>
      </c>
      <c r="C1000" s="4">
        <v>340</v>
      </c>
      <c r="D1000" s="5">
        <f>tbl_details5[[#This Row],[Profit]]/tbl_details5[[#This Row],[Revenue]]</f>
        <v>0.21978021978021978</v>
      </c>
      <c r="E1000">
        <v>6</v>
      </c>
      <c r="F1000" t="s">
        <v>888</v>
      </c>
      <c r="G1000" t="s">
        <v>900</v>
      </c>
      <c r="H1000" s="1">
        <f>VLOOKUP(tbl_details5[[#This Row],[Order ID]],Orders!A:F,2,FALSE)</f>
        <v>43474</v>
      </c>
      <c r="I1000" s="1" t="str">
        <f>TEXT(tbl_details5[[#This Row],[Order Date]],"mmm-yy")</f>
        <v>Jan-19</v>
      </c>
      <c r="J1000" t="str">
        <f>VLOOKUP(tbl_details5[[#This Row],[Order ID]],Table1[],4,FALSE)</f>
        <v>Shardul</v>
      </c>
      <c r="K1000" t="str">
        <f>VLOOKUP(tbl_details5[[#This Row],[Order ID]],Table1[],5,FALSE)</f>
        <v>Gujarat</v>
      </c>
      <c r="L1000" t="str">
        <f>VLOOKUP(tbl_details5[[#This Row],[Order ID]],Table1[],6,FALSE)</f>
        <v>Ahmedabad</v>
      </c>
    </row>
    <row r="1001" spans="1:12" x14ac:dyDescent="0.25">
      <c r="A1001" t="s">
        <v>677</v>
      </c>
      <c r="B1001" s="4">
        <v>137</v>
      </c>
      <c r="C1001" s="4">
        <v>38</v>
      </c>
      <c r="D1001" s="5">
        <f>tbl_details5[[#This Row],[Profit]]/tbl_details5[[#This Row],[Revenue]]</f>
        <v>0.27737226277372262</v>
      </c>
      <c r="E1001">
        <v>5</v>
      </c>
      <c r="F1001" t="s">
        <v>885</v>
      </c>
      <c r="G1001" t="s">
        <v>887</v>
      </c>
      <c r="H1001" s="1">
        <f>VLOOKUP(tbl_details5[[#This Row],[Order ID]],Orders!A:F,2,FALSE)</f>
        <v>43474</v>
      </c>
      <c r="I1001" s="1" t="str">
        <f>TEXT(tbl_details5[[#This Row],[Order Date]],"mmm-yy")</f>
        <v>Jan-19</v>
      </c>
      <c r="J1001" t="str">
        <f>VLOOKUP(tbl_details5[[#This Row],[Order ID]],Table1[],4,FALSE)</f>
        <v>Shardul</v>
      </c>
      <c r="K1001" t="str">
        <f>VLOOKUP(tbl_details5[[#This Row],[Order ID]],Table1[],5,FALSE)</f>
        <v>Gujarat</v>
      </c>
      <c r="L1001" t="str">
        <f>VLOOKUP(tbl_details5[[#This Row],[Order ID]],Table1[],6,FALSE)</f>
        <v>Ahmedabad</v>
      </c>
    </row>
    <row r="1002" spans="1:12" x14ac:dyDescent="0.25">
      <c r="A1002" t="s">
        <v>679</v>
      </c>
      <c r="B1002" s="4">
        <v>169</v>
      </c>
      <c r="C1002" s="4">
        <v>38</v>
      </c>
      <c r="D1002" s="5">
        <f>tbl_details5[[#This Row],[Profit]]/tbl_details5[[#This Row],[Revenue]]</f>
        <v>0.22485207100591717</v>
      </c>
      <c r="E1002">
        <v>3</v>
      </c>
      <c r="F1002" t="s">
        <v>885</v>
      </c>
      <c r="G1002" t="s">
        <v>891</v>
      </c>
      <c r="H1002" s="1">
        <f>VLOOKUP(tbl_details5[[#This Row],[Order ID]],Orders!A:F,2,FALSE)</f>
        <v>43475</v>
      </c>
      <c r="I1002" s="1" t="str">
        <f>TEXT(tbl_details5[[#This Row],[Order Date]],"mmm-yy")</f>
        <v>Jan-19</v>
      </c>
      <c r="J1002" t="str">
        <f>VLOOKUP(tbl_details5[[#This Row],[Order ID]],Table1[],4,FALSE)</f>
        <v>Syed</v>
      </c>
      <c r="K1002" t="str">
        <f>VLOOKUP(tbl_details5[[#This Row],[Order ID]],Table1[],5,FALSE)</f>
        <v>Maharashtra</v>
      </c>
      <c r="L1002" t="str">
        <f>VLOOKUP(tbl_details5[[#This Row],[Order ID]],Table1[],6,FALSE)</f>
        <v>Pune</v>
      </c>
    </row>
    <row r="1003" spans="1:12" x14ac:dyDescent="0.25">
      <c r="A1003" t="s">
        <v>681</v>
      </c>
      <c r="B1003" s="4">
        <v>245</v>
      </c>
      <c r="C1003" s="4">
        <v>10</v>
      </c>
      <c r="D1003" s="5">
        <f>tbl_details5[[#This Row],[Profit]]/tbl_details5[[#This Row],[Revenue]]</f>
        <v>4.0816326530612242E-2</v>
      </c>
      <c r="E1003">
        <v>2</v>
      </c>
      <c r="F1003" t="s">
        <v>883</v>
      </c>
      <c r="G1003" t="s">
        <v>884</v>
      </c>
      <c r="H1003" s="1">
        <f>VLOOKUP(tbl_details5[[#This Row],[Order ID]],Orders!A:F,2,FALSE)</f>
        <v>43476</v>
      </c>
      <c r="I1003" s="1" t="str">
        <f>TEXT(tbl_details5[[#This Row],[Order Date]],"mmm-yy")</f>
        <v>Jan-19</v>
      </c>
      <c r="J1003" t="str">
        <f>VLOOKUP(tbl_details5[[#This Row],[Order ID]],Table1[],4,FALSE)</f>
        <v>Mhatre</v>
      </c>
      <c r="K1003" t="str">
        <f>VLOOKUP(tbl_details5[[#This Row],[Order ID]],Table1[],5,FALSE)</f>
        <v>Madhya Pradesh</v>
      </c>
      <c r="L1003" t="str">
        <f>VLOOKUP(tbl_details5[[#This Row],[Order ID]],Table1[],6,FALSE)</f>
        <v>Indore</v>
      </c>
    </row>
    <row r="1004" spans="1:12" x14ac:dyDescent="0.25">
      <c r="A1004" t="s">
        <v>681</v>
      </c>
      <c r="B1004" s="4">
        <v>60</v>
      </c>
      <c r="C1004" s="4">
        <v>3</v>
      </c>
      <c r="D1004" s="5">
        <f>tbl_details5[[#This Row],[Profit]]/tbl_details5[[#This Row],[Revenue]]</f>
        <v>0.05</v>
      </c>
      <c r="E1004">
        <v>3</v>
      </c>
      <c r="F1004" t="s">
        <v>885</v>
      </c>
      <c r="G1004" t="s">
        <v>891</v>
      </c>
      <c r="H1004" s="1">
        <f>VLOOKUP(tbl_details5[[#This Row],[Order ID]],Orders!A:F,2,FALSE)</f>
        <v>43476</v>
      </c>
      <c r="I1004" s="1" t="str">
        <f>TEXT(tbl_details5[[#This Row],[Order Date]],"mmm-yy")</f>
        <v>Jan-19</v>
      </c>
      <c r="J1004" t="str">
        <f>VLOOKUP(tbl_details5[[#This Row],[Order ID]],Table1[],4,FALSE)</f>
        <v>Mhatre</v>
      </c>
      <c r="K1004" t="str">
        <f>VLOOKUP(tbl_details5[[#This Row],[Order ID]],Table1[],5,FALSE)</f>
        <v>Madhya Pradesh</v>
      </c>
      <c r="L1004" t="str">
        <f>VLOOKUP(tbl_details5[[#This Row],[Order ID]],Table1[],6,FALSE)</f>
        <v>Indore</v>
      </c>
    </row>
    <row r="1005" spans="1:12" x14ac:dyDescent="0.25">
      <c r="A1005" t="s">
        <v>681</v>
      </c>
      <c r="B1005" s="4">
        <v>63</v>
      </c>
      <c r="C1005" s="4">
        <v>14</v>
      </c>
      <c r="D1005" s="5">
        <f>tbl_details5[[#This Row],[Profit]]/tbl_details5[[#This Row],[Revenue]]</f>
        <v>0.22222222222222221</v>
      </c>
      <c r="E1005">
        <v>2</v>
      </c>
      <c r="F1005" t="s">
        <v>885</v>
      </c>
      <c r="G1005" t="s">
        <v>896</v>
      </c>
      <c r="H1005" s="1">
        <f>VLOOKUP(tbl_details5[[#This Row],[Order ID]],Orders!A:F,2,FALSE)</f>
        <v>43476</v>
      </c>
      <c r="I1005" s="1" t="str">
        <f>TEXT(tbl_details5[[#This Row],[Order Date]],"mmm-yy")</f>
        <v>Jan-19</v>
      </c>
      <c r="J1005" t="str">
        <f>VLOOKUP(tbl_details5[[#This Row],[Order ID]],Table1[],4,FALSE)</f>
        <v>Mhatre</v>
      </c>
      <c r="K1005" t="str">
        <f>VLOOKUP(tbl_details5[[#This Row],[Order ID]],Table1[],5,FALSE)</f>
        <v>Madhya Pradesh</v>
      </c>
      <c r="L1005" t="str">
        <f>VLOOKUP(tbl_details5[[#This Row],[Order ID]],Table1[],6,FALSE)</f>
        <v>Indore</v>
      </c>
    </row>
    <row r="1006" spans="1:12" x14ac:dyDescent="0.25">
      <c r="A1006" t="s">
        <v>681</v>
      </c>
      <c r="B1006" s="4">
        <v>765</v>
      </c>
      <c r="C1006" s="4">
        <v>-36</v>
      </c>
      <c r="D1006" s="5">
        <f>tbl_details5[[#This Row],[Profit]]/tbl_details5[[#This Row],[Revenue]]</f>
        <v>-4.7058823529411764E-2</v>
      </c>
      <c r="E1006">
        <v>3</v>
      </c>
      <c r="F1006" t="s">
        <v>888</v>
      </c>
      <c r="G1006" t="s">
        <v>889</v>
      </c>
      <c r="H1006" s="1">
        <f>VLOOKUP(tbl_details5[[#This Row],[Order ID]],Orders!A:F,2,FALSE)</f>
        <v>43476</v>
      </c>
      <c r="I1006" s="1" t="str">
        <f>TEXT(tbl_details5[[#This Row],[Order Date]],"mmm-yy")</f>
        <v>Jan-19</v>
      </c>
      <c r="J1006" t="str">
        <f>VLOOKUP(tbl_details5[[#This Row],[Order ID]],Table1[],4,FALSE)</f>
        <v>Mhatre</v>
      </c>
      <c r="K1006" t="str">
        <f>VLOOKUP(tbl_details5[[#This Row],[Order ID]],Table1[],5,FALSE)</f>
        <v>Madhya Pradesh</v>
      </c>
      <c r="L1006" t="str">
        <f>VLOOKUP(tbl_details5[[#This Row],[Order ID]],Table1[],6,FALSE)</f>
        <v>Indore</v>
      </c>
    </row>
    <row r="1007" spans="1:12" x14ac:dyDescent="0.25">
      <c r="A1007" t="s">
        <v>683</v>
      </c>
      <c r="B1007" s="4">
        <v>146</v>
      </c>
      <c r="C1007" s="4">
        <v>7</v>
      </c>
      <c r="D1007" s="5">
        <f>tbl_details5[[#This Row],[Profit]]/tbl_details5[[#This Row],[Revenue]]</f>
        <v>4.7945205479452052E-2</v>
      </c>
      <c r="E1007">
        <v>2</v>
      </c>
      <c r="F1007" t="s">
        <v>888</v>
      </c>
      <c r="G1007" t="s">
        <v>890</v>
      </c>
      <c r="H1007" s="1">
        <f>VLOOKUP(tbl_details5[[#This Row],[Order ID]],Orders!A:F,2,FALSE)</f>
        <v>43477</v>
      </c>
      <c r="I1007" s="1" t="str">
        <f>TEXT(tbl_details5[[#This Row],[Order Date]],"mmm-yy")</f>
        <v>Jan-19</v>
      </c>
      <c r="J1007" t="str">
        <f>VLOOKUP(tbl_details5[[#This Row],[Order ID]],Table1[],4,FALSE)</f>
        <v>Saurabh</v>
      </c>
      <c r="K1007" t="str">
        <f>VLOOKUP(tbl_details5[[#This Row],[Order ID]],Table1[],5,FALSE)</f>
        <v>Andhra Pradesh</v>
      </c>
      <c r="L1007" t="str">
        <f>VLOOKUP(tbl_details5[[#This Row],[Order ID]],Table1[],6,FALSE)</f>
        <v>Hyderabad</v>
      </c>
    </row>
    <row r="1008" spans="1:12" x14ac:dyDescent="0.25">
      <c r="A1008" t="s">
        <v>684</v>
      </c>
      <c r="B1008" s="4">
        <v>290</v>
      </c>
      <c r="C1008" s="4">
        <v>35</v>
      </c>
      <c r="D1008" s="5">
        <f>tbl_details5[[#This Row],[Profit]]/tbl_details5[[#This Row],[Revenue]]</f>
        <v>0.1206896551724138</v>
      </c>
      <c r="E1008">
        <v>6</v>
      </c>
      <c r="F1008" t="s">
        <v>885</v>
      </c>
      <c r="G1008" t="s">
        <v>887</v>
      </c>
      <c r="H1008" s="1">
        <f>VLOOKUP(tbl_details5[[#This Row],[Order ID]],Orders!A:F,2,FALSE)</f>
        <v>43478</v>
      </c>
      <c r="I1008" s="1" t="str">
        <f>TEXT(tbl_details5[[#This Row],[Order Date]],"mmm-yy")</f>
        <v>Jan-19</v>
      </c>
      <c r="J1008" t="str">
        <f>VLOOKUP(tbl_details5[[#This Row],[Order ID]],Table1[],4,FALSE)</f>
        <v>Chetan</v>
      </c>
      <c r="K1008" t="str">
        <f>VLOOKUP(tbl_details5[[#This Row],[Order ID]],Table1[],5,FALSE)</f>
        <v>Gujarat</v>
      </c>
      <c r="L1008" t="str">
        <f>VLOOKUP(tbl_details5[[#This Row],[Order ID]],Table1[],6,FALSE)</f>
        <v>Ahmedabad</v>
      </c>
    </row>
    <row r="1009" spans="1:12" x14ac:dyDescent="0.25">
      <c r="A1009" t="s">
        <v>684</v>
      </c>
      <c r="B1009" s="4">
        <v>207</v>
      </c>
      <c r="C1009" s="4">
        <v>33</v>
      </c>
      <c r="D1009" s="5">
        <f>tbl_details5[[#This Row],[Profit]]/tbl_details5[[#This Row],[Revenue]]</f>
        <v>0.15942028985507245</v>
      </c>
      <c r="E1009">
        <v>2</v>
      </c>
      <c r="F1009" t="s">
        <v>888</v>
      </c>
      <c r="G1009" t="s">
        <v>900</v>
      </c>
      <c r="H1009" s="1">
        <f>VLOOKUP(tbl_details5[[#This Row],[Order ID]],Orders!A:F,2,FALSE)</f>
        <v>43478</v>
      </c>
      <c r="I1009" s="1" t="str">
        <f>TEXT(tbl_details5[[#This Row],[Order Date]],"mmm-yy")</f>
        <v>Jan-19</v>
      </c>
      <c r="J1009" t="str">
        <f>VLOOKUP(tbl_details5[[#This Row],[Order ID]],Table1[],4,FALSE)</f>
        <v>Chetan</v>
      </c>
      <c r="K1009" t="str">
        <f>VLOOKUP(tbl_details5[[#This Row],[Order ID]],Table1[],5,FALSE)</f>
        <v>Gujarat</v>
      </c>
      <c r="L1009" t="str">
        <f>VLOOKUP(tbl_details5[[#This Row],[Order ID]],Table1[],6,FALSE)</f>
        <v>Ahmedabad</v>
      </c>
    </row>
    <row r="1010" spans="1:12" x14ac:dyDescent="0.25">
      <c r="A1010" t="s">
        <v>686</v>
      </c>
      <c r="B1010" s="4">
        <v>152</v>
      </c>
      <c r="C1010" s="4">
        <v>23</v>
      </c>
      <c r="D1010" s="5">
        <f>tbl_details5[[#This Row],[Profit]]/tbl_details5[[#This Row],[Revenue]]</f>
        <v>0.15131578947368421</v>
      </c>
      <c r="E1010">
        <v>3</v>
      </c>
      <c r="F1010" t="s">
        <v>883</v>
      </c>
      <c r="G1010" t="s">
        <v>901</v>
      </c>
      <c r="H1010" s="1">
        <f>VLOOKUP(tbl_details5[[#This Row],[Order ID]],Orders!A:F,2,FALSE)</f>
        <v>43478</v>
      </c>
      <c r="I1010" s="1" t="str">
        <f>TEXT(tbl_details5[[#This Row],[Order Date]],"mmm-yy")</f>
        <v>Jan-19</v>
      </c>
      <c r="J1010" t="str">
        <f>VLOOKUP(tbl_details5[[#This Row],[Order ID]],Table1[],4,FALSE)</f>
        <v>Mukund</v>
      </c>
      <c r="K1010" t="str">
        <f>VLOOKUP(tbl_details5[[#This Row],[Order ID]],Table1[],5,FALSE)</f>
        <v>Maharashtra</v>
      </c>
      <c r="L1010" t="str">
        <f>VLOOKUP(tbl_details5[[#This Row],[Order ID]],Table1[],6,FALSE)</f>
        <v>Pune</v>
      </c>
    </row>
    <row r="1011" spans="1:12" x14ac:dyDescent="0.25">
      <c r="A1011" t="s">
        <v>688</v>
      </c>
      <c r="B1011" s="4">
        <v>24</v>
      </c>
      <c r="C1011" s="4">
        <v>11</v>
      </c>
      <c r="D1011" s="5">
        <f>tbl_details5[[#This Row],[Profit]]/tbl_details5[[#This Row],[Revenue]]</f>
        <v>0.45833333333333331</v>
      </c>
      <c r="E1011">
        <v>3</v>
      </c>
      <c r="F1011" t="s">
        <v>885</v>
      </c>
      <c r="G1011" t="s">
        <v>887</v>
      </c>
      <c r="H1011" s="1">
        <f>VLOOKUP(tbl_details5[[#This Row],[Order ID]],Orders!A:F,2,FALSE)</f>
        <v>43478</v>
      </c>
      <c r="I1011" s="1" t="str">
        <f>TEXT(tbl_details5[[#This Row],[Order Date]],"mmm-yy")</f>
        <v>Jan-19</v>
      </c>
      <c r="J1011" t="str">
        <f>VLOOKUP(tbl_details5[[#This Row],[Order ID]],Table1[],4,FALSE)</f>
        <v>Shantanu</v>
      </c>
      <c r="K1011" t="str">
        <f>VLOOKUP(tbl_details5[[#This Row],[Order ID]],Table1[],5,FALSE)</f>
        <v>Maharashtra</v>
      </c>
      <c r="L1011" t="str">
        <f>VLOOKUP(tbl_details5[[#This Row],[Order ID]],Table1[],6,FALSE)</f>
        <v>Mumbai</v>
      </c>
    </row>
    <row r="1012" spans="1:12" x14ac:dyDescent="0.25">
      <c r="A1012" t="s">
        <v>688</v>
      </c>
      <c r="B1012" s="4">
        <v>140</v>
      </c>
      <c r="C1012" s="4">
        <v>57</v>
      </c>
      <c r="D1012" s="5">
        <f>tbl_details5[[#This Row],[Profit]]/tbl_details5[[#This Row],[Revenue]]</f>
        <v>0.40714285714285714</v>
      </c>
      <c r="E1012">
        <v>2</v>
      </c>
      <c r="F1012" t="s">
        <v>885</v>
      </c>
      <c r="G1012" t="s">
        <v>892</v>
      </c>
      <c r="H1012" s="1">
        <f>VLOOKUP(tbl_details5[[#This Row],[Order ID]],Orders!A:F,2,FALSE)</f>
        <v>43478</v>
      </c>
      <c r="I1012" s="1" t="str">
        <f>TEXT(tbl_details5[[#This Row],[Order Date]],"mmm-yy")</f>
        <v>Jan-19</v>
      </c>
      <c r="J1012" t="str">
        <f>VLOOKUP(tbl_details5[[#This Row],[Order ID]],Table1[],4,FALSE)</f>
        <v>Shantanu</v>
      </c>
      <c r="K1012" t="str">
        <f>VLOOKUP(tbl_details5[[#This Row],[Order ID]],Table1[],5,FALSE)</f>
        <v>Maharashtra</v>
      </c>
      <c r="L1012" t="str">
        <f>VLOOKUP(tbl_details5[[#This Row],[Order ID]],Table1[],6,FALSE)</f>
        <v>Mumbai</v>
      </c>
    </row>
    <row r="1013" spans="1:12" x14ac:dyDescent="0.25">
      <c r="A1013" t="s">
        <v>688</v>
      </c>
      <c r="B1013" s="4">
        <v>151</v>
      </c>
      <c r="C1013" s="4">
        <v>9</v>
      </c>
      <c r="D1013" s="5">
        <f>tbl_details5[[#This Row],[Profit]]/tbl_details5[[#This Row],[Revenue]]</f>
        <v>5.9602649006622516E-2</v>
      </c>
      <c r="E1013">
        <v>3</v>
      </c>
      <c r="F1013" t="s">
        <v>885</v>
      </c>
      <c r="G1013" t="s">
        <v>887</v>
      </c>
      <c r="H1013" s="1">
        <f>VLOOKUP(tbl_details5[[#This Row],[Order ID]],Orders!A:F,2,FALSE)</f>
        <v>43478</v>
      </c>
      <c r="I1013" s="1" t="str">
        <f>TEXT(tbl_details5[[#This Row],[Order Date]],"mmm-yy")</f>
        <v>Jan-19</v>
      </c>
      <c r="J1013" t="str">
        <f>VLOOKUP(tbl_details5[[#This Row],[Order ID]],Table1[],4,FALSE)</f>
        <v>Shantanu</v>
      </c>
      <c r="K1013" t="str">
        <f>VLOOKUP(tbl_details5[[#This Row],[Order ID]],Table1[],5,FALSE)</f>
        <v>Maharashtra</v>
      </c>
      <c r="L1013" t="str">
        <f>VLOOKUP(tbl_details5[[#This Row],[Order ID]],Table1[],6,FALSE)</f>
        <v>Mumbai</v>
      </c>
    </row>
    <row r="1014" spans="1:12" x14ac:dyDescent="0.25">
      <c r="A1014" t="s">
        <v>690</v>
      </c>
      <c r="B1014" s="4">
        <v>13</v>
      </c>
      <c r="C1014" s="4">
        <v>4</v>
      </c>
      <c r="D1014" s="5">
        <f>tbl_details5[[#This Row],[Profit]]/tbl_details5[[#This Row],[Revenue]]</f>
        <v>0.30769230769230771</v>
      </c>
      <c r="E1014">
        <v>1</v>
      </c>
      <c r="F1014" t="s">
        <v>885</v>
      </c>
      <c r="G1014" t="s">
        <v>897</v>
      </c>
      <c r="H1014" s="1">
        <f>VLOOKUP(tbl_details5[[#This Row],[Order ID]],Orders!A:F,2,FALSE)</f>
        <v>43478</v>
      </c>
      <c r="I1014" s="1" t="str">
        <f>TEXT(tbl_details5[[#This Row],[Order Date]],"mmm-yy")</f>
        <v>Jan-19</v>
      </c>
      <c r="J1014" t="str">
        <f>VLOOKUP(tbl_details5[[#This Row],[Order ID]],Table1[],4,FALSE)</f>
        <v>Shruti</v>
      </c>
      <c r="K1014" t="str">
        <f>VLOOKUP(tbl_details5[[#This Row],[Order ID]],Table1[],5,FALSE)</f>
        <v>Madhya Pradesh</v>
      </c>
      <c r="L1014" t="str">
        <f>VLOOKUP(tbl_details5[[#This Row],[Order ID]],Table1[],6,FALSE)</f>
        <v>Indore</v>
      </c>
    </row>
    <row r="1015" spans="1:12" x14ac:dyDescent="0.25">
      <c r="A1015" t="s">
        <v>690</v>
      </c>
      <c r="B1015" s="4">
        <v>54</v>
      </c>
      <c r="C1015" s="4">
        <v>27</v>
      </c>
      <c r="D1015" s="5">
        <f>tbl_details5[[#This Row],[Profit]]/tbl_details5[[#This Row],[Revenue]]</f>
        <v>0.5</v>
      </c>
      <c r="E1015">
        <v>2</v>
      </c>
      <c r="F1015" t="s">
        <v>885</v>
      </c>
      <c r="G1015" t="s">
        <v>886</v>
      </c>
      <c r="H1015" s="1">
        <f>VLOOKUP(tbl_details5[[#This Row],[Order ID]],Orders!A:F,2,FALSE)</f>
        <v>43478</v>
      </c>
      <c r="I1015" s="1" t="str">
        <f>TEXT(tbl_details5[[#This Row],[Order Date]],"mmm-yy")</f>
        <v>Jan-19</v>
      </c>
      <c r="J1015" t="str">
        <f>VLOOKUP(tbl_details5[[#This Row],[Order ID]],Table1[],4,FALSE)</f>
        <v>Shruti</v>
      </c>
      <c r="K1015" t="str">
        <f>VLOOKUP(tbl_details5[[#This Row],[Order ID]],Table1[],5,FALSE)</f>
        <v>Madhya Pradesh</v>
      </c>
      <c r="L1015" t="str">
        <f>VLOOKUP(tbl_details5[[#This Row],[Order ID]],Table1[],6,FALSE)</f>
        <v>Indore</v>
      </c>
    </row>
    <row r="1016" spans="1:12" x14ac:dyDescent="0.25">
      <c r="A1016" t="s">
        <v>690</v>
      </c>
      <c r="B1016" s="4">
        <v>644</v>
      </c>
      <c r="C1016" s="4">
        <v>167</v>
      </c>
      <c r="D1016" s="5">
        <f>tbl_details5[[#This Row],[Profit]]/tbl_details5[[#This Row],[Revenue]]</f>
        <v>0.25931677018633542</v>
      </c>
      <c r="E1016">
        <v>2</v>
      </c>
      <c r="F1016" t="s">
        <v>888</v>
      </c>
      <c r="G1016" t="s">
        <v>899</v>
      </c>
      <c r="H1016" s="1">
        <f>VLOOKUP(tbl_details5[[#This Row],[Order ID]],Orders!A:F,2,FALSE)</f>
        <v>43478</v>
      </c>
      <c r="I1016" s="1" t="str">
        <f>TEXT(tbl_details5[[#This Row],[Order Date]],"mmm-yy")</f>
        <v>Jan-19</v>
      </c>
      <c r="J1016" t="str">
        <f>VLOOKUP(tbl_details5[[#This Row],[Order ID]],Table1[],4,FALSE)</f>
        <v>Shruti</v>
      </c>
      <c r="K1016" t="str">
        <f>VLOOKUP(tbl_details5[[#This Row],[Order ID]],Table1[],5,FALSE)</f>
        <v>Madhya Pradesh</v>
      </c>
      <c r="L1016" t="str">
        <f>VLOOKUP(tbl_details5[[#This Row],[Order ID]],Table1[],6,FALSE)</f>
        <v>Indore</v>
      </c>
    </row>
    <row r="1017" spans="1:12" x14ac:dyDescent="0.25">
      <c r="A1017" t="s">
        <v>690</v>
      </c>
      <c r="B1017" s="4">
        <v>261</v>
      </c>
      <c r="C1017" s="4">
        <v>13</v>
      </c>
      <c r="D1017" s="5">
        <f>tbl_details5[[#This Row],[Profit]]/tbl_details5[[#This Row],[Revenue]]</f>
        <v>4.9808429118773943E-2</v>
      </c>
      <c r="E1017">
        <v>6</v>
      </c>
      <c r="F1017" t="s">
        <v>885</v>
      </c>
      <c r="G1017" t="s">
        <v>896</v>
      </c>
      <c r="H1017" s="1">
        <f>VLOOKUP(tbl_details5[[#This Row],[Order ID]],Orders!A:F,2,FALSE)</f>
        <v>43478</v>
      </c>
      <c r="I1017" s="1" t="str">
        <f>TEXT(tbl_details5[[#This Row],[Order Date]],"mmm-yy")</f>
        <v>Jan-19</v>
      </c>
      <c r="J1017" t="str">
        <f>VLOOKUP(tbl_details5[[#This Row],[Order ID]],Table1[],4,FALSE)</f>
        <v>Shruti</v>
      </c>
      <c r="K1017" t="str">
        <f>VLOOKUP(tbl_details5[[#This Row],[Order ID]],Table1[],5,FALSE)</f>
        <v>Madhya Pradesh</v>
      </c>
      <c r="L1017" t="str">
        <f>VLOOKUP(tbl_details5[[#This Row],[Order ID]],Table1[],6,FALSE)</f>
        <v>Indore</v>
      </c>
    </row>
    <row r="1018" spans="1:12" x14ac:dyDescent="0.25">
      <c r="A1018" t="s">
        <v>690</v>
      </c>
      <c r="B1018" s="4">
        <v>1622</v>
      </c>
      <c r="C1018" s="4">
        <v>95</v>
      </c>
      <c r="D1018" s="5">
        <f>tbl_details5[[#This Row],[Profit]]/tbl_details5[[#This Row],[Revenue]]</f>
        <v>5.8569667077681874E-2</v>
      </c>
      <c r="E1018">
        <v>5</v>
      </c>
      <c r="F1018" t="s">
        <v>888</v>
      </c>
      <c r="G1018" t="s">
        <v>899</v>
      </c>
      <c r="H1018" s="1">
        <f>VLOOKUP(tbl_details5[[#This Row],[Order ID]],Orders!A:F,2,FALSE)</f>
        <v>43478</v>
      </c>
      <c r="I1018" s="1" t="str">
        <f>TEXT(tbl_details5[[#This Row],[Order Date]],"mmm-yy")</f>
        <v>Jan-19</v>
      </c>
      <c r="J1018" t="str">
        <f>VLOOKUP(tbl_details5[[#This Row],[Order ID]],Table1[],4,FALSE)</f>
        <v>Shruti</v>
      </c>
      <c r="K1018" t="str">
        <f>VLOOKUP(tbl_details5[[#This Row],[Order ID]],Table1[],5,FALSE)</f>
        <v>Madhya Pradesh</v>
      </c>
      <c r="L1018" t="str">
        <f>VLOOKUP(tbl_details5[[#This Row],[Order ID]],Table1[],6,FALSE)</f>
        <v>Indore</v>
      </c>
    </row>
    <row r="1019" spans="1:12" x14ac:dyDescent="0.25">
      <c r="A1019" t="s">
        <v>690</v>
      </c>
      <c r="B1019" s="4">
        <v>190</v>
      </c>
      <c r="C1019" s="4">
        <v>19</v>
      </c>
      <c r="D1019" s="5">
        <f>tbl_details5[[#This Row],[Profit]]/tbl_details5[[#This Row],[Revenue]]</f>
        <v>0.1</v>
      </c>
      <c r="E1019">
        <v>9</v>
      </c>
      <c r="F1019" t="s">
        <v>883</v>
      </c>
      <c r="G1019" t="s">
        <v>901</v>
      </c>
      <c r="H1019" s="1">
        <f>VLOOKUP(tbl_details5[[#This Row],[Order ID]],Orders!A:F,2,FALSE)</f>
        <v>43478</v>
      </c>
      <c r="I1019" s="1" t="str">
        <f>TEXT(tbl_details5[[#This Row],[Order Date]],"mmm-yy")</f>
        <v>Jan-19</v>
      </c>
      <c r="J1019" t="str">
        <f>VLOOKUP(tbl_details5[[#This Row],[Order ID]],Table1[],4,FALSE)</f>
        <v>Shruti</v>
      </c>
      <c r="K1019" t="str">
        <f>VLOOKUP(tbl_details5[[#This Row],[Order ID]],Table1[],5,FALSE)</f>
        <v>Madhya Pradesh</v>
      </c>
      <c r="L1019" t="str">
        <f>VLOOKUP(tbl_details5[[#This Row],[Order ID]],Table1[],6,FALSE)</f>
        <v>Indore</v>
      </c>
    </row>
    <row r="1020" spans="1:12" x14ac:dyDescent="0.25">
      <c r="A1020" t="s">
        <v>690</v>
      </c>
      <c r="B1020" s="4">
        <v>158</v>
      </c>
      <c r="C1020" s="4">
        <v>-29</v>
      </c>
      <c r="D1020" s="5">
        <f>tbl_details5[[#This Row],[Profit]]/tbl_details5[[#This Row],[Revenue]]</f>
        <v>-0.18354430379746836</v>
      </c>
      <c r="E1020">
        <v>10</v>
      </c>
      <c r="F1020" t="s">
        <v>885</v>
      </c>
      <c r="G1020" t="s">
        <v>887</v>
      </c>
      <c r="H1020" s="1">
        <f>VLOOKUP(tbl_details5[[#This Row],[Order ID]],Orders!A:F,2,FALSE)</f>
        <v>43478</v>
      </c>
      <c r="I1020" s="1" t="str">
        <f>TEXT(tbl_details5[[#This Row],[Order Date]],"mmm-yy")</f>
        <v>Jan-19</v>
      </c>
      <c r="J1020" t="str">
        <f>VLOOKUP(tbl_details5[[#This Row],[Order ID]],Table1[],4,FALSE)</f>
        <v>Shruti</v>
      </c>
      <c r="K1020" t="str">
        <f>VLOOKUP(tbl_details5[[#This Row],[Order ID]],Table1[],5,FALSE)</f>
        <v>Madhya Pradesh</v>
      </c>
      <c r="L1020" t="str">
        <f>VLOOKUP(tbl_details5[[#This Row],[Order ID]],Table1[],6,FALSE)</f>
        <v>Indore</v>
      </c>
    </row>
    <row r="1021" spans="1:12" x14ac:dyDescent="0.25">
      <c r="A1021" t="s">
        <v>690</v>
      </c>
      <c r="B1021" s="4">
        <v>136</v>
      </c>
      <c r="C1021" s="4">
        <v>-33</v>
      </c>
      <c r="D1021" s="5">
        <f>tbl_details5[[#This Row],[Profit]]/tbl_details5[[#This Row],[Revenue]]</f>
        <v>-0.24264705882352941</v>
      </c>
      <c r="E1021">
        <v>5</v>
      </c>
      <c r="F1021" t="s">
        <v>885</v>
      </c>
      <c r="G1021" t="s">
        <v>891</v>
      </c>
      <c r="H1021" s="1">
        <f>VLOOKUP(tbl_details5[[#This Row],[Order ID]],Orders!A:F,2,FALSE)</f>
        <v>43478</v>
      </c>
      <c r="I1021" s="1" t="str">
        <f>TEXT(tbl_details5[[#This Row],[Order Date]],"mmm-yy")</f>
        <v>Jan-19</v>
      </c>
      <c r="J1021" t="str">
        <f>VLOOKUP(tbl_details5[[#This Row],[Order ID]],Table1[],4,FALSE)</f>
        <v>Shruti</v>
      </c>
      <c r="K1021" t="str">
        <f>VLOOKUP(tbl_details5[[#This Row],[Order ID]],Table1[],5,FALSE)</f>
        <v>Madhya Pradesh</v>
      </c>
      <c r="L1021" t="str">
        <f>VLOOKUP(tbl_details5[[#This Row],[Order ID]],Table1[],6,FALSE)</f>
        <v>Indore</v>
      </c>
    </row>
    <row r="1022" spans="1:12" x14ac:dyDescent="0.25">
      <c r="A1022" t="s">
        <v>690</v>
      </c>
      <c r="B1022" s="4">
        <v>133</v>
      </c>
      <c r="C1022" s="4">
        <v>5</v>
      </c>
      <c r="D1022" s="5">
        <f>tbl_details5[[#This Row],[Profit]]/tbl_details5[[#This Row],[Revenue]]</f>
        <v>3.7593984962406013E-2</v>
      </c>
      <c r="E1022">
        <v>5</v>
      </c>
      <c r="F1022" t="s">
        <v>885</v>
      </c>
      <c r="G1022" t="s">
        <v>886</v>
      </c>
      <c r="H1022" s="1">
        <f>VLOOKUP(tbl_details5[[#This Row],[Order ID]],Orders!A:F,2,FALSE)</f>
        <v>43478</v>
      </c>
      <c r="I1022" s="1" t="str">
        <f>TEXT(tbl_details5[[#This Row],[Order Date]],"mmm-yy")</f>
        <v>Jan-19</v>
      </c>
      <c r="J1022" t="str">
        <f>VLOOKUP(tbl_details5[[#This Row],[Order ID]],Table1[],4,FALSE)</f>
        <v>Shruti</v>
      </c>
      <c r="K1022" t="str">
        <f>VLOOKUP(tbl_details5[[#This Row],[Order ID]],Table1[],5,FALSE)</f>
        <v>Madhya Pradesh</v>
      </c>
      <c r="L1022" t="str">
        <f>VLOOKUP(tbl_details5[[#This Row],[Order ID]],Table1[],6,FALSE)</f>
        <v>Indore</v>
      </c>
    </row>
    <row r="1023" spans="1:12" x14ac:dyDescent="0.25">
      <c r="A1023" t="s">
        <v>691</v>
      </c>
      <c r="B1023" s="4">
        <v>102</v>
      </c>
      <c r="C1023" s="4">
        <v>13</v>
      </c>
      <c r="D1023" s="5">
        <f>tbl_details5[[#This Row],[Profit]]/tbl_details5[[#This Row],[Revenue]]</f>
        <v>0.12745098039215685</v>
      </c>
      <c r="E1023">
        <v>2</v>
      </c>
      <c r="F1023" t="s">
        <v>885</v>
      </c>
      <c r="G1023" t="s">
        <v>886</v>
      </c>
      <c r="H1023" s="1">
        <f>VLOOKUP(tbl_details5[[#This Row],[Order ID]],Orders!A:F,2,FALSE)</f>
        <v>43478</v>
      </c>
      <c r="I1023" s="1" t="str">
        <f>TEXT(tbl_details5[[#This Row],[Order Date]],"mmm-yy")</f>
        <v>Jan-19</v>
      </c>
      <c r="J1023" t="str">
        <f>VLOOKUP(tbl_details5[[#This Row],[Order ID]],Table1[],4,FALSE)</f>
        <v>Jesal</v>
      </c>
      <c r="K1023" t="str">
        <f>VLOOKUP(tbl_details5[[#This Row],[Order ID]],Table1[],5,FALSE)</f>
        <v>West Bengal</v>
      </c>
      <c r="L1023" t="str">
        <f>VLOOKUP(tbl_details5[[#This Row],[Order ID]],Table1[],6,FALSE)</f>
        <v>Kolkata</v>
      </c>
    </row>
    <row r="1024" spans="1:12" x14ac:dyDescent="0.25">
      <c r="A1024" t="s">
        <v>691</v>
      </c>
      <c r="B1024" s="4">
        <v>50</v>
      </c>
      <c r="C1024" s="4">
        <v>14</v>
      </c>
      <c r="D1024" s="5">
        <f>tbl_details5[[#This Row],[Profit]]/tbl_details5[[#This Row],[Revenue]]</f>
        <v>0.28000000000000003</v>
      </c>
      <c r="E1024">
        <v>1</v>
      </c>
      <c r="F1024" t="s">
        <v>888</v>
      </c>
      <c r="G1024" t="s">
        <v>889</v>
      </c>
      <c r="H1024" s="1">
        <f>VLOOKUP(tbl_details5[[#This Row],[Order ID]],Orders!A:F,2,FALSE)</f>
        <v>43478</v>
      </c>
      <c r="I1024" s="1" t="str">
        <f>TEXT(tbl_details5[[#This Row],[Order Date]],"mmm-yy")</f>
        <v>Jan-19</v>
      </c>
      <c r="J1024" t="str">
        <f>VLOOKUP(tbl_details5[[#This Row],[Order ID]],Table1[],4,FALSE)</f>
        <v>Jesal</v>
      </c>
      <c r="K1024" t="str">
        <f>VLOOKUP(tbl_details5[[#This Row],[Order ID]],Table1[],5,FALSE)</f>
        <v>West Bengal</v>
      </c>
      <c r="L1024" t="str">
        <f>VLOOKUP(tbl_details5[[#This Row],[Order ID]],Table1[],6,FALSE)</f>
        <v>Kolkata</v>
      </c>
    </row>
    <row r="1025" spans="1:12" x14ac:dyDescent="0.25">
      <c r="A1025" t="s">
        <v>691</v>
      </c>
      <c r="B1025" s="4">
        <v>111</v>
      </c>
      <c r="C1025" s="4">
        <v>11</v>
      </c>
      <c r="D1025" s="5">
        <f>tbl_details5[[#This Row],[Profit]]/tbl_details5[[#This Row],[Revenue]]</f>
        <v>9.90990990990991E-2</v>
      </c>
      <c r="E1025">
        <v>9</v>
      </c>
      <c r="F1025" t="s">
        <v>885</v>
      </c>
      <c r="G1025" t="s">
        <v>887</v>
      </c>
      <c r="H1025" s="1">
        <f>VLOOKUP(tbl_details5[[#This Row],[Order ID]],Orders!A:F,2,FALSE)</f>
        <v>43478</v>
      </c>
      <c r="I1025" s="1" t="str">
        <f>TEXT(tbl_details5[[#This Row],[Order Date]],"mmm-yy")</f>
        <v>Jan-19</v>
      </c>
      <c r="J1025" t="str">
        <f>VLOOKUP(tbl_details5[[#This Row],[Order ID]],Table1[],4,FALSE)</f>
        <v>Jesal</v>
      </c>
      <c r="K1025" t="str">
        <f>VLOOKUP(tbl_details5[[#This Row],[Order ID]],Table1[],5,FALSE)</f>
        <v>West Bengal</v>
      </c>
      <c r="L1025" t="str">
        <f>VLOOKUP(tbl_details5[[#This Row],[Order ID]],Table1[],6,FALSE)</f>
        <v>Kolkata</v>
      </c>
    </row>
    <row r="1026" spans="1:12" x14ac:dyDescent="0.25">
      <c r="A1026" t="s">
        <v>691</v>
      </c>
      <c r="B1026" s="4">
        <v>120</v>
      </c>
      <c r="C1026" s="4">
        <v>23</v>
      </c>
      <c r="D1026" s="5">
        <f>tbl_details5[[#This Row],[Profit]]/tbl_details5[[#This Row],[Revenue]]</f>
        <v>0.19166666666666668</v>
      </c>
      <c r="E1026">
        <v>5</v>
      </c>
      <c r="F1026" t="s">
        <v>885</v>
      </c>
      <c r="G1026" t="s">
        <v>886</v>
      </c>
      <c r="H1026" s="1">
        <f>VLOOKUP(tbl_details5[[#This Row],[Order ID]],Orders!A:F,2,FALSE)</f>
        <v>43478</v>
      </c>
      <c r="I1026" s="1" t="str">
        <f>TEXT(tbl_details5[[#This Row],[Order Date]],"mmm-yy")</f>
        <v>Jan-19</v>
      </c>
      <c r="J1026" t="str">
        <f>VLOOKUP(tbl_details5[[#This Row],[Order ID]],Table1[],4,FALSE)</f>
        <v>Jesal</v>
      </c>
      <c r="K1026" t="str">
        <f>VLOOKUP(tbl_details5[[#This Row],[Order ID]],Table1[],5,FALSE)</f>
        <v>West Bengal</v>
      </c>
      <c r="L1026" t="str">
        <f>VLOOKUP(tbl_details5[[#This Row],[Order ID]],Table1[],6,FALSE)</f>
        <v>Kolkata</v>
      </c>
    </row>
    <row r="1027" spans="1:12" x14ac:dyDescent="0.25">
      <c r="A1027" t="s">
        <v>691</v>
      </c>
      <c r="B1027" s="4">
        <v>40</v>
      </c>
      <c r="C1027" s="4">
        <v>18</v>
      </c>
      <c r="D1027" s="5">
        <f>tbl_details5[[#This Row],[Profit]]/tbl_details5[[#This Row],[Revenue]]</f>
        <v>0.45</v>
      </c>
      <c r="E1027">
        <v>1</v>
      </c>
      <c r="F1027" t="s">
        <v>888</v>
      </c>
      <c r="G1027" t="s">
        <v>900</v>
      </c>
      <c r="H1027" s="1">
        <f>VLOOKUP(tbl_details5[[#This Row],[Order ID]],Orders!A:F,2,FALSE)</f>
        <v>43478</v>
      </c>
      <c r="I1027" s="1" t="str">
        <f>TEXT(tbl_details5[[#This Row],[Order Date]],"mmm-yy")</f>
        <v>Jan-19</v>
      </c>
      <c r="J1027" t="str">
        <f>VLOOKUP(tbl_details5[[#This Row],[Order ID]],Table1[],4,FALSE)</f>
        <v>Jesal</v>
      </c>
      <c r="K1027" t="str">
        <f>VLOOKUP(tbl_details5[[#This Row],[Order ID]],Table1[],5,FALSE)</f>
        <v>West Bengal</v>
      </c>
      <c r="L1027" t="str">
        <f>VLOOKUP(tbl_details5[[#This Row],[Order ID]],Table1[],6,FALSE)</f>
        <v>Kolkata</v>
      </c>
    </row>
    <row r="1028" spans="1:12" x14ac:dyDescent="0.25">
      <c r="A1028" t="s">
        <v>691</v>
      </c>
      <c r="B1028" s="4">
        <v>250</v>
      </c>
      <c r="C1028" s="4">
        <v>100</v>
      </c>
      <c r="D1028" s="5">
        <f>tbl_details5[[#This Row],[Profit]]/tbl_details5[[#This Row],[Revenue]]</f>
        <v>0.4</v>
      </c>
      <c r="E1028">
        <v>3</v>
      </c>
      <c r="F1028" t="s">
        <v>885</v>
      </c>
      <c r="G1028" t="s">
        <v>892</v>
      </c>
      <c r="H1028" s="1">
        <f>VLOOKUP(tbl_details5[[#This Row],[Order ID]],Orders!A:F,2,FALSE)</f>
        <v>43478</v>
      </c>
      <c r="I1028" s="1" t="str">
        <f>TEXT(tbl_details5[[#This Row],[Order Date]],"mmm-yy")</f>
        <v>Jan-19</v>
      </c>
      <c r="J1028" t="str">
        <f>VLOOKUP(tbl_details5[[#This Row],[Order ID]],Table1[],4,FALSE)</f>
        <v>Jesal</v>
      </c>
      <c r="K1028" t="str">
        <f>VLOOKUP(tbl_details5[[#This Row],[Order ID]],Table1[],5,FALSE)</f>
        <v>West Bengal</v>
      </c>
      <c r="L1028" t="str">
        <f>VLOOKUP(tbl_details5[[#This Row],[Order ID]],Table1[],6,FALSE)</f>
        <v>Kolkata</v>
      </c>
    </row>
    <row r="1029" spans="1:12" x14ac:dyDescent="0.25">
      <c r="A1029" t="s">
        <v>691</v>
      </c>
      <c r="B1029" s="4">
        <v>89</v>
      </c>
      <c r="C1029" s="4">
        <v>29</v>
      </c>
      <c r="D1029" s="5">
        <f>tbl_details5[[#This Row],[Profit]]/tbl_details5[[#This Row],[Revenue]]</f>
        <v>0.3258426966292135</v>
      </c>
      <c r="E1029">
        <v>2</v>
      </c>
      <c r="F1029" t="s">
        <v>885</v>
      </c>
      <c r="G1029" t="s">
        <v>886</v>
      </c>
      <c r="H1029" s="1">
        <f>VLOOKUP(tbl_details5[[#This Row],[Order ID]],Orders!A:F,2,FALSE)</f>
        <v>43478</v>
      </c>
      <c r="I1029" s="1" t="str">
        <f>TEXT(tbl_details5[[#This Row],[Order Date]],"mmm-yy")</f>
        <v>Jan-19</v>
      </c>
      <c r="J1029" t="str">
        <f>VLOOKUP(tbl_details5[[#This Row],[Order ID]],Table1[],4,FALSE)</f>
        <v>Jesal</v>
      </c>
      <c r="K1029" t="str">
        <f>VLOOKUP(tbl_details5[[#This Row],[Order ID]],Table1[],5,FALSE)</f>
        <v>West Bengal</v>
      </c>
      <c r="L1029" t="str">
        <f>VLOOKUP(tbl_details5[[#This Row],[Order ID]],Table1[],6,FALSE)</f>
        <v>Kolkata</v>
      </c>
    </row>
    <row r="1030" spans="1:12" x14ac:dyDescent="0.25">
      <c r="A1030" t="s">
        <v>691</v>
      </c>
      <c r="B1030" s="4">
        <v>30</v>
      </c>
      <c r="C1030" s="4">
        <v>5</v>
      </c>
      <c r="D1030" s="5">
        <f>tbl_details5[[#This Row],[Profit]]/tbl_details5[[#This Row],[Revenue]]</f>
        <v>0.16666666666666666</v>
      </c>
      <c r="E1030">
        <v>2</v>
      </c>
      <c r="F1030" t="s">
        <v>885</v>
      </c>
      <c r="G1030" t="s">
        <v>894</v>
      </c>
      <c r="H1030" s="1">
        <f>VLOOKUP(tbl_details5[[#This Row],[Order ID]],Orders!A:F,2,FALSE)</f>
        <v>43478</v>
      </c>
      <c r="I1030" s="1" t="str">
        <f>TEXT(tbl_details5[[#This Row],[Order Date]],"mmm-yy")</f>
        <v>Jan-19</v>
      </c>
      <c r="J1030" t="str">
        <f>VLOOKUP(tbl_details5[[#This Row],[Order ID]],Table1[],4,FALSE)</f>
        <v>Jesal</v>
      </c>
      <c r="K1030" t="str">
        <f>VLOOKUP(tbl_details5[[#This Row],[Order ID]],Table1[],5,FALSE)</f>
        <v>West Bengal</v>
      </c>
      <c r="L1030" t="str">
        <f>VLOOKUP(tbl_details5[[#This Row],[Order ID]],Table1[],6,FALSE)</f>
        <v>Kolkata</v>
      </c>
    </row>
    <row r="1031" spans="1:12" x14ac:dyDescent="0.25">
      <c r="A1031" t="s">
        <v>691</v>
      </c>
      <c r="B1031" s="4">
        <v>248</v>
      </c>
      <c r="C1031" s="4">
        <v>105</v>
      </c>
      <c r="D1031" s="5">
        <f>tbl_details5[[#This Row],[Profit]]/tbl_details5[[#This Row],[Revenue]]</f>
        <v>0.42338709677419356</v>
      </c>
      <c r="E1031">
        <v>2</v>
      </c>
      <c r="F1031" t="s">
        <v>888</v>
      </c>
      <c r="G1031" t="s">
        <v>890</v>
      </c>
      <c r="H1031" s="1">
        <f>VLOOKUP(tbl_details5[[#This Row],[Order ID]],Orders!A:F,2,FALSE)</f>
        <v>43478</v>
      </c>
      <c r="I1031" s="1" t="str">
        <f>TEXT(tbl_details5[[#This Row],[Order Date]],"mmm-yy")</f>
        <v>Jan-19</v>
      </c>
      <c r="J1031" t="str">
        <f>VLOOKUP(tbl_details5[[#This Row],[Order ID]],Table1[],4,FALSE)</f>
        <v>Jesal</v>
      </c>
      <c r="K1031" t="str">
        <f>VLOOKUP(tbl_details5[[#This Row],[Order ID]],Table1[],5,FALSE)</f>
        <v>West Bengal</v>
      </c>
      <c r="L1031" t="str">
        <f>VLOOKUP(tbl_details5[[#This Row],[Order ID]],Table1[],6,FALSE)</f>
        <v>Kolkata</v>
      </c>
    </row>
    <row r="1032" spans="1:12" x14ac:dyDescent="0.25">
      <c r="A1032" t="s">
        <v>691</v>
      </c>
      <c r="B1032" s="4">
        <v>742</v>
      </c>
      <c r="C1032" s="4">
        <v>198</v>
      </c>
      <c r="D1032" s="5">
        <f>tbl_details5[[#This Row],[Profit]]/tbl_details5[[#This Row],[Revenue]]</f>
        <v>0.26684636118598382</v>
      </c>
      <c r="E1032">
        <v>2</v>
      </c>
      <c r="F1032" t="s">
        <v>883</v>
      </c>
      <c r="G1032" t="s">
        <v>884</v>
      </c>
      <c r="H1032" s="1">
        <f>VLOOKUP(tbl_details5[[#This Row],[Order ID]],Orders!A:F,2,FALSE)</f>
        <v>43478</v>
      </c>
      <c r="I1032" s="1" t="str">
        <f>TEXT(tbl_details5[[#This Row],[Order Date]],"mmm-yy")</f>
        <v>Jan-19</v>
      </c>
      <c r="J1032" t="str">
        <f>VLOOKUP(tbl_details5[[#This Row],[Order ID]],Table1[],4,FALSE)</f>
        <v>Jesal</v>
      </c>
      <c r="K1032" t="str">
        <f>VLOOKUP(tbl_details5[[#This Row],[Order ID]],Table1[],5,FALSE)</f>
        <v>West Bengal</v>
      </c>
      <c r="L1032" t="str">
        <f>VLOOKUP(tbl_details5[[#This Row],[Order ID]],Table1[],6,FALSE)</f>
        <v>Kolkata</v>
      </c>
    </row>
    <row r="1033" spans="1:12" x14ac:dyDescent="0.25">
      <c r="A1033" t="s">
        <v>693</v>
      </c>
      <c r="B1033" s="4">
        <v>14</v>
      </c>
      <c r="C1033" s="4">
        <v>0</v>
      </c>
      <c r="D1033" s="5">
        <f>tbl_details5[[#This Row],[Profit]]/tbl_details5[[#This Row],[Revenue]]</f>
        <v>0</v>
      </c>
      <c r="E1033">
        <v>4</v>
      </c>
      <c r="F1033" t="s">
        <v>885</v>
      </c>
      <c r="G1033" t="s">
        <v>887</v>
      </c>
      <c r="H1033" s="1">
        <f>VLOOKUP(tbl_details5[[#This Row],[Order ID]],Orders!A:F,2,FALSE)</f>
        <v>43478</v>
      </c>
      <c r="I1033" s="1" t="str">
        <f>TEXT(tbl_details5[[#This Row],[Order Date]],"mmm-yy")</f>
        <v>Jan-19</v>
      </c>
      <c r="J1033" t="str">
        <f>VLOOKUP(tbl_details5[[#This Row],[Order ID]],Table1[],4,FALSE)</f>
        <v>Priyanka</v>
      </c>
      <c r="K1033" t="str">
        <f>VLOOKUP(tbl_details5[[#This Row],[Order ID]],Table1[],5,FALSE)</f>
        <v>Madhya Pradesh</v>
      </c>
      <c r="L1033" t="str">
        <f>VLOOKUP(tbl_details5[[#This Row],[Order ID]],Table1[],6,FALSE)</f>
        <v>Indore</v>
      </c>
    </row>
    <row r="1034" spans="1:12" x14ac:dyDescent="0.25">
      <c r="A1034" t="s">
        <v>693</v>
      </c>
      <c r="B1034" s="4">
        <v>87</v>
      </c>
      <c r="C1034" s="4">
        <v>32</v>
      </c>
      <c r="D1034" s="5">
        <f>tbl_details5[[#This Row],[Profit]]/tbl_details5[[#This Row],[Revenue]]</f>
        <v>0.36781609195402298</v>
      </c>
      <c r="E1034">
        <v>9</v>
      </c>
      <c r="F1034" t="s">
        <v>885</v>
      </c>
      <c r="G1034" t="s">
        <v>902</v>
      </c>
      <c r="H1034" s="1">
        <f>VLOOKUP(tbl_details5[[#This Row],[Order ID]],Orders!A:F,2,FALSE)</f>
        <v>43478</v>
      </c>
      <c r="I1034" s="1" t="str">
        <f>TEXT(tbl_details5[[#This Row],[Order Date]],"mmm-yy")</f>
        <v>Jan-19</v>
      </c>
      <c r="J1034" t="str">
        <f>VLOOKUP(tbl_details5[[#This Row],[Order ID]],Table1[],4,FALSE)</f>
        <v>Priyanka</v>
      </c>
      <c r="K1034" t="str">
        <f>VLOOKUP(tbl_details5[[#This Row],[Order ID]],Table1[],5,FALSE)</f>
        <v>Madhya Pradesh</v>
      </c>
      <c r="L1034" t="str">
        <f>VLOOKUP(tbl_details5[[#This Row],[Order ID]],Table1[],6,FALSE)</f>
        <v>Indore</v>
      </c>
    </row>
    <row r="1035" spans="1:12" x14ac:dyDescent="0.25">
      <c r="A1035" t="s">
        <v>693</v>
      </c>
      <c r="B1035" s="4">
        <v>935</v>
      </c>
      <c r="C1035" s="4">
        <v>114</v>
      </c>
      <c r="D1035" s="5">
        <f>tbl_details5[[#This Row],[Profit]]/tbl_details5[[#This Row],[Revenue]]</f>
        <v>0.12192513368983957</v>
      </c>
      <c r="E1035">
        <v>4</v>
      </c>
      <c r="F1035" t="s">
        <v>888</v>
      </c>
      <c r="G1035" t="s">
        <v>889</v>
      </c>
      <c r="H1035" s="1">
        <f>VLOOKUP(tbl_details5[[#This Row],[Order ID]],Orders!A:F,2,FALSE)</f>
        <v>43478</v>
      </c>
      <c r="I1035" s="1" t="str">
        <f>TEXT(tbl_details5[[#This Row],[Order Date]],"mmm-yy")</f>
        <v>Jan-19</v>
      </c>
      <c r="J1035" t="str">
        <f>VLOOKUP(tbl_details5[[#This Row],[Order ID]],Table1[],4,FALSE)</f>
        <v>Priyanka</v>
      </c>
      <c r="K1035" t="str">
        <f>VLOOKUP(tbl_details5[[#This Row],[Order ID]],Table1[],5,FALSE)</f>
        <v>Madhya Pradesh</v>
      </c>
      <c r="L1035" t="str">
        <f>VLOOKUP(tbl_details5[[#This Row],[Order ID]],Table1[],6,FALSE)</f>
        <v>Indore</v>
      </c>
    </row>
    <row r="1036" spans="1:12" x14ac:dyDescent="0.25">
      <c r="A1036" t="s">
        <v>693</v>
      </c>
      <c r="B1036" s="4">
        <v>173</v>
      </c>
      <c r="C1036" s="4">
        <v>69</v>
      </c>
      <c r="D1036" s="5">
        <f>tbl_details5[[#This Row],[Profit]]/tbl_details5[[#This Row],[Revenue]]</f>
        <v>0.39884393063583817</v>
      </c>
      <c r="E1036">
        <v>3</v>
      </c>
      <c r="F1036" t="s">
        <v>883</v>
      </c>
      <c r="G1036" t="s">
        <v>893</v>
      </c>
      <c r="H1036" s="1">
        <f>VLOOKUP(tbl_details5[[#This Row],[Order ID]],Orders!A:F,2,FALSE)</f>
        <v>43478</v>
      </c>
      <c r="I1036" s="1" t="str">
        <f>TEXT(tbl_details5[[#This Row],[Order Date]],"mmm-yy")</f>
        <v>Jan-19</v>
      </c>
      <c r="J1036" t="str">
        <f>VLOOKUP(tbl_details5[[#This Row],[Order ID]],Table1[],4,FALSE)</f>
        <v>Priyanka</v>
      </c>
      <c r="K1036" t="str">
        <f>VLOOKUP(tbl_details5[[#This Row],[Order ID]],Table1[],5,FALSE)</f>
        <v>Madhya Pradesh</v>
      </c>
      <c r="L1036" t="str">
        <f>VLOOKUP(tbl_details5[[#This Row],[Order ID]],Table1[],6,FALSE)</f>
        <v>Indore</v>
      </c>
    </row>
    <row r="1037" spans="1:12" x14ac:dyDescent="0.25">
      <c r="A1037" t="s">
        <v>693</v>
      </c>
      <c r="B1037" s="4">
        <v>352</v>
      </c>
      <c r="C1037" s="4">
        <v>18</v>
      </c>
      <c r="D1037" s="5">
        <f>tbl_details5[[#This Row],[Profit]]/tbl_details5[[#This Row],[Revenue]]</f>
        <v>5.113636363636364E-2</v>
      </c>
      <c r="E1037">
        <v>5</v>
      </c>
      <c r="F1037" t="s">
        <v>885</v>
      </c>
      <c r="G1037" t="s">
        <v>892</v>
      </c>
      <c r="H1037" s="1">
        <f>VLOOKUP(tbl_details5[[#This Row],[Order ID]],Orders!A:F,2,FALSE)</f>
        <v>43478</v>
      </c>
      <c r="I1037" s="1" t="str">
        <f>TEXT(tbl_details5[[#This Row],[Order Date]],"mmm-yy")</f>
        <v>Jan-19</v>
      </c>
      <c r="J1037" t="str">
        <f>VLOOKUP(tbl_details5[[#This Row],[Order ID]],Table1[],4,FALSE)</f>
        <v>Priyanka</v>
      </c>
      <c r="K1037" t="str">
        <f>VLOOKUP(tbl_details5[[#This Row],[Order ID]],Table1[],5,FALSE)</f>
        <v>Madhya Pradesh</v>
      </c>
      <c r="L1037" t="str">
        <f>VLOOKUP(tbl_details5[[#This Row],[Order ID]],Table1[],6,FALSE)</f>
        <v>Indore</v>
      </c>
    </row>
    <row r="1038" spans="1:12" x14ac:dyDescent="0.25">
      <c r="A1038" t="s">
        <v>693</v>
      </c>
      <c r="B1038" s="4">
        <v>147</v>
      </c>
      <c r="C1038" s="4">
        <v>48</v>
      </c>
      <c r="D1038" s="5">
        <f>tbl_details5[[#This Row],[Profit]]/tbl_details5[[#This Row],[Revenue]]</f>
        <v>0.32653061224489793</v>
      </c>
      <c r="E1038">
        <v>3</v>
      </c>
      <c r="F1038" t="s">
        <v>885</v>
      </c>
      <c r="G1038" t="s">
        <v>891</v>
      </c>
      <c r="H1038" s="1">
        <f>VLOOKUP(tbl_details5[[#This Row],[Order ID]],Orders!A:F,2,FALSE)</f>
        <v>43478</v>
      </c>
      <c r="I1038" s="1" t="str">
        <f>TEXT(tbl_details5[[#This Row],[Order Date]],"mmm-yy")</f>
        <v>Jan-19</v>
      </c>
      <c r="J1038" t="str">
        <f>VLOOKUP(tbl_details5[[#This Row],[Order ID]],Table1[],4,FALSE)</f>
        <v>Priyanka</v>
      </c>
      <c r="K1038" t="str">
        <f>VLOOKUP(tbl_details5[[#This Row],[Order ID]],Table1[],5,FALSE)</f>
        <v>Madhya Pradesh</v>
      </c>
      <c r="L1038" t="str">
        <f>VLOOKUP(tbl_details5[[#This Row],[Order ID]],Table1[],6,FALSE)</f>
        <v>Indore</v>
      </c>
    </row>
    <row r="1039" spans="1:12" x14ac:dyDescent="0.25">
      <c r="A1039" t="s">
        <v>693</v>
      </c>
      <c r="B1039" s="4">
        <v>44</v>
      </c>
      <c r="C1039" s="4">
        <v>14</v>
      </c>
      <c r="D1039" s="5">
        <f>tbl_details5[[#This Row],[Profit]]/tbl_details5[[#This Row],[Revenue]]</f>
        <v>0.31818181818181818</v>
      </c>
      <c r="E1039">
        <v>3</v>
      </c>
      <c r="F1039" t="s">
        <v>885</v>
      </c>
      <c r="G1039" t="s">
        <v>887</v>
      </c>
      <c r="H1039" s="1">
        <f>VLOOKUP(tbl_details5[[#This Row],[Order ID]],Orders!A:F,2,FALSE)</f>
        <v>43478</v>
      </c>
      <c r="I1039" s="1" t="str">
        <f>TEXT(tbl_details5[[#This Row],[Order Date]],"mmm-yy")</f>
        <v>Jan-19</v>
      </c>
      <c r="J1039" t="str">
        <f>VLOOKUP(tbl_details5[[#This Row],[Order ID]],Table1[],4,FALSE)</f>
        <v>Priyanka</v>
      </c>
      <c r="K1039" t="str">
        <f>VLOOKUP(tbl_details5[[#This Row],[Order ID]],Table1[],5,FALSE)</f>
        <v>Madhya Pradesh</v>
      </c>
      <c r="L1039" t="str">
        <f>VLOOKUP(tbl_details5[[#This Row],[Order ID]],Table1[],6,FALSE)</f>
        <v>Indore</v>
      </c>
    </row>
    <row r="1040" spans="1:12" x14ac:dyDescent="0.25">
      <c r="A1040" t="s">
        <v>694</v>
      </c>
      <c r="B1040" s="4">
        <v>22</v>
      </c>
      <c r="C1040" s="4">
        <v>-8</v>
      </c>
      <c r="D1040" s="5">
        <f>tbl_details5[[#This Row],[Profit]]/tbl_details5[[#This Row],[Revenue]]</f>
        <v>-0.36363636363636365</v>
      </c>
      <c r="E1040">
        <v>4</v>
      </c>
      <c r="F1040" t="s">
        <v>885</v>
      </c>
      <c r="G1040" t="s">
        <v>887</v>
      </c>
      <c r="H1040" s="1">
        <f>VLOOKUP(tbl_details5[[#This Row],[Order ID]],Orders!A:F,2,FALSE)</f>
        <v>43479</v>
      </c>
      <c r="I1040" s="1" t="str">
        <f>TEXT(tbl_details5[[#This Row],[Order Date]],"mmm-yy")</f>
        <v>Jan-19</v>
      </c>
      <c r="J1040" t="str">
        <f>VLOOKUP(tbl_details5[[#This Row],[Order ID]],Table1[],4,FALSE)</f>
        <v>Krutika</v>
      </c>
      <c r="K1040" t="str">
        <f>VLOOKUP(tbl_details5[[#This Row],[Order ID]],Table1[],5,FALSE)</f>
        <v>Andhra Pradesh</v>
      </c>
      <c r="L1040" t="str">
        <f>VLOOKUP(tbl_details5[[#This Row],[Order ID]],Table1[],6,FALSE)</f>
        <v>Hyderabad</v>
      </c>
    </row>
    <row r="1041" spans="1:12" x14ac:dyDescent="0.25">
      <c r="A1041" t="s">
        <v>694</v>
      </c>
      <c r="B1041" s="4">
        <v>188</v>
      </c>
      <c r="C1041" s="4">
        <v>-193</v>
      </c>
      <c r="D1041" s="5">
        <f>tbl_details5[[#This Row],[Profit]]/tbl_details5[[#This Row],[Revenue]]</f>
        <v>-1.0265957446808511</v>
      </c>
      <c r="E1041">
        <v>2</v>
      </c>
      <c r="F1041" t="s">
        <v>888</v>
      </c>
      <c r="G1041" t="s">
        <v>889</v>
      </c>
      <c r="H1041" s="1">
        <f>VLOOKUP(tbl_details5[[#This Row],[Order ID]],Orders!A:F,2,FALSE)</f>
        <v>43479</v>
      </c>
      <c r="I1041" s="1" t="str">
        <f>TEXT(tbl_details5[[#This Row],[Order Date]],"mmm-yy")</f>
        <v>Jan-19</v>
      </c>
      <c r="J1041" t="str">
        <f>VLOOKUP(tbl_details5[[#This Row],[Order ID]],Table1[],4,FALSE)</f>
        <v>Krutika</v>
      </c>
      <c r="K1041" t="str">
        <f>VLOOKUP(tbl_details5[[#This Row],[Order ID]],Table1[],5,FALSE)</f>
        <v>Andhra Pradesh</v>
      </c>
      <c r="L1041" t="str">
        <f>VLOOKUP(tbl_details5[[#This Row],[Order ID]],Table1[],6,FALSE)</f>
        <v>Hyderabad</v>
      </c>
    </row>
    <row r="1042" spans="1:12" x14ac:dyDescent="0.25">
      <c r="A1042" t="s">
        <v>694</v>
      </c>
      <c r="B1042" s="4">
        <v>81</v>
      </c>
      <c r="C1042" s="4">
        <v>41</v>
      </c>
      <c r="D1042" s="5">
        <f>tbl_details5[[#This Row],[Profit]]/tbl_details5[[#This Row],[Revenue]]</f>
        <v>0.50617283950617287</v>
      </c>
      <c r="E1042">
        <v>3</v>
      </c>
      <c r="F1042" t="s">
        <v>885</v>
      </c>
      <c r="G1042" t="s">
        <v>886</v>
      </c>
      <c r="H1042" s="1">
        <f>VLOOKUP(tbl_details5[[#This Row],[Order ID]],Orders!A:F,2,FALSE)</f>
        <v>43479</v>
      </c>
      <c r="I1042" s="1" t="str">
        <f>TEXT(tbl_details5[[#This Row],[Order Date]],"mmm-yy")</f>
        <v>Jan-19</v>
      </c>
      <c r="J1042" t="str">
        <f>VLOOKUP(tbl_details5[[#This Row],[Order ID]],Table1[],4,FALSE)</f>
        <v>Krutika</v>
      </c>
      <c r="K1042" t="str">
        <f>VLOOKUP(tbl_details5[[#This Row],[Order ID]],Table1[],5,FALSE)</f>
        <v>Andhra Pradesh</v>
      </c>
      <c r="L1042" t="str">
        <f>VLOOKUP(tbl_details5[[#This Row],[Order ID]],Table1[],6,FALSE)</f>
        <v>Hyderabad</v>
      </c>
    </row>
    <row r="1043" spans="1:12" x14ac:dyDescent="0.25">
      <c r="A1043" t="s">
        <v>694</v>
      </c>
      <c r="B1043" s="4">
        <v>44</v>
      </c>
      <c r="C1043" s="4">
        <v>2</v>
      </c>
      <c r="D1043" s="5">
        <f>tbl_details5[[#This Row],[Profit]]/tbl_details5[[#This Row],[Revenue]]</f>
        <v>4.5454545454545456E-2</v>
      </c>
      <c r="E1043">
        <v>3</v>
      </c>
      <c r="F1043" t="s">
        <v>885</v>
      </c>
      <c r="G1043" t="s">
        <v>887</v>
      </c>
      <c r="H1043" s="1">
        <f>VLOOKUP(tbl_details5[[#This Row],[Order ID]],Orders!A:F,2,FALSE)</f>
        <v>43479</v>
      </c>
      <c r="I1043" s="1" t="str">
        <f>TEXT(tbl_details5[[#This Row],[Order Date]],"mmm-yy")</f>
        <v>Jan-19</v>
      </c>
      <c r="J1043" t="str">
        <f>VLOOKUP(tbl_details5[[#This Row],[Order ID]],Table1[],4,FALSE)</f>
        <v>Krutika</v>
      </c>
      <c r="K1043" t="str">
        <f>VLOOKUP(tbl_details5[[#This Row],[Order ID]],Table1[],5,FALSE)</f>
        <v>Andhra Pradesh</v>
      </c>
      <c r="L1043" t="str">
        <f>VLOOKUP(tbl_details5[[#This Row],[Order ID]],Table1[],6,FALSE)</f>
        <v>Hyderabad</v>
      </c>
    </row>
    <row r="1044" spans="1:12" x14ac:dyDescent="0.25">
      <c r="A1044" t="s">
        <v>694</v>
      </c>
      <c r="B1044" s="4">
        <v>116</v>
      </c>
      <c r="C1044" s="4">
        <v>22</v>
      </c>
      <c r="D1044" s="5">
        <f>tbl_details5[[#This Row],[Profit]]/tbl_details5[[#This Row],[Revenue]]</f>
        <v>0.18965517241379309</v>
      </c>
      <c r="E1044">
        <v>1</v>
      </c>
      <c r="F1044" t="s">
        <v>888</v>
      </c>
      <c r="G1044" t="s">
        <v>900</v>
      </c>
      <c r="H1044" s="1">
        <f>VLOOKUP(tbl_details5[[#This Row],[Order ID]],Orders!A:F,2,FALSE)</f>
        <v>43479</v>
      </c>
      <c r="I1044" s="1" t="str">
        <f>TEXT(tbl_details5[[#This Row],[Order Date]],"mmm-yy")</f>
        <v>Jan-19</v>
      </c>
      <c r="J1044" t="str">
        <f>VLOOKUP(tbl_details5[[#This Row],[Order ID]],Table1[],4,FALSE)</f>
        <v>Krutika</v>
      </c>
      <c r="K1044" t="str">
        <f>VLOOKUP(tbl_details5[[#This Row],[Order ID]],Table1[],5,FALSE)</f>
        <v>Andhra Pradesh</v>
      </c>
      <c r="L1044" t="str">
        <f>VLOOKUP(tbl_details5[[#This Row],[Order ID]],Table1[],6,FALSE)</f>
        <v>Hyderabad</v>
      </c>
    </row>
    <row r="1045" spans="1:12" x14ac:dyDescent="0.25">
      <c r="A1045" t="s">
        <v>694</v>
      </c>
      <c r="B1045" s="4">
        <v>67</v>
      </c>
      <c r="C1045" s="4">
        <v>20</v>
      </c>
      <c r="D1045" s="5">
        <f>tbl_details5[[#This Row],[Profit]]/tbl_details5[[#This Row],[Revenue]]</f>
        <v>0.29850746268656714</v>
      </c>
      <c r="E1045">
        <v>4</v>
      </c>
      <c r="F1045" t="s">
        <v>885</v>
      </c>
      <c r="G1045" t="s">
        <v>895</v>
      </c>
      <c r="H1045" s="1">
        <f>VLOOKUP(tbl_details5[[#This Row],[Order ID]],Orders!A:F,2,FALSE)</f>
        <v>43479</v>
      </c>
      <c r="I1045" s="1" t="str">
        <f>TEXT(tbl_details5[[#This Row],[Order Date]],"mmm-yy")</f>
        <v>Jan-19</v>
      </c>
      <c r="J1045" t="str">
        <f>VLOOKUP(tbl_details5[[#This Row],[Order ID]],Table1[],4,FALSE)</f>
        <v>Krutika</v>
      </c>
      <c r="K1045" t="str">
        <f>VLOOKUP(tbl_details5[[#This Row],[Order ID]],Table1[],5,FALSE)</f>
        <v>Andhra Pradesh</v>
      </c>
      <c r="L1045" t="str">
        <f>VLOOKUP(tbl_details5[[#This Row],[Order ID]],Table1[],6,FALSE)</f>
        <v>Hyderabad</v>
      </c>
    </row>
    <row r="1046" spans="1:12" x14ac:dyDescent="0.25">
      <c r="A1046" t="s">
        <v>694</v>
      </c>
      <c r="B1046" s="4">
        <v>744</v>
      </c>
      <c r="C1046" s="4">
        <v>119</v>
      </c>
      <c r="D1046" s="5">
        <f>tbl_details5[[#This Row],[Profit]]/tbl_details5[[#This Row],[Revenue]]</f>
        <v>0.15994623655913978</v>
      </c>
      <c r="E1046">
        <v>6</v>
      </c>
      <c r="F1046" t="s">
        <v>888</v>
      </c>
      <c r="G1046" t="s">
        <v>899</v>
      </c>
      <c r="H1046" s="1">
        <f>VLOOKUP(tbl_details5[[#This Row],[Order ID]],Orders!A:F,2,FALSE)</f>
        <v>43479</v>
      </c>
      <c r="I1046" s="1" t="str">
        <f>TEXT(tbl_details5[[#This Row],[Order Date]],"mmm-yy")</f>
        <v>Jan-19</v>
      </c>
      <c r="J1046" t="str">
        <f>VLOOKUP(tbl_details5[[#This Row],[Order ID]],Table1[],4,FALSE)</f>
        <v>Krutika</v>
      </c>
      <c r="K1046" t="str">
        <f>VLOOKUP(tbl_details5[[#This Row],[Order ID]],Table1[],5,FALSE)</f>
        <v>Andhra Pradesh</v>
      </c>
      <c r="L1046" t="str">
        <f>VLOOKUP(tbl_details5[[#This Row],[Order ID]],Table1[],6,FALSE)</f>
        <v>Hyderabad</v>
      </c>
    </row>
    <row r="1047" spans="1:12" x14ac:dyDescent="0.25">
      <c r="A1047" t="s">
        <v>694</v>
      </c>
      <c r="B1047" s="4">
        <v>1218</v>
      </c>
      <c r="C1047" s="4">
        <v>352</v>
      </c>
      <c r="D1047" s="5">
        <f>tbl_details5[[#This Row],[Profit]]/tbl_details5[[#This Row],[Revenue]]</f>
        <v>0.28899835796387519</v>
      </c>
      <c r="E1047">
        <v>9</v>
      </c>
      <c r="F1047" t="s">
        <v>883</v>
      </c>
      <c r="G1047" t="s">
        <v>884</v>
      </c>
      <c r="H1047" s="1">
        <f>VLOOKUP(tbl_details5[[#This Row],[Order ID]],Orders!A:F,2,FALSE)</f>
        <v>43479</v>
      </c>
      <c r="I1047" s="1" t="str">
        <f>TEXT(tbl_details5[[#This Row],[Order Date]],"mmm-yy")</f>
        <v>Jan-19</v>
      </c>
      <c r="J1047" t="str">
        <f>VLOOKUP(tbl_details5[[#This Row],[Order ID]],Table1[],4,FALSE)</f>
        <v>Krutika</v>
      </c>
      <c r="K1047" t="str">
        <f>VLOOKUP(tbl_details5[[#This Row],[Order ID]],Table1[],5,FALSE)</f>
        <v>Andhra Pradesh</v>
      </c>
      <c r="L1047" t="str">
        <f>VLOOKUP(tbl_details5[[#This Row],[Order ID]],Table1[],6,FALSE)</f>
        <v>Hyderabad</v>
      </c>
    </row>
    <row r="1048" spans="1:12" x14ac:dyDescent="0.25">
      <c r="A1048" t="s">
        <v>694</v>
      </c>
      <c r="B1048" s="4">
        <v>87</v>
      </c>
      <c r="C1048" s="4">
        <v>36</v>
      </c>
      <c r="D1048" s="5">
        <f>tbl_details5[[#This Row],[Profit]]/tbl_details5[[#This Row],[Revenue]]</f>
        <v>0.41379310344827586</v>
      </c>
      <c r="E1048">
        <v>5</v>
      </c>
      <c r="F1048" t="s">
        <v>885</v>
      </c>
      <c r="G1048" t="s">
        <v>886</v>
      </c>
      <c r="H1048" s="1">
        <f>VLOOKUP(tbl_details5[[#This Row],[Order ID]],Orders!A:F,2,FALSE)</f>
        <v>43479</v>
      </c>
      <c r="I1048" s="1" t="str">
        <f>TEXT(tbl_details5[[#This Row],[Order Date]],"mmm-yy")</f>
        <v>Jan-19</v>
      </c>
      <c r="J1048" t="str">
        <f>VLOOKUP(tbl_details5[[#This Row],[Order ID]],Table1[],4,FALSE)</f>
        <v>Krutika</v>
      </c>
      <c r="K1048" t="str">
        <f>VLOOKUP(tbl_details5[[#This Row],[Order ID]],Table1[],5,FALSE)</f>
        <v>Andhra Pradesh</v>
      </c>
      <c r="L1048" t="str">
        <f>VLOOKUP(tbl_details5[[#This Row],[Order ID]],Table1[],6,FALSE)</f>
        <v>Hyderabad</v>
      </c>
    </row>
    <row r="1049" spans="1:12" x14ac:dyDescent="0.25">
      <c r="A1049" t="s">
        <v>695</v>
      </c>
      <c r="B1049" s="4">
        <v>891</v>
      </c>
      <c r="C1049" s="4">
        <v>0</v>
      </c>
      <c r="D1049" s="5">
        <f>tbl_details5[[#This Row],[Profit]]/tbl_details5[[#This Row],[Revenue]]</f>
        <v>0</v>
      </c>
      <c r="E1049">
        <v>5</v>
      </c>
      <c r="F1049" t="s">
        <v>885</v>
      </c>
      <c r="G1049" t="s">
        <v>891</v>
      </c>
      <c r="H1049" s="1">
        <f>VLOOKUP(tbl_details5[[#This Row],[Order ID]],Orders!A:F,2,FALSE)</f>
        <v>43479</v>
      </c>
      <c r="I1049" s="1" t="str">
        <f>TEXT(tbl_details5[[#This Row],[Order Date]],"mmm-yy")</f>
        <v>Jan-19</v>
      </c>
      <c r="J1049" t="str">
        <f>VLOOKUP(tbl_details5[[#This Row],[Order ID]],Table1[],4,FALSE)</f>
        <v>Trupti</v>
      </c>
      <c r="K1049" t="str">
        <f>VLOOKUP(tbl_details5[[#This Row],[Order ID]],Table1[],5,FALSE)</f>
        <v>Gujarat</v>
      </c>
      <c r="L1049" t="str">
        <f>VLOOKUP(tbl_details5[[#This Row],[Order ID]],Table1[],6,FALSE)</f>
        <v>Ahmedabad</v>
      </c>
    </row>
    <row r="1050" spans="1:12" x14ac:dyDescent="0.25">
      <c r="A1050" t="s">
        <v>695</v>
      </c>
      <c r="B1050" s="4">
        <v>146</v>
      </c>
      <c r="C1050" s="4">
        <v>66</v>
      </c>
      <c r="D1050" s="5">
        <f>tbl_details5[[#This Row],[Profit]]/tbl_details5[[#This Row],[Revenue]]</f>
        <v>0.45205479452054792</v>
      </c>
      <c r="E1050">
        <v>1</v>
      </c>
      <c r="F1050" t="s">
        <v>888</v>
      </c>
      <c r="G1050" t="s">
        <v>890</v>
      </c>
      <c r="H1050" s="1">
        <f>VLOOKUP(tbl_details5[[#This Row],[Order ID]],Orders!A:F,2,FALSE)</f>
        <v>43479</v>
      </c>
      <c r="I1050" s="1" t="str">
        <f>TEXT(tbl_details5[[#This Row],[Order Date]],"mmm-yy")</f>
        <v>Jan-19</v>
      </c>
      <c r="J1050" t="str">
        <f>VLOOKUP(tbl_details5[[#This Row],[Order ID]],Table1[],4,FALSE)</f>
        <v>Trupti</v>
      </c>
      <c r="K1050" t="str">
        <f>VLOOKUP(tbl_details5[[#This Row],[Order ID]],Table1[],5,FALSE)</f>
        <v>Gujarat</v>
      </c>
      <c r="L1050" t="str">
        <f>VLOOKUP(tbl_details5[[#This Row],[Order ID]],Table1[],6,FALSE)</f>
        <v>Ahmedabad</v>
      </c>
    </row>
    <row r="1051" spans="1:12" x14ac:dyDescent="0.25">
      <c r="A1051" t="s">
        <v>695</v>
      </c>
      <c r="B1051" s="4">
        <v>44</v>
      </c>
      <c r="C1051" s="4">
        <v>10</v>
      </c>
      <c r="D1051" s="5">
        <f>tbl_details5[[#This Row],[Profit]]/tbl_details5[[#This Row],[Revenue]]</f>
        <v>0.22727272727272727</v>
      </c>
      <c r="E1051">
        <v>3</v>
      </c>
      <c r="F1051" t="s">
        <v>885</v>
      </c>
      <c r="G1051" t="s">
        <v>886</v>
      </c>
      <c r="H1051" s="1">
        <f>VLOOKUP(tbl_details5[[#This Row],[Order ID]],Orders!A:F,2,FALSE)</f>
        <v>43479</v>
      </c>
      <c r="I1051" s="1" t="str">
        <f>TEXT(tbl_details5[[#This Row],[Order Date]],"mmm-yy")</f>
        <v>Jan-19</v>
      </c>
      <c r="J1051" t="str">
        <f>VLOOKUP(tbl_details5[[#This Row],[Order ID]],Table1[],4,FALSE)</f>
        <v>Trupti</v>
      </c>
      <c r="K1051" t="str">
        <f>VLOOKUP(tbl_details5[[#This Row],[Order ID]],Table1[],5,FALSE)</f>
        <v>Gujarat</v>
      </c>
      <c r="L1051" t="str">
        <f>VLOOKUP(tbl_details5[[#This Row],[Order ID]],Table1[],6,FALSE)</f>
        <v>Ahmedabad</v>
      </c>
    </row>
    <row r="1052" spans="1:12" x14ac:dyDescent="0.25">
      <c r="A1052" t="s">
        <v>695</v>
      </c>
      <c r="B1052" s="4">
        <v>27</v>
      </c>
      <c r="C1052" s="4">
        <v>0</v>
      </c>
      <c r="D1052" s="5">
        <f>tbl_details5[[#This Row],[Profit]]/tbl_details5[[#This Row],[Revenue]]</f>
        <v>0</v>
      </c>
      <c r="E1052">
        <v>2</v>
      </c>
      <c r="F1052" t="s">
        <v>885</v>
      </c>
      <c r="G1052" t="s">
        <v>897</v>
      </c>
      <c r="H1052" s="1">
        <f>VLOOKUP(tbl_details5[[#This Row],[Order ID]],Orders!A:F,2,FALSE)</f>
        <v>43479</v>
      </c>
      <c r="I1052" s="1" t="str">
        <f>TEXT(tbl_details5[[#This Row],[Order Date]],"mmm-yy")</f>
        <v>Jan-19</v>
      </c>
      <c r="J1052" t="str">
        <f>VLOOKUP(tbl_details5[[#This Row],[Order ID]],Table1[],4,FALSE)</f>
        <v>Trupti</v>
      </c>
      <c r="K1052" t="str">
        <f>VLOOKUP(tbl_details5[[#This Row],[Order ID]],Table1[],5,FALSE)</f>
        <v>Gujarat</v>
      </c>
      <c r="L1052" t="str">
        <f>VLOOKUP(tbl_details5[[#This Row],[Order ID]],Table1[],6,FALSE)</f>
        <v>Ahmedabad</v>
      </c>
    </row>
    <row r="1053" spans="1:12" x14ac:dyDescent="0.25">
      <c r="A1053" t="s">
        <v>695</v>
      </c>
      <c r="B1053" s="4">
        <v>48</v>
      </c>
      <c r="C1053" s="4">
        <v>11</v>
      </c>
      <c r="D1053" s="5">
        <f>tbl_details5[[#This Row],[Profit]]/tbl_details5[[#This Row],[Revenue]]</f>
        <v>0.22916666666666666</v>
      </c>
      <c r="E1053">
        <v>2</v>
      </c>
      <c r="F1053" t="s">
        <v>885</v>
      </c>
      <c r="G1053" t="s">
        <v>896</v>
      </c>
      <c r="H1053" s="1">
        <f>VLOOKUP(tbl_details5[[#This Row],[Order ID]],Orders!A:F,2,FALSE)</f>
        <v>43479</v>
      </c>
      <c r="I1053" s="1" t="str">
        <f>TEXT(tbl_details5[[#This Row],[Order Date]],"mmm-yy")</f>
        <v>Jan-19</v>
      </c>
      <c r="J1053" t="str">
        <f>VLOOKUP(tbl_details5[[#This Row],[Order ID]],Table1[],4,FALSE)</f>
        <v>Trupti</v>
      </c>
      <c r="K1053" t="str">
        <f>VLOOKUP(tbl_details5[[#This Row],[Order ID]],Table1[],5,FALSE)</f>
        <v>Gujarat</v>
      </c>
      <c r="L1053" t="str">
        <f>VLOOKUP(tbl_details5[[#This Row],[Order ID]],Table1[],6,FALSE)</f>
        <v>Ahmedabad</v>
      </c>
    </row>
    <row r="1054" spans="1:12" x14ac:dyDescent="0.25">
      <c r="A1054" t="s">
        <v>695</v>
      </c>
      <c r="B1054" s="4">
        <v>189</v>
      </c>
      <c r="C1054" s="4">
        <v>60</v>
      </c>
      <c r="D1054" s="5">
        <f>tbl_details5[[#This Row],[Profit]]/tbl_details5[[#This Row],[Revenue]]</f>
        <v>0.31746031746031744</v>
      </c>
      <c r="E1054">
        <v>4</v>
      </c>
      <c r="F1054" t="s">
        <v>883</v>
      </c>
      <c r="G1054" t="s">
        <v>901</v>
      </c>
      <c r="H1054" s="1">
        <f>VLOOKUP(tbl_details5[[#This Row],[Order ID]],Orders!A:F,2,FALSE)</f>
        <v>43479</v>
      </c>
      <c r="I1054" s="1" t="str">
        <f>TEXT(tbl_details5[[#This Row],[Order Date]],"mmm-yy")</f>
        <v>Jan-19</v>
      </c>
      <c r="J1054" t="str">
        <f>VLOOKUP(tbl_details5[[#This Row],[Order ID]],Table1[],4,FALSE)</f>
        <v>Trupti</v>
      </c>
      <c r="K1054" t="str">
        <f>VLOOKUP(tbl_details5[[#This Row],[Order ID]],Table1[],5,FALSE)</f>
        <v>Gujarat</v>
      </c>
      <c r="L1054" t="str">
        <f>VLOOKUP(tbl_details5[[#This Row],[Order ID]],Table1[],6,FALSE)</f>
        <v>Ahmedabad</v>
      </c>
    </row>
    <row r="1055" spans="1:12" x14ac:dyDescent="0.25">
      <c r="A1055" t="s">
        <v>695</v>
      </c>
      <c r="B1055" s="4">
        <v>524</v>
      </c>
      <c r="C1055" s="4">
        <v>-25</v>
      </c>
      <c r="D1055" s="5">
        <f>tbl_details5[[#This Row],[Profit]]/tbl_details5[[#This Row],[Revenue]]</f>
        <v>-4.7709923664122141E-2</v>
      </c>
      <c r="E1055">
        <v>2</v>
      </c>
      <c r="F1055" t="s">
        <v>888</v>
      </c>
      <c r="G1055" t="s">
        <v>889</v>
      </c>
      <c r="H1055" s="1">
        <f>VLOOKUP(tbl_details5[[#This Row],[Order ID]],Orders!A:F,2,FALSE)</f>
        <v>43479</v>
      </c>
      <c r="I1055" s="1" t="str">
        <f>TEXT(tbl_details5[[#This Row],[Order Date]],"mmm-yy")</f>
        <v>Jan-19</v>
      </c>
      <c r="J1055" t="str">
        <f>VLOOKUP(tbl_details5[[#This Row],[Order ID]],Table1[],4,FALSE)</f>
        <v>Trupti</v>
      </c>
      <c r="K1055" t="str">
        <f>VLOOKUP(tbl_details5[[#This Row],[Order ID]],Table1[],5,FALSE)</f>
        <v>Gujarat</v>
      </c>
      <c r="L1055" t="str">
        <f>VLOOKUP(tbl_details5[[#This Row],[Order ID]],Table1[],6,FALSE)</f>
        <v>Ahmedabad</v>
      </c>
    </row>
    <row r="1056" spans="1:12" x14ac:dyDescent="0.25">
      <c r="A1056" t="s">
        <v>695</v>
      </c>
      <c r="B1056" s="4">
        <v>148</v>
      </c>
      <c r="C1056" s="4">
        <v>9</v>
      </c>
      <c r="D1056" s="5">
        <f>tbl_details5[[#This Row],[Profit]]/tbl_details5[[#This Row],[Revenue]]</f>
        <v>6.0810810810810814E-2</v>
      </c>
      <c r="E1056">
        <v>1</v>
      </c>
      <c r="F1056" t="s">
        <v>888</v>
      </c>
      <c r="G1056" t="s">
        <v>889</v>
      </c>
      <c r="H1056" s="1">
        <f>VLOOKUP(tbl_details5[[#This Row],[Order ID]],Orders!A:F,2,FALSE)</f>
        <v>43479</v>
      </c>
      <c r="I1056" s="1" t="str">
        <f>TEXT(tbl_details5[[#This Row],[Order Date]],"mmm-yy")</f>
        <v>Jan-19</v>
      </c>
      <c r="J1056" t="str">
        <f>VLOOKUP(tbl_details5[[#This Row],[Order ID]],Table1[],4,FALSE)</f>
        <v>Trupti</v>
      </c>
      <c r="K1056" t="str">
        <f>VLOOKUP(tbl_details5[[#This Row],[Order ID]],Table1[],5,FALSE)</f>
        <v>Gujarat</v>
      </c>
      <c r="L1056" t="str">
        <f>VLOOKUP(tbl_details5[[#This Row],[Order ID]],Table1[],6,FALSE)</f>
        <v>Ahmedabad</v>
      </c>
    </row>
    <row r="1057" spans="1:12" x14ac:dyDescent="0.25">
      <c r="A1057" t="s">
        <v>697</v>
      </c>
      <c r="B1057" s="4">
        <v>1716</v>
      </c>
      <c r="C1057" s="4">
        <v>309</v>
      </c>
      <c r="D1057" s="5">
        <f>tbl_details5[[#This Row],[Profit]]/tbl_details5[[#This Row],[Revenue]]</f>
        <v>0.18006993006993008</v>
      </c>
      <c r="E1057">
        <v>7</v>
      </c>
      <c r="F1057" t="s">
        <v>888</v>
      </c>
      <c r="G1057" t="s">
        <v>900</v>
      </c>
      <c r="H1057" s="1">
        <f>VLOOKUP(tbl_details5[[#This Row],[Order ID]],Orders!A:F,2,FALSE)</f>
        <v>43481</v>
      </c>
      <c r="I1057" s="1" t="str">
        <f>TEXT(tbl_details5[[#This Row],[Order Date]],"mmm-yy")</f>
        <v>Jan-19</v>
      </c>
      <c r="J1057" t="str">
        <f>VLOOKUP(tbl_details5[[#This Row],[Order ID]],Table1[],4,FALSE)</f>
        <v>Soumya</v>
      </c>
      <c r="K1057" t="str">
        <f>VLOOKUP(tbl_details5[[#This Row],[Order ID]],Table1[],5,FALSE)</f>
        <v>Maharashtra</v>
      </c>
      <c r="L1057" t="str">
        <f>VLOOKUP(tbl_details5[[#This Row],[Order ID]],Table1[],6,FALSE)</f>
        <v>Pune</v>
      </c>
    </row>
    <row r="1058" spans="1:12" x14ac:dyDescent="0.25">
      <c r="A1058" t="s">
        <v>697</v>
      </c>
      <c r="B1058" s="4">
        <v>45</v>
      </c>
      <c r="C1058" s="4">
        <v>8</v>
      </c>
      <c r="D1058" s="5">
        <f>tbl_details5[[#This Row],[Profit]]/tbl_details5[[#This Row],[Revenue]]</f>
        <v>0.17777777777777778</v>
      </c>
      <c r="E1058">
        <v>4</v>
      </c>
      <c r="F1058" t="s">
        <v>885</v>
      </c>
      <c r="G1058" t="s">
        <v>902</v>
      </c>
      <c r="H1058" s="1">
        <f>VLOOKUP(tbl_details5[[#This Row],[Order ID]],Orders!A:F,2,FALSE)</f>
        <v>43481</v>
      </c>
      <c r="I1058" s="1" t="str">
        <f>TEXT(tbl_details5[[#This Row],[Order Date]],"mmm-yy")</f>
        <v>Jan-19</v>
      </c>
      <c r="J1058" t="str">
        <f>VLOOKUP(tbl_details5[[#This Row],[Order ID]],Table1[],4,FALSE)</f>
        <v>Soumya</v>
      </c>
      <c r="K1058" t="str">
        <f>VLOOKUP(tbl_details5[[#This Row],[Order ID]],Table1[],5,FALSE)</f>
        <v>Maharashtra</v>
      </c>
      <c r="L1058" t="str">
        <f>VLOOKUP(tbl_details5[[#This Row],[Order ID]],Table1[],6,FALSE)</f>
        <v>Pune</v>
      </c>
    </row>
    <row r="1059" spans="1:12" x14ac:dyDescent="0.25">
      <c r="A1059" t="s">
        <v>697</v>
      </c>
      <c r="B1059" s="4">
        <v>39</v>
      </c>
      <c r="C1059" s="4">
        <v>2</v>
      </c>
      <c r="D1059" s="5">
        <f>tbl_details5[[#This Row],[Profit]]/tbl_details5[[#This Row],[Revenue]]</f>
        <v>5.128205128205128E-2</v>
      </c>
      <c r="E1059">
        <v>2</v>
      </c>
      <c r="F1059" t="s">
        <v>885</v>
      </c>
      <c r="G1059" t="s">
        <v>891</v>
      </c>
      <c r="H1059" s="1">
        <f>VLOOKUP(tbl_details5[[#This Row],[Order ID]],Orders!A:F,2,FALSE)</f>
        <v>43481</v>
      </c>
      <c r="I1059" s="1" t="str">
        <f>TEXT(tbl_details5[[#This Row],[Order Date]],"mmm-yy")</f>
        <v>Jan-19</v>
      </c>
      <c r="J1059" t="str">
        <f>VLOOKUP(tbl_details5[[#This Row],[Order ID]],Table1[],4,FALSE)</f>
        <v>Soumya</v>
      </c>
      <c r="K1059" t="str">
        <f>VLOOKUP(tbl_details5[[#This Row],[Order ID]],Table1[],5,FALSE)</f>
        <v>Maharashtra</v>
      </c>
      <c r="L1059" t="str">
        <f>VLOOKUP(tbl_details5[[#This Row],[Order ID]],Table1[],6,FALSE)</f>
        <v>Pune</v>
      </c>
    </row>
    <row r="1060" spans="1:12" x14ac:dyDescent="0.25">
      <c r="A1060" t="s">
        <v>697</v>
      </c>
      <c r="B1060" s="4">
        <v>110</v>
      </c>
      <c r="C1060" s="4">
        <v>20</v>
      </c>
      <c r="D1060" s="5">
        <f>tbl_details5[[#This Row],[Profit]]/tbl_details5[[#This Row],[Revenue]]</f>
        <v>0.18181818181818182</v>
      </c>
      <c r="E1060">
        <v>5</v>
      </c>
      <c r="F1060" t="s">
        <v>885</v>
      </c>
      <c r="G1060" t="s">
        <v>886</v>
      </c>
      <c r="H1060" s="1">
        <f>VLOOKUP(tbl_details5[[#This Row],[Order ID]],Orders!A:F,2,FALSE)</f>
        <v>43481</v>
      </c>
      <c r="I1060" s="1" t="str">
        <f>TEXT(tbl_details5[[#This Row],[Order Date]],"mmm-yy")</f>
        <v>Jan-19</v>
      </c>
      <c r="J1060" t="str">
        <f>VLOOKUP(tbl_details5[[#This Row],[Order ID]],Table1[],4,FALSE)</f>
        <v>Soumya</v>
      </c>
      <c r="K1060" t="str">
        <f>VLOOKUP(tbl_details5[[#This Row],[Order ID]],Table1[],5,FALSE)</f>
        <v>Maharashtra</v>
      </c>
      <c r="L1060" t="str">
        <f>VLOOKUP(tbl_details5[[#This Row],[Order ID]],Table1[],6,FALSE)</f>
        <v>Pune</v>
      </c>
    </row>
    <row r="1061" spans="1:12" x14ac:dyDescent="0.25">
      <c r="A1061" t="s">
        <v>697</v>
      </c>
      <c r="B1061" s="4">
        <v>54</v>
      </c>
      <c r="C1061" s="4">
        <v>14</v>
      </c>
      <c r="D1061" s="5">
        <f>tbl_details5[[#This Row],[Profit]]/tbl_details5[[#This Row],[Revenue]]</f>
        <v>0.25925925925925924</v>
      </c>
      <c r="E1061">
        <v>3</v>
      </c>
      <c r="F1061" t="s">
        <v>885</v>
      </c>
      <c r="G1061" t="s">
        <v>895</v>
      </c>
      <c r="H1061" s="1">
        <f>VLOOKUP(tbl_details5[[#This Row],[Order ID]],Orders!A:F,2,FALSE)</f>
        <v>43481</v>
      </c>
      <c r="I1061" s="1" t="str">
        <f>TEXT(tbl_details5[[#This Row],[Order Date]],"mmm-yy")</f>
        <v>Jan-19</v>
      </c>
      <c r="J1061" t="str">
        <f>VLOOKUP(tbl_details5[[#This Row],[Order ID]],Table1[],4,FALSE)</f>
        <v>Soumya</v>
      </c>
      <c r="K1061" t="str">
        <f>VLOOKUP(tbl_details5[[#This Row],[Order ID]],Table1[],5,FALSE)</f>
        <v>Maharashtra</v>
      </c>
      <c r="L1061" t="str">
        <f>VLOOKUP(tbl_details5[[#This Row],[Order ID]],Table1[],6,FALSE)</f>
        <v>Pune</v>
      </c>
    </row>
    <row r="1062" spans="1:12" x14ac:dyDescent="0.25">
      <c r="A1062" t="s">
        <v>697</v>
      </c>
      <c r="B1062" s="4">
        <v>954</v>
      </c>
      <c r="C1062" s="4">
        <v>95</v>
      </c>
      <c r="D1062" s="5">
        <f>tbl_details5[[#This Row],[Profit]]/tbl_details5[[#This Row],[Revenue]]</f>
        <v>9.9580712788259959E-2</v>
      </c>
      <c r="E1062">
        <v>3</v>
      </c>
      <c r="F1062" t="s">
        <v>888</v>
      </c>
      <c r="G1062" t="s">
        <v>899</v>
      </c>
      <c r="H1062" s="1">
        <f>VLOOKUP(tbl_details5[[#This Row],[Order ID]],Orders!A:F,2,FALSE)</f>
        <v>43481</v>
      </c>
      <c r="I1062" s="1" t="str">
        <f>TEXT(tbl_details5[[#This Row],[Order Date]],"mmm-yy")</f>
        <v>Jan-19</v>
      </c>
      <c r="J1062" t="str">
        <f>VLOOKUP(tbl_details5[[#This Row],[Order ID]],Table1[],4,FALSE)</f>
        <v>Soumya</v>
      </c>
      <c r="K1062" t="str">
        <f>VLOOKUP(tbl_details5[[#This Row],[Order ID]],Table1[],5,FALSE)</f>
        <v>Maharashtra</v>
      </c>
      <c r="L1062" t="str">
        <f>VLOOKUP(tbl_details5[[#This Row],[Order ID]],Table1[],6,FALSE)</f>
        <v>Pune</v>
      </c>
    </row>
    <row r="1063" spans="1:12" x14ac:dyDescent="0.25">
      <c r="A1063" t="s">
        <v>697</v>
      </c>
      <c r="B1063" s="4">
        <v>2927</v>
      </c>
      <c r="C1063" s="4">
        <v>146</v>
      </c>
      <c r="D1063" s="5">
        <f>tbl_details5[[#This Row],[Profit]]/tbl_details5[[#This Row],[Revenue]]</f>
        <v>4.9880423641954219E-2</v>
      </c>
      <c r="E1063">
        <v>8</v>
      </c>
      <c r="F1063" t="s">
        <v>883</v>
      </c>
      <c r="G1063" t="s">
        <v>884</v>
      </c>
      <c r="H1063" s="1">
        <f>VLOOKUP(tbl_details5[[#This Row],[Order ID]],Orders!A:F,2,FALSE)</f>
        <v>43481</v>
      </c>
      <c r="I1063" s="1" t="str">
        <f>TEXT(tbl_details5[[#This Row],[Order Date]],"mmm-yy")</f>
        <v>Jan-19</v>
      </c>
      <c r="J1063" t="str">
        <f>VLOOKUP(tbl_details5[[#This Row],[Order ID]],Table1[],4,FALSE)</f>
        <v>Soumya</v>
      </c>
      <c r="K1063" t="str">
        <f>VLOOKUP(tbl_details5[[#This Row],[Order ID]],Table1[],5,FALSE)</f>
        <v>Maharashtra</v>
      </c>
      <c r="L1063" t="str">
        <f>VLOOKUP(tbl_details5[[#This Row],[Order ID]],Table1[],6,FALSE)</f>
        <v>Pune</v>
      </c>
    </row>
    <row r="1064" spans="1:12" x14ac:dyDescent="0.25">
      <c r="A1064" t="s">
        <v>697</v>
      </c>
      <c r="B1064" s="4">
        <v>294</v>
      </c>
      <c r="C1064" s="4">
        <v>62</v>
      </c>
      <c r="D1064" s="5">
        <f>tbl_details5[[#This Row],[Profit]]/tbl_details5[[#This Row],[Revenue]]</f>
        <v>0.21088435374149661</v>
      </c>
      <c r="E1064">
        <v>9</v>
      </c>
      <c r="F1064" t="s">
        <v>885</v>
      </c>
      <c r="G1064" t="s">
        <v>895</v>
      </c>
      <c r="H1064" s="1">
        <f>VLOOKUP(tbl_details5[[#This Row],[Order ID]],Orders!A:F,2,FALSE)</f>
        <v>43481</v>
      </c>
      <c r="I1064" s="1" t="str">
        <f>TEXT(tbl_details5[[#This Row],[Order Date]],"mmm-yy")</f>
        <v>Jan-19</v>
      </c>
      <c r="J1064" t="str">
        <f>VLOOKUP(tbl_details5[[#This Row],[Order ID]],Table1[],4,FALSE)</f>
        <v>Soumya</v>
      </c>
      <c r="K1064" t="str">
        <f>VLOOKUP(tbl_details5[[#This Row],[Order ID]],Table1[],5,FALSE)</f>
        <v>Maharashtra</v>
      </c>
      <c r="L1064" t="str">
        <f>VLOOKUP(tbl_details5[[#This Row],[Order ID]],Table1[],6,FALSE)</f>
        <v>Pune</v>
      </c>
    </row>
    <row r="1065" spans="1:12" x14ac:dyDescent="0.25">
      <c r="A1065" t="s">
        <v>697</v>
      </c>
      <c r="B1065" s="4">
        <v>200</v>
      </c>
      <c r="C1065" s="4">
        <v>13</v>
      </c>
      <c r="D1065" s="5">
        <f>tbl_details5[[#This Row],[Profit]]/tbl_details5[[#This Row],[Revenue]]</f>
        <v>6.5000000000000002E-2</v>
      </c>
      <c r="E1065">
        <v>5</v>
      </c>
      <c r="F1065" t="s">
        <v>888</v>
      </c>
      <c r="G1065" t="s">
        <v>890</v>
      </c>
      <c r="H1065" s="1">
        <f>VLOOKUP(tbl_details5[[#This Row],[Order ID]],Orders!A:F,2,FALSE)</f>
        <v>43481</v>
      </c>
      <c r="I1065" s="1" t="str">
        <f>TEXT(tbl_details5[[#This Row],[Order Date]],"mmm-yy")</f>
        <v>Jan-19</v>
      </c>
      <c r="J1065" t="str">
        <f>VLOOKUP(tbl_details5[[#This Row],[Order ID]],Table1[],4,FALSE)</f>
        <v>Soumya</v>
      </c>
      <c r="K1065" t="str">
        <f>VLOOKUP(tbl_details5[[#This Row],[Order ID]],Table1[],5,FALSE)</f>
        <v>Maharashtra</v>
      </c>
      <c r="L1065" t="str">
        <f>VLOOKUP(tbl_details5[[#This Row],[Order ID]],Table1[],6,FALSE)</f>
        <v>Pune</v>
      </c>
    </row>
    <row r="1066" spans="1:12" x14ac:dyDescent="0.25">
      <c r="A1066" t="s">
        <v>698</v>
      </c>
      <c r="B1066" s="4">
        <v>89</v>
      </c>
      <c r="C1066" s="4">
        <v>-37</v>
      </c>
      <c r="D1066" s="5">
        <f>tbl_details5[[#This Row],[Profit]]/tbl_details5[[#This Row],[Revenue]]</f>
        <v>-0.4157303370786517</v>
      </c>
      <c r="E1066">
        <v>4</v>
      </c>
      <c r="F1066" t="s">
        <v>885</v>
      </c>
      <c r="G1066" t="s">
        <v>896</v>
      </c>
      <c r="H1066" s="1">
        <f>VLOOKUP(tbl_details5[[#This Row],[Order ID]],Orders!A:F,2,FALSE)</f>
        <v>43482</v>
      </c>
      <c r="I1066" s="1" t="str">
        <f>TEXT(tbl_details5[[#This Row],[Order Date]],"mmm-yy")</f>
        <v>Jan-19</v>
      </c>
      <c r="J1066" t="str">
        <f>VLOOKUP(tbl_details5[[#This Row],[Order ID]],Table1[],4,FALSE)</f>
        <v>Shreya</v>
      </c>
      <c r="K1066" t="str">
        <f>VLOOKUP(tbl_details5[[#This Row],[Order ID]],Table1[],5,FALSE)</f>
        <v>Maharashtra</v>
      </c>
      <c r="L1066" t="str">
        <f>VLOOKUP(tbl_details5[[#This Row],[Order ID]],Table1[],6,FALSE)</f>
        <v>Mumbai</v>
      </c>
    </row>
    <row r="1067" spans="1:12" x14ac:dyDescent="0.25">
      <c r="A1067" t="s">
        <v>698</v>
      </c>
      <c r="B1067" s="4">
        <v>59</v>
      </c>
      <c r="C1067" s="4">
        <v>10</v>
      </c>
      <c r="D1067" s="5">
        <f>tbl_details5[[#This Row],[Profit]]/tbl_details5[[#This Row],[Revenue]]</f>
        <v>0.16949152542372881</v>
      </c>
      <c r="E1067">
        <v>2</v>
      </c>
      <c r="F1067" t="s">
        <v>885</v>
      </c>
      <c r="G1067" t="s">
        <v>887</v>
      </c>
      <c r="H1067" s="1">
        <f>VLOOKUP(tbl_details5[[#This Row],[Order ID]],Orders!A:F,2,FALSE)</f>
        <v>43482</v>
      </c>
      <c r="I1067" s="1" t="str">
        <f>TEXT(tbl_details5[[#This Row],[Order Date]],"mmm-yy")</f>
        <v>Jan-19</v>
      </c>
      <c r="J1067" t="str">
        <f>VLOOKUP(tbl_details5[[#This Row],[Order ID]],Table1[],4,FALSE)</f>
        <v>Shreya</v>
      </c>
      <c r="K1067" t="str">
        <f>VLOOKUP(tbl_details5[[#This Row],[Order ID]],Table1[],5,FALSE)</f>
        <v>Maharashtra</v>
      </c>
      <c r="L1067" t="str">
        <f>VLOOKUP(tbl_details5[[#This Row],[Order ID]],Table1[],6,FALSE)</f>
        <v>Mumbai</v>
      </c>
    </row>
    <row r="1068" spans="1:12" x14ac:dyDescent="0.25">
      <c r="A1068" t="s">
        <v>698</v>
      </c>
      <c r="B1068" s="4">
        <v>33</v>
      </c>
      <c r="C1068" s="4">
        <v>10</v>
      </c>
      <c r="D1068" s="5">
        <f>tbl_details5[[#This Row],[Profit]]/tbl_details5[[#This Row],[Revenue]]</f>
        <v>0.30303030303030304</v>
      </c>
      <c r="E1068">
        <v>3</v>
      </c>
      <c r="F1068" t="s">
        <v>885</v>
      </c>
      <c r="G1068" t="s">
        <v>887</v>
      </c>
      <c r="H1068" s="1">
        <f>VLOOKUP(tbl_details5[[#This Row],[Order ID]],Orders!A:F,2,FALSE)</f>
        <v>43482</v>
      </c>
      <c r="I1068" s="1" t="str">
        <f>TEXT(tbl_details5[[#This Row],[Order Date]],"mmm-yy")</f>
        <v>Jan-19</v>
      </c>
      <c r="J1068" t="str">
        <f>VLOOKUP(tbl_details5[[#This Row],[Order ID]],Table1[],4,FALSE)</f>
        <v>Shreya</v>
      </c>
      <c r="K1068" t="str">
        <f>VLOOKUP(tbl_details5[[#This Row],[Order ID]],Table1[],5,FALSE)</f>
        <v>Maharashtra</v>
      </c>
      <c r="L1068" t="str">
        <f>VLOOKUP(tbl_details5[[#This Row],[Order ID]],Table1[],6,FALSE)</f>
        <v>Mumbai</v>
      </c>
    </row>
    <row r="1069" spans="1:12" x14ac:dyDescent="0.25">
      <c r="A1069" t="s">
        <v>698</v>
      </c>
      <c r="B1069" s="4">
        <v>474</v>
      </c>
      <c r="C1069" s="4">
        <v>56</v>
      </c>
      <c r="D1069" s="5">
        <f>tbl_details5[[#This Row],[Profit]]/tbl_details5[[#This Row],[Revenue]]</f>
        <v>0.11814345991561181</v>
      </c>
      <c r="E1069">
        <v>4</v>
      </c>
      <c r="F1069" t="s">
        <v>888</v>
      </c>
      <c r="G1069" t="s">
        <v>890</v>
      </c>
      <c r="H1069" s="1">
        <f>VLOOKUP(tbl_details5[[#This Row],[Order ID]],Orders!A:F,2,FALSE)</f>
        <v>43482</v>
      </c>
      <c r="I1069" s="1" t="str">
        <f>TEXT(tbl_details5[[#This Row],[Order Date]],"mmm-yy")</f>
        <v>Jan-19</v>
      </c>
      <c r="J1069" t="str">
        <f>VLOOKUP(tbl_details5[[#This Row],[Order ID]],Table1[],4,FALSE)</f>
        <v>Shreya</v>
      </c>
      <c r="K1069" t="str">
        <f>VLOOKUP(tbl_details5[[#This Row],[Order ID]],Table1[],5,FALSE)</f>
        <v>Maharashtra</v>
      </c>
      <c r="L1069" t="str">
        <f>VLOOKUP(tbl_details5[[#This Row],[Order ID]],Table1[],6,FALSE)</f>
        <v>Mumbai</v>
      </c>
    </row>
    <row r="1070" spans="1:12" x14ac:dyDescent="0.25">
      <c r="A1070" t="s">
        <v>698</v>
      </c>
      <c r="B1070" s="4">
        <v>140</v>
      </c>
      <c r="C1070" s="4">
        <v>28</v>
      </c>
      <c r="D1070" s="5">
        <f>tbl_details5[[#This Row],[Profit]]/tbl_details5[[#This Row],[Revenue]]</f>
        <v>0.2</v>
      </c>
      <c r="E1070">
        <v>2</v>
      </c>
      <c r="F1070" t="s">
        <v>888</v>
      </c>
      <c r="G1070" t="s">
        <v>890</v>
      </c>
      <c r="H1070" s="1">
        <f>VLOOKUP(tbl_details5[[#This Row],[Order ID]],Orders!A:F,2,FALSE)</f>
        <v>43482</v>
      </c>
      <c r="I1070" s="1" t="str">
        <f>TEXT(tbl_details5[[#This Row],[Order Date]],"mmm-yy")</f>
        <v>Jan-19</v>
      </c>
      <c r="J1070" t="str">
        <f>VLOOKUP(tbl_details5[[#This Row],[Order ID]],Table1[],4,FALSE)</f>
        <v>Shreya</v>
      </c>
      <c r="K1070" t="str">
        <f>VLOOKUP(tbl_details5[[#This Row],[Order ID]],Table1[],5,FALSE)</f>
        <v>Maharashtra</v>
      </c>
      <c r="L1070" t="str">
        <f>VLOOKUP(tbl_details5[[#This Row],[Order ID]],Table1[],6,FALSE)</f>
        <v>Mumbai</v>
      </c>
    </row>
    <row r="1071" spans="1:12" x14ac:dyDescent="0.25">
      <c r="A1071" t="s">
        <v>699</v>
      </c>
      <c r="B1071" s="4">
        <v>147</v>
      </c>
      <c r="C1071" s="4">
        <v>73</v>
      </c>
      <c r="D1071" s="5">
        <f>tbl_details5[[#This Row],[Profit]]/tbl_details5[[#This Row],[Revenue]]</f>
        <v>0.49659863945578231</v>
      </c>
      <c r="E1071">
        <v>3</v>
      </c>
      <c r="F1071" t="s">
        <v>885</v>
      </c>
      <c r="G1071" t="s">
        <v>886</v>
      </c>
      <c r="H1071" s="1">
        <f>VLOOKUP(tbl_details5[[#This Row],[Order ID]],Orders!A:F,2,FALSE)</f>
        <v>43483</v>
      </c>
      <c r="I1071" s="1" t="str">
        <f>TEXT(tbl_details5[[#This Row],[Order Date]],"mmm-yy")</f>
        <v>Jan-19</v>
      </c>
      <c r="J1071" t="str">
        <f>VLOOKUP(tbl_details5[[#This Row],[Order ID]],Table1[],4,FALSE)</f>
        <v>Mahima</v>
      </c>
      <c r="K1071" t="str">
        <f>VLOOKUP(tbl_details5[[#This Row],[Order ID]],Table1[],5,FALSE)</f>
        <v>Madhya Pradesh</v>
      </c>
      <c r="L1071" t="str">
        <f>VLOOKUP(tbl_details5[[#This Row],[Order ID]],Table1[],6,FALSE)</f>
        <v>Indore</v>
      </c>
    </row>
    <row r="1072" spans="1:12" x14ac:dyDescent="0.25">
      <c r="A1072" t="s">
        <v>699</v>
      </c>
      <c r="B1072" s="4">
        <v>16</v>
      </c>
      <c r="C1072" s="4">
        <v>2</v>
      </c>
      <c r="D1072" s="5">
        <f>tbl_details5[[#This Row],[Profit]]/tbl_details5[[#This Row],[Revenue]]</f>
        <v>0.125</v>
      </c>
      <c r="E1072">
        <v>1</v>
      </c>
      <c r="F1072" t="s">
        <v>885</v>
      </c>
      <c r="G1072" t="s">
        <v>891</v>
      </c>
      <c r="H1072" s="1">
        <f>VLOOKUP(tbl_details5[[#This Row],[Order ID]],Orders!A:F,2,FALSE)</f>
        <v>43483</v>
      </c>
      <c r="I1072" s="1" t="str">
        <f>TEXT(tbl_details5[[#This Row],[Order Date]],"mmm-yy")</f>
        <v>Jan-19</v>
      </c>
      <c r="J1072" t="str">
        <f>VLOOKUP(tbl_details5[[#This Row],[Order ID]],Table1[],4,FALSE)</f>
        <v>Mahima</v>
      </c>
      <c r="K1072" t="str">
        <f>VLOOKUP(tbl_details5[[#This Row],[Order ID]],Table1[],5,FALSE)</f>
        <v>Madhya Pradesh</v>
      </c>
      <c r="L1072" t="str">
        <f>VLOOKUP(tbl_details5[[#This Row],[Order ID]],Table1[],6,FALSE)</f>
        <v>Indore</v>
      </c>
    </row>
    <row r="1073" spans="1:12" x14ac:dyDescent="0.25">
      <c r="A1073" t="s">
        <v>699</v>
      </c>
      <c r="B1073" s="4">
        <v>1157</v>
      </c>
      <c r="C1073" s="4">
        <v>-13</v>
      </c>
      <c r="D1073" s="5">
        <f>tbl_details5[[#This Row],[Profit]]/tbl_details5[[#This Row],[Revenue]]</f>
        <v>-1.1235955056179775E-2</v>
      </c>
      <c r="E1073">
        <v>9</v>
      </c>
      <c r="F1073" t="s">
        <v>883</v>
      </c>
      <c r="G1073" t="s">
        <v>884</v>
      </c>
      <c r="H1073" s="1">
        <f>VLOOKUP(tbl_details5[[#This Row],[Order ID]],Orders!A:F,2,FALSE)</f>
        <v>43483</v>
      </c>
      <c r="I1073" s="1" t="str">
        <f>TEXT(tbl_details5[[#This Row],[Order Date]],"mmm-yy")</f>
        <v>Jan-19</v>
      </c>
      <c r="J1073" t="str">
        <f>VLOOKUP(tbl_details5[[#This Row],[Order ID]],Table1[],4,FALSE)</f>
        <v>Mahima</v>
      </c>
      <c r="K1073" t="str">
        <f>VLOOKUP(tbl_details5[[#This Row],[Order ID]],Table1[],5,FALSE)</f>
        <v>Madhya Pradesh</v>
      </c>
      <c r="L1073" t="str">
        <f>VLOOKUP(tbl_details5[[#This Row],[Order ID]],Table1[],6,FALSE)</f>
        <v>Indore</v>
      </c>
    </row>
    <row r="1074" spans="1:12" x14ac:dyDescent="0.25">
      <c r="A1074" t="s">
        <v>700</v>
      </c>
      <c r="B1074" s="4">
        <v>105</v>
      </c>
      <c r="C1074" s="4">
        <v>25</v>
      </c>
      <c r="D1074" s="5">
        <f>tbl_details5[[#This Row],[Profit]]/tbl_details5[[#This Row],[Revenue]]</f>
        <v>0.23809523809523808</v>
      </c>
      <c r="E1074">
        <v>2</v>
      </c>
      <c r="F1074" t="s">
        <v>885</v>
      </c>
      <c r="G1074" t="s">
        <v>887</v>
      </c>
      <c r="H1074" s="1">
        <f>VLOOKUP(tbl_details5[[#This Row],[Order ID]],Orders!A:F,2,FALSE)</f>
        <v>43483</v>
      </c>
      <c r="I1074" s="1" t="str">
        <f>TEXT(tbl_details5[[#This Row],[Order Date]],"mmm-yy")</f>
        <v>Jan-19</v>
      </c>
      <c r="J1074" t="str">
        <f>VLOOKUP(tbl_details5[[#This Row],[Order ID]],Table1[],4,FALSE)</f>
        <v>Aparajita</v>
      </c>
      <c r="K1074" t="str">
        <f>VLOOKUP(tbl_details5[[#This Row],[Order ID]],Table1[],5,FALSE)</f>
        <v>West Bengal</v>
      </c>
      <c r="L1074" t="str">
        <f>VLOOKUP(tbl_details5[[#This Row],[Order ID]],Table1[],6,FALSE)</f>
        <v>Kolkata</v>
      </c>
    </row>
    <row r="1075" spans="1:12" x14ac:dyDescent="0.25">
      <c r="A1075" t="s">
        <v>700</v>
      </c>
      <c r="B1075" s="4">
        <v>360</v>
      </c>
      <c r="C1075" s="4">
        <v>32</v>
      </c>
      <c r="D1075" s="5">
        <f>tbl_details5[[#This Row],[Profit]]/tbl_details5[[#This Row],[Revenue]]</f>
        <v>8.8888888888888892E-2</v>
      </c>
      <c r="E1075">
        <v>3</v>
      </c>
      <c r="F1075" t="s">
        <v>885</v>
      </c>
      <c r="G1075" t="s">
        <v>891</v>
      </c>
      <c r="H1075" s="1">
        <f>VLOOKUP(tbl_details5[[#This Row],[Order ID]],Orders!A:F,2,FALSE)</f>
        <v>43483</v>
      </c>
      <c r="I1075" s="1" t="str">
        <f>TEXT(tbl_details5[[#This Row],[Order Date]],"mmm-yy")</f>
        <v>Jan-19</v>
      </c>
      <c r="J1075" t="str">
        <f>VLOOKUP(tbl_details5[[#This Row],[Order ID]],Table1[],4,FALSE)</f>
        <v>Aparajita</v>
      </c>
      <c r="K1075" t="str">
        <f>VLOOKUP(tbl_details5[[#This Row],[Order ID]],Table1[],5,FALSE)</f>
        <v>West Bengal</v>
      </c>
      <c r="L1075" t="str">
        <f>VLOOKUP(tbl_details5[[#This Row],[Order ID]],Table1[],6,FALSE)</f>
        <v>Kolkata</v>
      </c>
    </row>
    <row r="1076" spans="1:12" x14ac:dyDescent="0.25">
      <c r="A1076" t="s">
        <v>702</v>
      </c>
      <c r="B1076" s="4">
        <v>252</v>
      </c>
      <c r="C1076" s="4">
        <v>56</v>
      </c>
      <c r="D1076" s="5">
        <f>tbl_details5[[#This Row],[Profit]]/tbl_details5[[#This Row],[Revenue]]</f>
        <v>0.22222222222222221</v>
      </c>
      <c r="E1076">
        <v>2</v>
      </c>
      <c r="F1076" t="s">
        <v>888</v>
      </c>
      <c r="G1076" t="s">
        <v>890</v>
      </c>
      <c r="H1076" s="1">
        <f>VLOOKUP(tbl_details5[[#This Row],[Order ID]],Orders!A:F,2,FALSE)</f>
        <v>43483</v>
      </c>
      <c r="I1076" s="1" t="str">
        <f>TEXT(tbl_details5[[#This Row],[Order Date]],"mmm-yy")</f>
        <v>Jan-19</v>
      </c>
      <c r="J1076" t="str">
        <f>VLOOKUP(tbl_details5[[#This Row],[Order ID]],Table1[],4,FALSE)</f>
        <v>Muskan</v>
      </c>
      <c r="K1076" t="str">
        <f>VLOOKUP(tbl_details5[[#This Row],[Order ID]],Table1[],5,FALSE)</f>
        <v>Madhya Pradesh</v>
      </c>
      <c r="L1076" t="str">
        <f>VLOOKUP(tbl_details5[[#This Row],[Order ID]],Table1[],6,FALSE)</f>
        <v>Indore</v>
      </c>
    </row>
    <row r="1077" spans="1:12" x14ac:dyDescent="0.25">
      <c r="A1077" t="s">
        <v>702</v>
      </c>
      <c r="B1077" s="4">
        <v>681</v>
      </c>
      <c r="C1077" s="4">
        <v>259</v>
      </c>
      <c r="D1077" s="5">
        <f>tbl_details5[[#This Row],[Profit]]/tbl_details5[[#This Row],[Revenue]]</f>
        <v>0.38032305433186492</v>
      </c>
      <c r="E1077">
        <v>4</v>
      </c>
      <c r="F1077" t="s">
        <v>883</v>
      </c>
      <c r="G1077" t="s">
        <v>893</v>
      </c>
      <c r="H1077" s="1">
        <f>VLOOKUP(tbl_details5[[#This Row],[Order ID]],Orders!A:F,2,FALSE)</f>
        <v>43483</v>
      </c>
      <c r="I1077" s="1" t="str">
        <f>TEXT(tbl_details5[[#This Row],[Order Date]],"mmm-yy")</f>
        <v>Jan-19</v>
      </c>
      <c r="J1077" t="str">
        <f>VLOOKUP(tbl_details5[[#This Row],[Order ID]],Table1[],4,FALSE)</f>
        <v>Muskan</v>
      </c>
      <c r="K1077" t="str">
        <f>VLOOKUP(tbl_details5[[#This Row],[Order ID]],Table1[],5,FALSE)</f>
        <v>Madhya Pradesh</v>
      </c>
      <c r="L1077" t="str">
        <f>VLOOKUP(tbl_details5[[#This Row],[Order ID]],Table1[],6,FALSE)</f>
        <v>Indore</v>
      </c>
    </row>
    <row r="1078" spans="1:12" x14ac:dyDescent="0.25">
      <c r="A1078" t="s">
        <v>702</v>
      </c>
      <c r="B1078" s="4">
        <v>32</v>
      </c>
      <c r="C1078" s="4">
        <v>2</v>
      </c>
      <c r="D1078" s="5">
        <f>tbl_details5[[#This Row],[Profit]]/tbl_details5[[#This Row],[Revenue]]</f>
        <v>6.25E-2</v>
      </c>
      <c r="E1078">
        <v>2</v>
      </c>
      <c r="F1078" t="s">
        <v>885</v>
      </c>
      <c r="G1078" t="s">
        <v>894</v>
      </c>
      <c r="H1078" s="1">
        <f>VLOOKUP(tbl_details5[[#This Row],[Order ID]],Orders!A:F,2,FALSE)</f>
        <v>43483</v>
      </c>
      <c r="I1078" s="1" t="str">
        <f>TEXT(tbl_details5[[#This Row],[Order Date]],"mmm-yy")</f>
        <v>Jan-19</v>
      </c>
      <c r="J1078" t="str">
        <f>VLOOKUP(tbl_details5[[#This Row],[Order ID]],Table1[],4,FALSE)</f>
        <v>Muskan</v>
      </c>
      <c r="K1078" t="str">
        <f>VLOOKUP(tbl_details5[[#This Row],[Order ID]],Table1[],5,FALSE)</f>
        <v>Madhya Pradesh</v>
      </c>
      <c r="L1078" t="str">
        <f>VLOOKUP(tbl_details5[[#This Row],[Order ID]],Table1[],6,FALSE)</f>
        <v>Indore</v>
      </c>
    </row>
    <row r="1079" spans="1:12" x14ac:dyDescent="0.25">
      <c r="A1079" t="s">
        <v>702</v>
      </c>
      <c r="B1079" s="4">
        <v>132</v>
      </c>
      <c r="C1079" s="4">
        <v>49</v>
      </c>
      <c r="D1079" s="5">
        <f>tbl_details5[[#This Row],[Profit]]/tbl_details5[[#This Row],[Revenue]]</f>
        <v>0.37121212121212122</v>
      </c>
      <c r="E1079">
        <v>3</v>
      </c>
      <c r="F1079" t="s">
        <v>885</v>
      </c>
      <c r="G1079" t="s">
        <v>896</v>
      </c>
      <c r="H1079" s="1">
        <f>VLOOKUP(tbl_details5[[#This Row],[Order ID]],Orders!A:F,2,FALSE)</f>
        <v>43483</v>
      </c>
      <c r="I1079" s="1" t="str">
        <f>TEXT(tbl_details5[[#This Row],[Order Date]],"mmm-yy")</f>
        <v>Jan-19</v>
      </c>
      <c r="J1079" t="str">
        <f>VLOOKUP(tbl_details5[[#This Row],[Order ID]],Table1[],4,FALSE)</f>
        <v>Muskan</v>
      </c>
      <c r="K1079" t="str">
        <f>VLOOKUP(tbl_details5[[#This Row],[Order ID]],Table1[],5,FALSE)</f>
        <v>Madhya Pradesh</v>
      </c>
      <c r="L1079" t="str">
        <f>VLOOKUP(tbl_details5[[#This Row],[Order ID]],Table1[],6,FALSE)</f>
        <v>Indore</v>
      </c>
    </row>
    <row r="1080" spans="1:12" x14ac:dyDescent="0.25">
      <c r="A1080" t="s">
        <v>702</v>
      </c>
      <c r="B1080" s="4">
        <v>637</v>
      </c>
      <c r="C1080" s="4">
        <v>212</v>
      </c>
      <c r="D1080" s="5">
        <f>tbl_details5[[#This Row],[Profit]]/tbl_details5[[#This Row],[Revenue]]</f>
        <v>0.3328100470957614</v>
      </c>
      <c r="E1080">
        <v>8</v>
      </c>
      <c r="F1080" t="s">
        <v>888</v>
      </c>
      <c r="G1080" t="s">
        <v>890</v>
      </c>
      <c r="H1080" s="1">
        <f>VLOOKUP(tbl_details5[[#This Row],[Order ID]],Orders!A:F,2,FALSE)</f>
        <v>43483</v>
      </c>
      <c r="I1080" s="1" t="str">
        <f>TEXT(tbl_details5[[#This Row],[Order Date]],"mmm-yy")</f>
        <v>Jan-19</v>
      </c>
      <c r="J1080" t="str">
        <f>VLOOKUP(tbl_details5[[#This Row],[Order ID]],Table1[],4,FALSE)</f>
        <v>Muskan</v>
      </c>
      <c r="K1080" t="str">
        <f>VLOOKUP(tbl_details5[[#This Row],[Order ID]],Table1[],5,FALSE)</f>
        <v>Madhya Pradesh</v>
      </c>
      <c r="L1080" t="str">
        <f>VLOOKUP(tbl_details5[[#This Row],[Order ID]],Table1[],6,FALSE)</f>
        <v>Indore</v>
      </c>
    </row>
    <row r="1081" spans="1:12" x14ac:dyDescent="0.25">
      <c r="A1081" t="s">
        <v>702</v>
      </c>
      <c r="B1081" s="4">
        <v>429</v>
      </c>
      <c r="C1081" s="4">
        <v>17</v>
      </c>
      <c r="D1081" s="5">
        <f>tbl_details5[[#This Row],[Profit]]/tbl_details5[[#This Row],[Revenue]]</f>
        <v>3.9627039627039624E-2</v>
      </c>
      <c r="E1081">
        <v>3</v>
      </c>
      <c r="F1081" t="s">
        <v>883</v>
      </c>
      <c r="G1081" t="s">
        <v>893</v>
      </c>
      <c r="H1081" s="1">
        <f>VLOOKUP(tbl_details5[[#This Row],[Order ID]],Orders!A:F,2,FALSE)</f>
        <v>43483</v>
      </c>
      <c r="I1081" s="1" t="str">
        <f>TEXT(tbl_details5[[#This Row],[Order Date]],"mmm-yy")</f>
        <v>Jan-19</v>
      </c>
      <c r="J1081" t="str">
        <f>VLOOKUP(tbl_details5[[#This Row],[Order ID]],Table1[],4,FALSE)</f>
        <v>Muskan</v>
      </c>
      <c r="K1081" t="str">
        <f>VLOOKUP(tbl_details5[[#This Row],[Order ID]],Table1[],5,FALSE)</f>
        <v>Madhya Pradesh</v>
      </c>
      <c r="L1081" t="str">
        <f>VLOOKUP(tbl_details5[[#This Row],[Order ID]],Table1[],6,FALSE)</f>
        <v>Indore</v>
      </c>
    </row>
    <row r="1082" spans="1:12" x14ac:dyDescent="0.25">
      <c r="A1082" t="s">
        <v>702</v>
      </c>
      <c r="B1082" s="4">
        <v>82</v>
      </c>
      <c r="C1082" s="4">
        <v>24</v>
      </c>
      <c r="D1082" s="5">
        <f>tbl_details5[[#This Row],[Profit]]/tbl_details5[[#This Row],[Revenue]]</f>
        <v>0.29268292682926828</v>
      </c>
      <c r="E1082">
        <v>6</v>
      </c>
      <c r="F1082" t="s">
        <v>885</v>
      </c>
      <c r="G1082" t="s">
        <v>887</v>
      </c>
      <c r="H1082" s="1">
        <f>VLOOKUP(tbl_details5[[#This Row],[Order ID]],Orders!A:F,2,FALSE)</f>
        <v>43483</v>
      </c>
      <c r="I1082" s="1" t="str">
        <f>TEXT(tbl_details5[[#This Row],[Order Date]],"mmm-yy")</f>
        <v>Jan-19</v>
      </c>
      <c r="J1082" t="str">
        <f>VLOOKUP(tbl_details5[[#This Row],[Order ID]],Table1[],4,FALSE)</f>
        <v>Muskan</v>
      </c>
      <c r="K1082" t="str">
        <f>VLOOKUP(tbl_details5[[#This Row],[Order ID]],Table1[],5,FALSE)</f>
        <v>Madhya Pradesh</v>
      </c>
      <c r="L1082" t="str">
        <f>VLOOKUP(tbl_details5[[#This Row],[Order ID]],Table1[],6,FALSE)</f>
        <v>Indore</v>
      </c>
    </row>
    <row r="1083" spans="1:12" x14ac:dyDescent="0.25">
      <c r="A1083" t="s">
        <v>702</v>
      </c>
      <c r="B1083" s="4">
        <v>23</v>
      </c>
      <c r="C1083" s="4">
        <v>8</v>
      </c>
      <c r="D1083" s="5">
        <f>tbl_details5[[#This Row],[Profit]]/tbl_details5[[#This Row],[Revenue]]</f>
        <v>0.34782608695652173</v>
      </c>
      <c r="E1083">
        <v>2</v>
      </c>
      <c r="F1083" t="s">
        <v>885</v>
      </c>
      <c r="G1083" t="s">
        <v>887</v>
      </c>
      <c r="H1083" s="1">
        <f>VLOOKUP(tbl_details5[[#This Row],[Order ID]],Orders!A:F,2,FALSE)</f>
        <v>43483</v>
      </c>
      <c r="I1083" s="1" t="str">
        <f>TEXT(tbl_details5[[#This Row],[Order Date]],"mmm-yy")</f>
        <v>Jan-19</v>
      </c>
      <c r="J1083" t="str">
        <f>VLOOKUP(tbl_details5[[#This Row],[Order ID]],Table1[],4,FALSE)</f>
        <v>Muskan</v>
      </c>
      <c r="K1083" t="str">
        <f>VLOOKUP(tbl_details5[[#This Row],[Order ID]],Table1[],5,FALSE)</f>
        <v>Madhya Pradesh</v>
      </c>
      <c r="L1083" t="str">
        <f>VLOOKUP(tbl_details5[[#This Row],[Order ID]],Table1[],6,FALSE)</f>
        <v>Indore</v>
      </c>
    </row>
    <row r="1084" spans="1:12" x14ac:dyDescent="0.25">
      <c r="A1084" t="s">
        <v>704</v>
      </c>
      <c r="B1084" s="4">
        <v>171</v>
      </c>
      <c r="C1084" s="4">
        <v>-140</v>
      </c>
      <c r="D1084" s="5">
        <f>tbl_details5[[#This Row],[Profit]]/tbl_details5[[#This Row],[Revenue]]</f>
        <v>-0.81871345029239762</v>
      </c>
      <c r="E1084">
        <v>2</v>
      </c>
      <c r="F1084" t="s">
        <v>883</v>
      </c>
      <c r="G1084" t="s">
        <v>884</v>
      </c>
      <c r="H1084" s="1">
        <f>VLOOKUP(tbl_details5[[#This Row],[Order ID]],Orders!A:F,2,FALSE)</f>
        <v>43483</v>
      </c>
      <c r="I1084" s="1" t="str">
        <f>TEXT(tbl_details5[[#This Row],[Order Date]],"mmm-yy")</f>
        <v>Jan-19</v>
      </c>
      <c r="J1084" t="str">
        <f>VLOOKUP(tbl_details5[[#This Row],[Order ID]],Table1[],4,FALSE)</f>
        <v>Shreya</v>
      </c>
      <c r="K1084" t="str">
        <f>VLOOKUP(tbl_details5[[#This Row],[Order ID]],Table1[],5,FALSE)</f>
        <v>Andhra Pradesh</v>
      </c>
      <c r="L1084" t="str">
        <f>VLOOKUP(tbl_details5[[#This Row],[Order ID]],Table1[],6,FALSE)</f>
        <v>Hyderabad</v>
      </c>
    </row>
    <row r="1085" spans="1:12" x14ac:dyDescent="0.25">
      <c r="A1085" t="s">
        <v>705</v>
      </c>
      <c r="B1085" s="4">
        <v>34</v>
      </c>
      <c r="C1085" s="4">
        <v>-12</v>
      </c>
      <c r="D1085" s="5">
        <f>tbl_details5[[#This Row],[Profit]]/tbl_details5[[#This Row],[Revenue]]</f>
        <v>-0.35294117647058826</v>
      </c>
      <c r="E1085">
        <v>5</v>
      </c>
      <c r="F1085" t="s">
        <v>885</v>
      </c>
      <c r="G1085" t="s">
        <v>897</v>
      </c>
      <c r="H1085" s="1">
        <f>VLOOKUP(tbl_details5[[#This Row],[Order ID]],Orders!A:F,2,FALSE)</f>
        <v>43483</v>
      </c>
      <c r="I1085" s="1" t="str">
        <f>TEXT(tbl_details5[[#This Row],[Order Date]],"mmm-yy")</f>
        <v>Jan-19</v>
      </c>
      <c r="J1085" t="str">
        <f>VLOOKUP(tbl_details5[[#This Row],[Order ID]],Table1[],4,FALSE)</f>
        <v>Surbhi</v>
      </c>
      <c r="K1085" t="str">
        <f>VLOOKUP(tbl_details5[[#This Row],[Order ID]],Table1[],5,FALSE)</f>
        <v>Gujarat</v>
      </c>
      <c r="L1085" t="str">
        <f>VLOOKUP(tbl_details5[[#This Row],[Order ID]],Table1[],6,FALSE)</f>
        <v>Ahmedabad</v>
      </c>
    </row>
    <row r="1086" spans="1:12" x14ac:dyDescent="0.25">
      <c r="A1086" t="s">
        <v>705</v>
      </c>
      <c r="B1086" s="4">
        <v>366</v>
      </c>
      <c r="C1086" s="4">
        <v>84</v>
      </c>
      <c r="D1086" s="5">
        <f>tbl_details5[[#This Row],[Profit]]/tbl_details5[[#This Row],[Revenue]]</f>
        <v>0.22950819672131148</v>
      </c>
      <c r="E1086">
        <v>3</v>
      </c>
      <c r="F1086" t="s">
        <v>883</v>
      </c>
      <c r="G1086" t="s">
        <v>884</v>
      </c>
      <c r="H1086" s="1">
        <f>VLOOKUP(tbl_details5[[#This Row],[Order ID]],Orders!A:F,2,FALSE)</f>
        <v>43483</v>
      </c>
      <c r="I1086" s="1" t="str">
        <f>TEXT(tbl_details5[[#This Row],[Order Date]],"mmm-yy")</f>
        <v>Jan-19</v>
      </c>
      <c r="J1086" t="str">
        <f>VLOOKUP(tbl_details5[[#This Row],[Order ID]],Table1[],4,FALSE)</f>
        <v>Surbhi</v>
      </c>
      <c r="K1086" t="str">
        <f>VLOOKUP(tbl_details5[[#This Row],[Order ID]],Table1[],5,FALSE)</f>
        <v>Gujarat</v>
      </c>
      <c r="L1086" t="str">
        <f>VLOOKUP(tbl_details5[[#This Row],[Order ID]],Table1[],6,FALSE)</f>
        <v>Ahmedabad</v>
      </c>
    </row>
    <row r="1087" spans="1:12" x14ac:dyDescent="0.25">
      <c r="A1087" t="s">
        <v>705</v>
      </c>
      <c r="B1087" s="4">
        <v>26</v>
      </c>
      <c r="C1087" s="4">
        <v>3</v>
      </c>
      <c r="D1087" s="5">
        <f>tbl_details5[[#This Row],[Profit]]/tbl_details5[[#This Row],[Revenue]]</f>
        <v>0.11538461538461539</v>
      </c>
      <c r="E1087">
        <v>3</v>
      </c>
      <c r="F1087" t="s">
        <v>885</v>
      </c>
      <c r="G1087" t="s">
        <v>902</v>
      </c>
      <c r="H1087" s="1">
        <f>VLOOKUP(tbl_details5[[#This Row],[Order ID]],Orders!A:F,2,FALSE)</f>
        <v>43483</v>
      </c>
      <c r="I1087" s="1" t="str">
        <f>TEXT(tbl_details5[[#This Row],[Order Date]],"mmm-yy")</f>
        <v>Jan-19</v>
      </c>
      <c r="J1087" t="str">
        <f>VLOOKUP(tbl_details5[[#This Row],[Order ID]],Table1[],4,FALSE)</f>
        <v>Surbhi</v>
      </c>
      <c r="K1087" t="str">
        <f>VLOOKUP(tbl_details5[[#This Row],[Order ID]],Table1[],5,FALSE)</f>
        <v>Gujarat</v>
      </c>
      <c r="L1087" t="str">
        <f>VLOOKUP(tbl_details5[[#This Row],[Order ID]],Table1[],6,FALSE)</f>
        <v>Ahmedabad</v>
      </c>
    </row>
    <row r="1088" spans="1:12" x14ac:dyDescent="0.25">
      <c r="A1088" t="s">
        <v>705</v>
      </c>
      <c r="B1088" s="4">
        <v>446</v>
      </c>
      <c r="C1088" s="4">
        <v>53</v>
      </c>
      <c r="D1088" s="5">
        <f>tbl_details5[[#This Row],[Profit]]/tbl_details5[[#This Row],[Revenue]]</f>
        <v>0.11883408071748879</v>
      </c>
      <c r="E1088">
        <v>3</v>
      </c>
      <c r="F1088" t="s">
        <v>888</v>
      </c>
      <c r="G1088" t="s">
        <v>899</v>
      </c>
      <c r="H1088" s="1">
        <f>VLOOKUP(tbl_details5[[#This Row],[Order ID]],Orders!A:F,2,FALSE)</f>
        <v>43483</v>
      </c>
      <c r="I1088" s="1" t="str">
        <f>TEXT(tbl_details5[[#This Row],[Order Date]],"mmm-yy")</f>
        <v>Jan-19</v>
      </c>
      <c r="J1088" t="str">
        <f>VLOOKUP(tbl_details5[[#This Row],[Order ID]],Table1[],4,FALSE)</f>
        <v>Surbhi</v>
      </c>
      <c r="K1088" t="str">
        <f>VLOOKUP(tbl_details5[[#This Row],[Order ID]],Table1[],5,FALSE)</f>
        <v>Gujarat</v>
      </c>
      <c r="L1088" t="str">
        <f>VLOOKUP(tbl_details5[[#This Row],[Order ID]],Table1[],6,FALSE)</f>
        <v>Ahmedabad</v>
      </c>
    </row>
    <row r="1089" spans="1:12" x14ac:dyDescent="0.25">
      <c r="A1089" t="s">
        <v>705</v>
      </c>
      <c r="B1089" s="4">
        <v>48</v>
      </c>
      <c r="C1089" s="4">
        <v>16</v>
      </c>
      <c r="D1089" s="5">
        <f>tbl_details5[[#This Row],[Profit]]/tbl_details5[[#This Row],[Revenue]]</f>
        <v>0.33333333333333331</v>
      </c>
      <c r="E1089">
        <v>3</v>
      </c>
      <c r="F1089" t="s">
        <v>885</v>
      </c>
      <c r="G1089" t="s">
        <v>896</v>
      </c>
      <c r="H1089" s="1">
        <f>VLOOKUP(tbl_details5[[#This Row],[Order ID]],Orders!A:F,2,FALSE)</f>
        <v>43483</v>
      </c>
      <c r="I1089" s="1" t="str">
        <f>TEXT(tbl_details5[[#This Row],[Order Date]],"mmm-yy")</f>
        <v>Jan-19</v>
      </c>
      <c r="J1089" t="str">
        <f>VLOOKUP(tbl_details5[[#This Row],[Order ID]],Table1[],4,FALSE)</f>
        <v>Surbhi</v>
      </c>
      <c r="K1089" t="str">
        <f>VLOOKUP(tbl_details5[[#This Row],[Order ID]],Table1[],5,FALSE)</f>
        <v>Gujarat</v>
      </c>
      <c r="L1089" t="str">
        <f>VLOOKUP(tbl_details5[[#This Row],[Order ID]],Table1[],6,FALSE)</f>
        <v>Ahmedabad</v>
      </c>
    </row>
    <row r="1090" spans="1:12" x14ac:dyDescent="0.25">
      <c r="A1090" t="s">
        <v>705</v>
      </c>
      <c r="B1090" s="4">
        <v>34</v>
      </c>
      <c r="C1090" s="4">
        <v>10</v>
      </c>
      <c r="D1090" s="5">
        <f>tbl_details5[[#This Row],[Profit]]/tbl_details5[[#This Row],[Revenue]]</f>
        <v>0.29411764705882354</v>
      </c>
      <c r="E1090">
        <v>3</v>
      </c>
      <c r="F1090" t="s">
        <v>885</v>
      </c>
      <c r="G1090" t="s">
        <v>902</v>
      </c>
      <c r="H1090" s="1">
        <f>VLOOKUP(tbl_details5[[#This Row],[Order ID]],Orders!A:F,2,FALSE)</f>
        <v>43483</v>
      </c>
      <c r="I1090" s="1" t="str">
        <f>TEXT(tbl_details5[[#This Row],[Order Date]],"mmm-yy")</f>
        <v>Jan-19</v>
      </c>
      <c r="J1090" t="str">
        <f>VLOOKUP(tbl_details5[[#This Row],[Order ID]],Table1[],4,FALSE)</f>
        <v>Surbhi</v>
      </c>
      <c r="K1090" t="str">
        <f>VLOOKUP(tbl_details5[[#This Row],[Order ID]],Table1[],5,FALSE)</f>
        <v>Gujarat</v>
      </c>
      <c r="L1090" t="str">
        <f>VLOOKUP(tbl_details5[[#This Row],[Order ID]],Table1[],6,FALSE)</f>
        <v>Ahmedabad</v>
      </c>
    </row>
    <row r="1091" spans="1:12" x14ac:dyDescent="0.25">
      <c r="A1091" t="s">
        <v>706</v>
      </c>
      <c r="B1091" s="4">
        <v>260</v>
      </c>
      <c r="C1091" s="4">
        <v>68</v>
      </c>
      <c r="D1091" s="5">
        <f>tbl_details5[[#This Row],[Profit]]/tbl_details5[[#This Row],[Revenue]]</f>
        <v>0.26153846153846155</v>
      </c>
      <c r="E1091">
        <v>2</v>
      </c>
      <c r="F1091" t="s">
        <v>888</v>
      </c>
      <c r="G1091" t="s">
        <v>899</v>
      </c>
      <c r="H1091" s="1">
        <f>VLOOKUP(tbl_details5[[#This Row],[Order ID]],Orders!A:F,2,FALSE)</f>
        <v>43484</v>
      </c>
      <c r="I1091" s="1" t="str">
        <f>TEXT(tbl_details5[[#This Row],[Order Date]],"mmm-yy")</f>
        <v>Jan-19</v>
      </c>
      <c r="J1091" t="str">
        <f>VLOOKUP(tbl_details5[[#This Row],[Order ID]],Table1[],4,FALSE)</f>
        <v>Tejeswini</v>
      </c>
      <c r="K1091" t="str">
        <f>VLOOKUP(tbl_details5[[#This Row],[Order ID]],Table1[],5,FALSE)</f>
        <v>Maharashtra</v>
      </c>
      <c r="L1091" t="str">
        <f>VLOOKUP(tbl_details5[[#This Row],[Order ID]],Table1[],6,FALSE)</f>
        <v>Pune</v>
      </c>
    </row>
    <row r="1092" spans="1:12" x14ac:dyDescent="0.25">
      <c r="A1092" t="s">
        <v>706</v>
      </c>
      <c r="B1092" s="4">
        <v>312</v>
      </c>
      <c r="C1092" s="4">
        <v>62</v>
      </c>
      <c r="D1092" s="5">
        <f>tbl_details5[[#This Row],[Profit]]/tbl_details5[[#This Row],[Revenue]]</f>
        <v>0.19871794871794871</v>
      </c>
      <c r="E1092">
        <v>1</v>
      </c>
      <c r="F1092" t="s">
        <v>888</v>
      </c>
      <c r="G1092" t="s">
        <v>889</v>
      </c>
      <c r="H1092" s="1">
        <f>VLOOKUP(tbl_details5[[#This Row],[Order ID]],Orders!A:F,2,FALSE)</f>
        <v>43484</v>
      </c>
      <c r="I1092" s="1" t="str">
        <f>TEXT(tbl_details5[[#This Row],[Order Date]],"mmm-yy")</f>
        <v>Jan-19</v>
      </c>
      <c r="J1092" t="str">
        <f>VLOOKUP(tbl_details5[[#This Row],[Order ID]],Table1[],4,FALSE)</f>
        <v>Tejeswini</v>
      </c>
      <c r="K1092" t="str">
        <f>VLOOKUP(tbl_details5[[#This Row],[Order ID]],Table1[],5,FALSE)</f>
        <v>Maharashtra</v>
      </c>
      <c r="L1092" t="str">
        <f>VLOOKUP(tbl_details5[[#This Row],[Order ID]],Table1[],6,FALSE)</f>
        <v>Pune</v>
      </c>
    </row>
    <row r="1093" spans="1:12" x14ac:dyDescent="0.25">
      <c r="A1093" t="s">
        <v>706</v>
      </c>
      <c r="B1093" s="4">
        <v>544</v>
      </c>
      <c r="C1093" s="4">
        <v>-152</v>
      </c>
      <c r="D1093" s="5">
        <f>tbl_details5[[#This Row],[Profit]]/tbl_details5[[#This Row],[Revenue]]</f>
        <v>-0.27941176470588236</v>
      </c>
      <c r="E1093">
        <v>3</v>
      </c>
      <c r="F1093" t="s">
        <v>883</v>
      </c>
      <c r="G1093" t="s">
        <v>884</v>
      </c>
      <c r="H1093" s="1">
        <f>VLOOKUP(tbl_details5[[#This Row],[Order ID]],Orders!A:F,2,FALSE)</f>
        <v>43484</v>
      </c>
      <c r="I1093" s="1" t="str">
        <f>TEXT(tbl_details5[[#This Row],[Order Date]],"mmm-yy")</f>
        <v>Jan-19</v>
      </c>
      <c r="J1093" t="str">
        <f>VLOOKUP(tbl_details5[[#This Row],[Order ID]],Table1[],4,FALSE)</f>
        <v>Tejeswini</v>
      </c>
      <c r="K1093" t="str">
        <f>VLOOKUP(tbl_details5[[#This Row],[Order ID]],Table1[],5,FALSE)</f>
        <v>Maharashtra</v>
      </c>
      <c r="L1093" t="str">
        <f>VLOOKUP(tbl_details5[[#This Row],[Order ID]],Table1[],6,FALSE)</f>
        <v>Pune</v>
      </c>
    </row>
    <row r="1094" spans="1:12" x14ac:dyDescent="0.25">
      <c r="A1094" t="s">
        <v>708</v>
      </c>
      <c r="B1094" s="4">
        <v>53</v>
      </c>
      <c r="C1094" s="4">
        <v>8</v>
      </c>
      <c r="D1094" s="5">
        <f>tbl_details5[[#This Row],[Profit]]/tbl_details5[[#This Row],[Revenue]]</f>
        <v>0.15094339622641509</v>
      </c>
      <c r="E1094">
        <v>3</v>
      </c>
      <c r="F1094" t="s">
        <v>883</v>
      </c>
      <c r="G1094" t="s">
        <v>901</v>
      </c>
      <c r="H1094" s="1">
        <f>VLOOKUP(tbl_details5[[#This Row],[Order ID]],Orders!A:F,2,FALSE)</f>
        <v>43484</v>
      </c>
      <c r="I1094" s="1" t="str">
        <f>TEXT(tbl_details5[[#This Row],[Order Date]],"mmm-yy")</f>
        <v>Jan-19</v>
      </c>
      <c r="J1094" t="str">
        <f>VLOOKUP(tbl_details5[[#This Row],[Order ID]],Table1[],4,FALSE)</f>
        <v>Pratiksha</v>
      </c>
      <c r="K1094" t="str">
        <f>VLOOKUP(tbl_details5[[#This Row],[Order ID]],Table1[],5,FALSE)</f>
        <v>Maharashtra</v>
      </c>
      <c r="L1094" t="str">
        <f>VLOOKUP(tbl_details5[[#This Row],[Order ID]],Table1[],6,FALSE)</f>
        <v>Mumbai</v>
      </c>
    </row>
    <row r="1095" spans="1:12" x14ac:dyDescent="0.25">
      <c r="A1095" t="s">
        <v>710</v>
      </c>
      <c r="B1095" s="4">
        <v>199</v>
      </c>
      <c r="C1095" s="4">
        <v>0</v>
      </c>
      <c r="D1095" s="5">
        <f>tbl_details5[[#This Row],[Profit]]/tbl_details5[[#This Row],[Revenue]]</f>
        <v>0</v>
      </c>
      <c r="E1095">
        <v>4</v>
      </c>
      <c r="F1095" t="s">
        <v>885</v>
      </c>
      <c r="G1095" t="s">
        <v>886</v>
      </c>
      <c r="H1095" s="1">
        <f>VLOOKUP(tbl_details5[[#This Row],[Order ID]],Orders!A:F,2,FALSE)</f>
        <v>43485</v>
      </c>
      <c r="I1095" s="1" t="str">
        <f>TEXT(tbl_details5[[#This Row],[Order Date]],"mmm-yy")</f>
        <v>Jan-19</v>
      </c>
      <c r="J1095" t="str">
        <f>VLOOKUP(tbl_details5[[#This Row],[Order ID]],Table1[],4,FALSE)</f>
        <v>Oshin</v>
      </c>
      <c r="K1095" t="str">
        <f>VLOOKUP(tbl_details5[[#This Row],[Order ID]],Table1[],5,FALSE)</f>
        <v>Madhya Pradesh</v>
      </c>
      <c r="L1095" t="str">
        <f>VLOOKUP(tbl_details5[[#This Row],[Order ID]],Table1[],6,FALSE)</f>
        <v>Indore</v>
      </c>
    </row>
    <row r="1096" spans="1:12" x14ac:dyDescent="0.25">
      <c r="A1096" t="s">
        <v>710</v>
      </c>
      <c r="B1096" s="4">
        <v>89</v>
      </c>
      <c r="C1096" s="4">
        <v>6</v>
      </c>
      <c r="D1096" s="5">
        <f>tbl_details5[[#This Row],[Profit]]/tbl_details5[[#This Row],[Revenue]]</f>
        <v>6.741573033707865E-2</v>
      </c>
      <c r="E1096">
        <v>5</v>
      </c>
      <c r="F1096" t="s">
        <v>885</v>
      </c>
      <c r="G1096" t="s">
        <v>891</v>
      </c>
      <c r="H1096" s="1">
        <f>VLOOKUP(tbl_details5[[#This Row],[Order ID]],Orders!A:F,2,FALSE)</f>
        <v>43485</v>
      </c>
      <c r="I1096" s="1" t="str">
        <f>TEXT(tbl_details5[[#This Row],[Order Date]],"mmm-yy")</f>
        <v>Jan-19</v>
      </c>
      <c r="J1096" t="str">
        <f>VLOOKUP(tbl_details5[[#This Row],[Order ID]],Table1[],4,FALSE)</f>
        <v>Oshin</v>
      </c>
      <c r="K1096" t="str">
        <f>VLOOKUP(tbl_details5[[#This Row],[Order ID]],Table1[],5,FALSE)</f>
        <v>Madhya Pradesh</v>
      </c>
      <c r="L1096" t="str">
        <f>VLOOKUP(tbl_details5[[#This Row],[Order ID]],Table1[],6,FALSE)</f>
        <v>Indore</v>
      </c>
    </row>
    <row r="1097" spans="1:12" x14ac:dyDescent="0.25">
      <c r="A1097" t="s">
        <v>710</v>
      </c>
      <c r="B1097" s="4">
        <v>1270</v>
      </c>
      <c r="C1097" s="4">
        <v>546</v>
      </c>
      <c r="D1097" s="5">
        <f>tbl_details5[[#This Row],[Profit]]/tbl_details5[[#This Row],[Revenue]]</f>
        <v>0.42992125984251967</v>
      </c>
      <c r="E1097">
        <v>11</v>
      </c>
      <c r="F1097" t="s">
        <v>888</v>
      </c>
      <c r="G1097" t="s">
        <v>889</v>
      </c>
      <c r="H1097" s="1">
        <f>VLOOKUP(tbl_details5[[#This Row],[Order ID]],Orders!A:F,2,FALSE)</f>
        <v>43485</v>
      </c>
      <c r="I1097" s="1" t="str">
        <f>TEXT(tbl_details5[[#This Row],[Order Date]],"mmm-yy")</f>
        <v>Jan-19</v>
      </c>
      <c r="J1097" t="str">
        <f>VLOOKUP(tbl_details5[[#This Row],[Order ID]],Table1[],4,FALSE)</f>
        <v>Oshin</v>
      </c>
      <c r="K1097" t="str">
        <f>VLOOKUP(tbl_details5[[#This Row],[Order ID]],Table1[],5,FALSE)</f>
        <v>Madhya Pradesh</v>
      </c>
      <c r="L1097" t="str">
        <f>VLOOKUP(tbl_details5[[#This Row],[Order ID]],Table1[],6,FALSE)</f>
        <v>Indore</v>
      </c>
    </row>
    <row r="1098" spans="1:12" x14ac:dyDescent="0.25">
      <c r="A1098" t="s">
        <v>710</v>
      </c>
      <c r="B1098" s="4">
        <v>346</v>
      </c>
      <c r="C1098" s="4">
        <v>108</v>
      </c>
      <c r="D1098" s="5">
        <f>tbl_details5[[#This Row],[Profit]]/tbl_details5[[#This Row],[Revenue]]</f>
        <v>0.31213872832369943</v>
      </c>
      <c r="E1098">
        <v>3</v>
      </c>
      <c r="F1098" t="s">
        <v>883</v>
      </c>
      <c r="G1098" t="s">
        <v>893</v>
      </c>
      <c r="H1098" s="1">
        <f>VLOOKUP(tbl_details5[[#This Row],[Order ID]],Orders!A:F,2,FALSE)</f>
        <v>43485</v>
      </c>
      <c r="I1098" s="1" t="str">
        <f>TEXT(tbl_details5[[#This Row],[Order Date]],"mmm-yy")</f>
        <v>Jan-19</v>
      </c>
      <c r="J1098" t="str">
        <f>VLOOKUP(tbl_details5[[#This Row],[Order ID]],Table1[],4,FALSE)</f>
        <v>Oshin</v>
      </c>
      <c r="K1098" t="str">
        <f>VLOOKUP(tbl_details5[[#This Row],[Order ID]],Table1[],5,FALSE)</f>
        <v>Madhya Pradesh</v>
      </c>
      <c r="L1098" t="str">
        <f>VLOOKUP(tbl_details5[[#This Row],[Order ID]],Table1[],6,FALSE)</f>
        <v>Indore</v>
      </c>
    </row>
    <row r="1099" spans="1:12" x14ac:dyDescent="0.25">
      <c r="A1099" t="s">
        <v>712</v>
      </c>
      <c r="B1099" s="4">
        <v>17</v>
      </c>
      <c r="C1099" s="4">
        <v>7</v>
      </c>
      <c r="D1099" s="5">
        <f>tbl_details5[[#This Row],[Profit]]/tbl_details5[[#This Row],[Revenue]]</f>
        <v>0.41176470588235292</v>
      </c>
      <c r="E1099">
        <v>3</v>
      </c>
      <c r="F1099" t="s">
        <v>885</v>
      </c>
      <c r="G1099" t="s">
        <v>887</v>
      </c>
      <c r="H1099" s="1">
        <f>VLOOKUP(tbl_details5[[#This Row],[Order ID]],Orders!A:F,2,FALSE)</f>
        <v>43486</v>
      </c>
      <c r="I1099" s="1" t="str">
        <f>TEXT(tbl_details5[[#This Row],[Order Date]],"mmm-yy")</f>
        <v>Jan-19</v>
      </c>
      <c r="J1099" t="str">
        <f>VLOOKUP(tbl_details5[[#This Row],[Order ID]],Table1[],4,FALSE)</f>
        <v>Saloni</v>
      </c>
      <c r="K1099" t="str">
        <f>VLOOKUP(tbl_details5[[#This Row],[Order ID]],Table1[],5,FALSE)</f>
        <v>West Bengal</v>
      </c>
      <c r="L1099" t="str">
        <f>VLOOKUP(tbl_details5[[#This Row],[Order ID]],Table1[],6,FALSE)</f>
        <v>Kolkata</v>
      </c>
    </row>
    <row r="1100" spans="1:12" x14ac:dyDescent="0.25">
      <c r="A1100" t="s">
        <v>714</v>
      </c>
      <c r="B1100" s="4">
        <v>510</v>
      </c>
      <c r="C1100" s="4">
        <v>234</v>
      </c>
      <c r="D1100" s="5">
        <f>tbl_details5[[#This Row],[Profit]]/tbl_details5[[#This Row],[Revenue]]</f>
        <v>0.45882352941176469</v>
      </c>
      <c r="E1100">
        <v>6</v>
      </c>
      <c r="F1100" t="s">
        <v>888</v>
      </c>
      <c r="G1100" t="s">
        <v>889</v>
      </c>
      <c r="H1100" s="1">
        <f>VLOOKUP(tbl_details5[[#This Row],[Order ID]],Orders!A:F,2,FALSE)</f>
        <v>43486</v>
      </c>
      <c r="I1100" s="1" t="str">
        <f>TEXT(tbl_details5[[#This Row],[Order Date]],"mmm-yy")</f>
        <v>Jan-19</v>
      </c>
      <c r="J1100" t="str">
        <f>VLOOKUP(tbl_details5[[#This Row],[Order ID]],Table1[],4,FALSE)</f>
        <v>Soumya</v>
      </c>
      <c r="K1100" t="str">
        <f>VLOOKUP(tbl_details5[[#This Row],[Order ID]],Table1[],5,FALSE)</f>
        <v>Rajasthan</v>
      </c>
      <c r="L1100" t="str">
        <f>VLOOKUP(tbl_details5[[#This Row],[Order ID]],Table1[],6,FALSE)</f>
        <v>Udaipur</v>
      </c>
    </row>
    <row r="1101" spans="1:12" x14ac:dyDescent="0.25">
      <c r="A1101" t="s">
        <v>715</v>
      </c>
      <c r="B1101" s="4">
        <v>17</v>
      </c>
      <c r="C1101" s="4">
        <v>2</v>
      </c>
      <c r="D1101" s="5">
        <f>tbl_details5[[#This Row],[Profit]]/tbl_details5[[#This Row],[Revenue]]</f>
        <v>0.11764705882352941</v>
      </c>
      <c r="E1101">
        <v>2</v>
      </c>
      <c r="F1101" t="s">
        <v>885</v>
      </c>
      <c r="G1101" t="s">
        <v>902</v>
      </c>
      <c r="H1101" s="1">
        <f>VLOOKUP(tbl_details5[[#This Row],[Order ID]],Orders!A:F,2,FALSE)</f>
        <v>43486</v>
      </c>
      <c r="I1101" s="1" t="str">
        <f>TEXT(tbl_details5[[#This Row],[Order Date]],"mmm-yy")</f>
        <v>Jan-19</v>
      </c>
      <c r="J1101" t="str">
        <f>VLOOKUP(tbl_details5[[#This Row],[Order ID]],Table1[],4,FALSE)</f>
        <v>Komal</v>
      </c>
      <c r="K1101" t="str">
        <f>VLOOKUP(tbl_details5[[#This Row],[Order ID]],Table1[],5,FALSE)</f>
        <v>Uttar Pradesh</v>
      </c>
      <c r="L1101" t="str">
        <f>VLOOKUP(tbl_details5[[#This Row],[Order ID]],Table1[],6,FALSE)</f>
        <v>Allahabad</v>
      </c>
    </row>
    <row r="1102" spans="1:12" x14ac:dyDescent="0.25">
      <c r="A1102" t="s">
        <v>715</v>
      </c>
      <c r="B1102" s="4">
        <v>119</v>
      </c>
      <c r="C1102" s="4">
        <v>-24</v>
      </c>
      <c r="D1102" s="5">
        <f>tbl_details5[[#This Row],[Profit]]/tbl_details5[[#This Row],[Revenue]]</f>
        <v>-0.20168067226890757</v>
      </c>
      <c r="E1102">
        <v>4</v>
      </c>
      <c r="F1102" t="s">
        <v>883</v>
      </c>
      <c r="G1102" t="s">
        <v>901</v>
      </c>
      <c r="H1102" s="1">
        <f>VLOOKUP(tbl_details5[[#This Row],[Order ID]],Orders!A:F,2,FALSE)</f>
        <v>43486</v>
      </c>
      <c r="I1102" s="1" t="str">
        <f>TEXT(tbl_details5[[#This Row],[Order Date]],"mmm-yy")</f>
        <v>Jan-19</v>
      </c>
      <c r="J1102" t="str">
        <f>VLOOKUP(tbl_details5[[#This Row],[Order ID]],Table1[],4,FALSE)</f>
        <v>Komal</v>
      </c>
      <c r="K1102" t="str">
        <f>VLOOKUP(tbl_details5[[#This Row],[Order ID]],Table1[],5,FALSE)</f>
        <v>Uttar Pradesh</v>
      </c>
      <c r="L1102" t="str">
        <f>VLOOKUP(tbl_details5[[#This Row],[Order ID]],Table1[],6,FALSE)</f>
        <v>Allahabad</v>
      </c>
    </row>
    <row r="1103" spans="1:12" x14ac:dyDescent="0.25">
      <c r="A1103" t="s">
        <v>715</v>
      </c>
      <c r="B1103" s="4">
        <v>229</v>
      </c>
      <c r="C1103" s="4">
        <v>59</v>
      </c>
      <c r="D1103" s="5">
        <f>tbl_details5[[#This Row],[Profit]]/tbl_details5[[#This Row],[Revenue]]</f>
        <v>0.2576419213973799</v>
      </c>
      <c r="E1103">
        <v>9</v>
      </c>
      <c r="F1103" t="s">
        <v>885</v>
      </c>
      <c r="G1103" t="s">
        <v>891</v>
      </c>
      <c r="H1103" s="1">
        <f>VLOOKUP(tbl_details5[[#This Row],[Order ID]],Orders!A:F,2,FALSE)</f>
        <v>43486</v>
      </c>
      <c r="I1103" s="1" t="str">
        <f>TEXT(tbl_details5[[#This Row],[Order Date]],"mmm-yy")</f>
        <v>Jan-19</v>
      </c>
      <c r="J1103" t="str">
        <f>VLOOKUP(tbl_details5[[#This Row],[Order ID]],Table1[],4,FALSE)</f>
        <v>Komal</v>
      </c>
      <c r="K1103" t="str">
        <f>VLOOKUP(tbl_details5[[#This Row],[Order ID]],Table1[],5,FALSE)</f>
        <v>Uttar Pradesh</v>
      </c>
      <c r="L1103" t="str">
        <f>VLOOKUP(tbl_details5[[#This Row],[Order ID]],Table1[],6,FALSE)</f>
        <v>Allahabad</v>
      </c>
    </row>
    <row r="1104" spans="1:12" x14ac:dyDescent="0.25">
      <c r="A1104" t="s">
        <v>716</v>
      </c>
      <c r="B1104" s="4">
        <v>811</v>
      </c>
      <c r="C1104" s="4">
        <v>154</v>
      </c>
      <c r="D1104" s="5">
        <f>tbl_details5[[#This Row],[Profit]]/tbl_details5[[#This Row],[Revenue]]</f>
        <v>0.18988902589395806</v>
      </c>
      <c r="E1104">
        <v>7</v>
      </c>
      <c r="F1104" t="s">
        <v>888</v>
      </c>
      <c r="G1104" t="s">
        <v>900</v>
      </c>
      <c r="H1104" s="1">
        <f>VLOOKUP(tbl_details5[[#This Row],[Order ID]],Orders!A:F,2,FALSE)</f>
        <v>43486</v>
      </c>
      <c r="I1104" s="1" t="str">
        <f>TEXT(tbl_details5[[#This Row],[Order Date]],"mmm-yy")</f>
        <v>Jan-19</v>
      </c>
      <c r="J1104" t="str">
        <f>VLOOKUP(tbl_details5[[#This Row],[Order ID]],Table1[],4,FALSE)</f>
        <v>Paromita</v>
      </c>
      <c r="K1104" t="str">
        <f>VLOOKUP(tbl_details5[[#This Row],[Order ID]],Table1[],5,FALSE)</f>
        <v>Punjab</v>
      </c>
      <c r="L1104" t="str">
        <f>VLOOKUP(tbl_details5[[#This Row],[Order ID]],Table1[],6,FALSE)</f>
        <v>Amritsar</v>
      </c>
    </row>
    <row r="1105" spans="1:12" x14ac:dyDescent="0.25">
      <c r="A1105" t="s">
        <v>718</v>
      </c>
      <c r="B1105" s="4">
        <v>720</v>
      </c>
      <c r="C1105" s="4">
        <v>43</v>
      </c>
      <c r="D1105" s="5">
        <f>tbl_details5[[#This Row],[Profit]]/tbl_details5[[#This Row],[Revenue]]</f>
        <v>5.9722222222222225E-2</v>
      </c>
      <c r="E1105">
        <v>2</v>
      </c>
      <c r="F1105" t="s">
        <v>888</v>
      </c>
      <c r="G1105" t="s">
        <v>899</v>
      </c>
      <c r="H1105" s="1">
        <f>VLOOKUP(tbl_details5[[#This Row],[Order ID]],Orders!A:F,2,FALSE)</f>
        <v>43486</v>
      </c>
      <c r="I1105" s="1" t="str">
        <f>TEXT(tbl_details5[[#This Row],[Order Date]],"mmm-yy")</f>
        <v>Jan-19</v>
      </c>
      <c r="J1105" t="str">
        <f>VLOOKUP(tbl_details5[[#This Row],[Order ID]],Table1[],4,FALSE)</f>
        <v>Shreyshi</v>
      </c>
      <c r="K1105" t="str">
        <f>VLOOKUP(tbl_details5[[#This Row],[Order ID]],Table1[],5,FALSE)</f>
        <v>Gujarat</v>
      </c>
      <c r="L1105" t="str">
        <f>VLOOKUP(tbl_details5[[#This Row],[Order ID]],Table1[],6,FALSE)</f>
        <v>Surat</v>
      </c>
    </row>
    <row r="1106" spans="1:12" x14ac:dyDescent="0.25">
      <c r="A1106" t="s">
        <v>718</v>
      </c>
      <c r="B1106" s="4">
        <v>2452</v>
      </c>
      <c r="C1106" s="4">
        <v>191</v>
      </c>
      <c r="D1106" s="5">
        <f>tbl_details5[[#This Row],[Profit]]/tbl_details5[[#This Row],[Revenue]]</f>
        <v>7.7895595432300166E-2</v>
      </c>
      <c r="E1106">
        <v>7</v>
      </c>
      <c r="F1106" t="s">
        <v>883</v>
      </c>
      <c r="G1106" t="s">
        <v>884</v>
      </c>
      <c r="H1106" s="1">
        <f>VLOOKUP(tbl_details5[[#This Row],[Order ID]],Orders!A:F,2,FALSE)</f>
        <v>43486</v>
      </c>
      <c r="I1106" s="1" t="str">
        <f>TEXT(tbl_details5[[#This Row],[Order Date]],"mmm-yy")</f>
        <v>Jan-19</v>
      </c>
      <c r="J1106" t="str">
        <f>VLOOKUP(tbl_details5[[#This Row],[Order ID]],Table1[],4,FALSE)</f>
        <v>Shreyshi</v>
      </c>
      <c r="K1106" t="str">
        <f>VLOOKUP(tbl_details5[[#This Row],[Order ID]],Table1[],5,FALSE)</f>
        <v>Gujarat</v>
      </c>
      <c r="L1106" t="str">
        <f>VLOOKUP(tbl_details5[[#This Row],[Order ID]],Table1[],6,FALSE)</f>
        <v>Surat</v>
      </c>
    </row>
    <row r="1107" spans="1:12" x14ac:dyDescent="0.25">
      <c r="A1107" t="s">
        <v>718</v>
      </c>
      <c r="B1107" s="4">
        <v>171</v>
      </c>
      <c r="C1107" s="4">
        <v>17</v>
      </c>
      <c r="D1107" s="5">
        <f>tbl_details5[[#This Row],[Profit]]/tbl_details5[[#This Row],[Revenue]]</f>
        <v>9.9415204678362568E-2</v>
      </c>
      <c r="E1107">
        <v>6</v>
      </c>
      <c r="F1107" t="s">
        <v>885</v>
      </c>
      <c r="G1107" t="s">
        <v>895</v>
      </c>
      <c r="H1107" s="1">
        <f>VLOOKUP(tbl_details5[[#This Row],[Order ID]],Orders!A:F,2,FALSE)</f>
        <v>43486</v>
      </c>
      <c r="I1107" s="1" t="str">
        <f>TEXT(tbl_details5[[#This Row],[Order Date]],"mmm-yy")</f>
        <v>Jan-19</v>
      </c>
      <c r="J1107" t="str">
        <f>VLOOKUP(tbl_details5[[#This Row],[Order ID]],Table1[],4,FALSE)</f>
        <v>Shreyshi</v>
      </c>
      <c r="K1107" t="str">
        <f>VLOOKUP(tbl_details5[[#This Row],[Order ID]],Table1[],5,FALSE)</f>
        <v>Gujarat</v>
      </c>
      <c r="L1107" t="str">
        <f>VLOOKUP(tbl_details5[[#This Row],[Order ID]],Table1[],6,FALSE)</f>
        <v>Surat</v>
      </c>
    </row>
    <row r="1108" spans="1:12" x14ac:dyDescent="0.25">
      <c r="A1108" t="s">
        <v>720</v>
      </c>
      <c r="B1108" s="4">
        <v>203</v>
      </c>
      <c r="C1108" s="4">
        <v>84</v>
      </c>
      <c r="D1108" s="5">
        <f>tbl_details5[[#This Row],[Profit]]/tbl_details5[[#This Row],[Revenue]]</f>
        <v>0.41379310344827586</v>
      </c>
      <c r="E1108">
        <v>2</v>
      </c>
      <c r="F1108" t="s">
        <v>888</v>
      </c>
      <c r="G1108" t="s">
        <v>899</v>
      </c>
      <c r="H1108" s="1">
        <f>VLOOKUP(tbl_details5[[#This Row],[Order ID]],Orders!A:F,2,FALSE)</f>
        <v>43487</v>
      </c>
      <c r="I1108" s="1" t="str">
        <f>TEXT(tbl_details5[[#This Row],[Order Date]],"mmm-yy")</f>
        <v>Jan-19</v>
      </c>
      <c r="J1108" t="str">
        <f>VLOOKUP(tbl_details5[[#This Row],[Order ID]],Table1[],4,FALSE)</f>
        <v>Rhea</v>
      </c>
      <c r="K1108" t="str">
        <f>VLOOKUP(tbl_details5[[#This Row],[Order ID]],Table1[],5,FALSE)</f>
        <v>Maharashtra</v>
      </c>
      <c r="L1108" t="str">
        <f>VLOOKUP(tbl_details5[[#This Row],[Order ID]],Table1[],6,FALSE)</f>
        <v>Mumbai</v>
      </c>
    </row>
    <row r="1109" spans="1:12" x14ac:dyDescent="0.25">
      <c r="A1109" t="s">
        <v>720</v>
      </c>
      <c r="B1109" s="4">
        <v>742</v>
      </c>
      <c r="C1109" s="4">
        <v>198</v>
      </c>
      <c r="D1109" s="5">
        <f>tbl_details5[[#This Row],[Profit]]/tbl_details5[[#This Row],[Revenue]]</f>
        <v>0.26684636118598382</v>
      </c>
      <c r="E1109">
        <v>2</v>
      </c>
      <c r="F1109" t="s">
        <v>883</v>
      </c>
      <c r="G1109" t="s">
        <v>884</v>
      </c>
      <c r="H1109" s="1">
        <f>VLOOKUP(tbl_details5[[#This Row],[Order ID]],Orders!A:F,2,FALSE)</f>
        <v>43487</v>
      </c>
      <c r="I1109" s="1" t="str">
        <f>TEXT(tbl_details5[[#This Row],[Order Date]],"mmm-yy")</f>
        <v>Jan-19</v>
      </c>
      <c r="J1109" t="str">
        <f>VLOOKUP(tbl_details5[[#This Row],[Order ID]],Table1[],4,FALSE)</f>
        <v>Rhea</v>
      </c>
      <c r="K1109" t="str">
        <f>VLOOKUP(tbl_details5[[#This Row],[Order ID]],Table1[],5,FALSE)</f>
        <v>Maharashtra</v>
      </c>
      <c r="L1109" t="str">
        <f>VLOOKUP(tbl_details5[[#This Row],[Order ID]],Table1[],6,FALSE)</f>
        <v>Mumbai</v>
      </c>
    </row>
    <row r="1110" spans="1:12" x14ac:dyDescent="0.25">
      <c r="A1110" t="s">
        <v>720</v>
      </c>
      <c r="B1110" s="4">
        <v>111</v>
      </c>
      <c r="C1110" s="4">
        <v>9</v>
      </c>
      <c r="D1110" s="5">
        <f>tbl_details5[[#This Row],[Profit]]/tbl_details5[[#This Row],[Revenue]]</f>
        <v>8.1081081081081086E-2</v>
      </c>
      <c r="E1110">
        <v>4</v>
      </c>
      <c r="F1110" t="s">
        <v>885</v>
      </c>
      <c r="G1110" t="s">
        <v>886</v>
      </c>
      <c r="H1110" s="1">
        <f>VLOOKUP(tbl_details5[[#This Row],[Order ID]],Orders!A:F,2,FALSE)</f>
        <v>43487</v>
      </c>
      <c r="I1110" s="1" t="str">
        <f>TEXT(tbl_details5[[#This Row],[Order Date]],"mmm-yy")</f>
        <v>Jan-19</v>
      </c>
      <c r="J1110" t="str">
        <f>VLOOKUP(tbl_details5[[#This Row],[Order ID]],Table1[],4,FALSE)</f>
        <v>Rhea</v>
      </c>
      <c r="K1110" t="str">
        <f>VLOOKUP(tbl_details5[[#This Row],[Order ID]],Table1[],5,FALSE)</f>
        <v>Maharashtra</v>
      </c>
      <c r="L1110" t="str">
        <f>VLOOKUP(tbl_details5[[#This Row],[Order ID]],Table1[],6,FALSE)</f>
        <v>Mumbai</v>
      </c>
    </row>
    <row r="1111" spans="1:12" x14ac:dyDescent="0.25">
      <c r="A1111" t="s">
        <v>720</v>
      </c>
      <c r="B1111" s="4">
        <v>365</v>
      </c>
      <c r="C1111" s="4">
        <v>107</v>
      </c>
      <c r="D1111" s="5">
        <f>tbl_details5[[#This Row],[Profit]]/tbl_details5[[#This Row],[Revenue]]</f>
        <v>0.29315068493150687</v>
      </c>
      <c r="E1111">
        <v>3</v>
      </c>
      <c r="F1111" t="s">
        <v>888</v>
      </c>
      <c r="G1111" t="s">
        <v>890</v>
      </c>
      <c r="H1111" s="1">
        <f>VLOOKUP(tbl_details5[[#This Row],[Order ID]],Orders!A:F,2,FALSE)</f>
        <v>43487</v>
      </c>
      <c r="I1111" s="1" t="str">
        <f>TEXT(tbl_details5[[#This Row],[Order Date]],"mmm-yy")</f>
        <v>Jan-19</v>
      </c>
      <c r="J1111" t="str">
        <f>VLOOKUP(tbl_details5[[#This Row],[Order ID]],Table1[],4,FALSE)</f>
        <v>Rhea</v>
      </c>
      <c r="K1111" t="str">
        <f>VLOOKUP(tbl_details5[[#This Row],[Order ID]],Table1[],5,FALSE)</f>
        <v>Maharashtra</v>
      </c>
      <c r="L1111" t="str">
        <f>VLOOKUP(tbl_details5[[#This Row],[Order ID]],Table1[],6,FALSE)</f>
        <v>Mumbai</v>
      </c>
    </row>
    <row r="1112" spans="1:12" x14ac:dyDescent="0.25">
      <c r="A1112" t="s">
        <v>721</v>
      </c>
      <c r="B1112" s="4">
        <v>244</v>
      </c>
      <c r="C1112" s="4">
        <v>83</v>
      </c>
      <c r="D1112" s="5">
        <f>tbl_details5[[#This Row],[Profit]]/tbl_details5[[#This Row],[Revenue]]</f>
        <v>0.3401639344262295</v>
      </c>
      <c r="E1112">
        <v>2</v>
      </c>
      <c r="F1112" t="s">
        <v>883</v>
      </c>
      <c r="G1112" t="s">
        <v>884</v>
      </c>
      <c r="H1112" s="1">
        <f>VLOOKUP(tbl_details5[[#This Row],[Order ID]],Orders!A:F,2,FALSE)</f>
        <v>43487</v>
      </c>
      <c r="I1112" s="1" t="str">
        <f>TEXT(tbl_details5[[#This Row],[Order Date]],"mmm-yy")</f>
        <v>Jan-19</v>
      </c>
      <c r="J1112" t="str">
        <f>VLOOKUP(tbl_details5[[#This Row],[Order ID]],Table1[],4,FALSE)</f>
        <v>Mitali</v>
      </c>
      <c r="K1112" t="str">
        <f>VLOOKUP(tbl_details5[[#This Row],[Order ID]],Table1[],5,FALSE)</f>
        <v>Madhya Pradesh</v>
      </c>
      <c r="L1112" t="str">
        <f>VLOOKUP(tbl_details5[[#This Row],[Order ID]],Table1[],6,FALSE)</f>
        <v>Indore</v>
      </c>
    </row>
    <row r="1113" spans="1:12" x14ac:dyDescent="0.25">
      <c r="A1113" t="s">
        <v>722</v>
      </c>
      <c r="B1113" s="4">
        <v>115</v>
      </c>
      <c r="C1113" s="4">
        <v>47</v>
      </c>
      <c r="D1113" s="5">
        <f>tbl_details5[[#This Row],[Profit]]/tbl_details5[[#This Row],[Revenue]]</f>
        <v>0.40869565217391307</v>
      </c>
      <c r="E1113">
        <v>2</v>
      </c>
      <c r="F1113" t="s">
        <v>888</v>
      </c>
      <c r="G1113" t="s">
        <v>900</v>
      </c>
      <c r="H1113" s="1">
        <f>VLOOKUP(tbl_details5[[#This Row],[Order ID]],Orders!A:F,2,FALSE)</f>
        <v>43488</v>
      </c>
      <c r="I1113" s="1" t="str">
        <f>TEXT(tbl_details5[[#This Row],[Order Date]],"mmm-yy")</f>
        <v>Jan-19</v>
      </c>
      <c r="J1113" t="str">
        <f>VLOOKUP(tbl_details5[[#This Row],[Order ID]],Table1[],4,FALSE)</f>
        <v>Jesslyn</v>
      </c>
      <c r="K1113" t="str">
        <f>VLOOKUP(tbl_details5[[#This Row],[Order ID]],Table1[],5,FALSE)</f>
        <v>Rajasthan</v>
      </c>
      <c r="L1113" t="str">
        <f>VLOOKUP(tbl_details5[[#This Row],[Order ID]],Table1[],6,FALSE)</f>
        <v>Udaipur</v>
      </c>
    </row>
    <row r="1114" spans="1:12" x14ac:dyDescent="0.25">
      <c r="A1114" t="s">
        <v>724</v>
      </c>
      <c r="B1114" s="4">
        <v>571</v>
      </c>
      <c r="C1114" s="4">
        <v>108</v>
      </c>
      <c r="D1114" s="5">
        <f>tbl_details5[[#This Row],[Profit]]/tbl_details5[[#This Row],[Revenue]]</f>
        <v>0.18914185639229422</v>
      </c>
      <c r="E1114">
        <v>12</v>
      </c>
      <c r="F1114" t="s">
        <v>885</v>
      </c>
      <c r="G1114" t="s">
        <v>886</v>
      </c>
      <c r="H1114" s="1">
        <f>VLOOKUP(tbl_details5[[#This Row],[Order ID]],Orders!A:F,2,FALSE)</f>
        <v>43489</v>
      </c>
      <c r="I1114" s="1" t="str">
        <f>TEXT(tbl_details5[[#This Row],[Order Date]],"mmm-yy")</f>
        <v>Jan-19</v>
      </c>
      <c r="J1114" t="str">
        <f>VLOOKUP(tbl_details5[[#This Row],[Order ID]],Table1[],4,FALSE)</f>
        <v>Seema</v>
      </c>
      <c r="K1114" t="str">
        <f>VLOOKUP(tbl_details5[[#This Row],[Order ID]],Table1[],5,FALSE)</f>
        <v>Uttar Pradesh</v>
      </c>
      <c r="L1114" t="str">
        <f>VLOOKUP(tbl_details5[[#This Row],[Order ID]],Table1[],6,FALSE)</f>
        <v>Allahabad</v>
      </c>
    </row>
    <row r="1115" spans="1:12" x14ac:dyDescent="0.25">
      <c r="A1115" t="s">
        <v>724</v>
      </c>
      <c r="B1115" s="4">
        <v>398</v>
      </c>
      <c r="C1115" s="4">
        <v>111</v>
      </c>
      <c r="D1115" s="5">
        <f>tbl_details5[[#This Row],[Profit]]/tbl_details5[[#This Row],[Revenue]]</f>
        <v>0.27889447236180903</v>
      </c>
      <c r="E1115">
        <v>8</v>
      </c>
      <c r="F1115" t="s">
        <v>885</v>
      </c>
      <c r="G1115" t="s">
        <v>887</v>
      </c>
      <c r="H1115" s="1">
        <f>VLOOKUP(tbl_details5[[#This Row],[Order ID]],Orders!A:F,2,FALSE)</f>
        <v>43489</v>
      </c>
      <c r="I1115" s="1" t="str">
        <f>TEXT(tbl_details5[[#This Row],[Order Date]],"mmm-yy")</f>
        <v>Jan-19</v>
      </c>
      <c r="J1115" t="str">
        <f>VLOOKUP(tbl_details5[[#This Row],[Order ID]],Table1[],4,FALSE)</f>
        <v>Seema</v>
      </c>
      <c r="K1115" t="str">
        <f>VLOOKUP(tbl_details5[[#This Row],[Order ID]],Table1[],5,FALSE)</f>
        <v>Uttar Pradesh</v>
      </c>
      <c r="L1115" t="str">
        <f>VLOOKUP(tbl_details5[[#This Row],[Order ID]],Table1[],6,FALSE)</f>
        <v>Allahabad</v>
      </c>
    </row>
    <row r="1116" spans="1:12" x14ac:dyDescent="0.25">
      <c r="A1116" t="s">
        <v>724</v>
      </c>
      <c r="B1116" s="4">
        <v>79</v>
      </c>
      <c r="C1116" s="4">
        <v>39</v>
      </c>
      <c r="D1116" s="5">
        <f>tbl_details5[[#This Row],[Profit]]/tbl_details5[[#This Row],[Revenue]]</f>
        <v>0.49367088607594939</v>
      </c>
      <c r="E1116">
        <v>2</v>
      </c>
      <c r="F1116" t="s">
        <v>885</v>
      </c>
      <c r="G1116" t="s">
        <v>896</v>
      </c>
      <c r="H1116" s="1">
        <f>VLOOKUP(tbl_details5[[#This Row],[Order ID]],Orders!A:F,2,FALSE)</f>
        <v>43489</v>
      </c>
      <c r="I1116" s="1" t="str">
        <f>TEXT(tbl_details5[[#This Row],[Order Date]],"mmm-yy")</f>
        <v>Jan-19</v>
      </c>
      <c r="J1116" t="str">
        <f>VLOOKUP(tbl_details5[[#This Row],[Order ID]],Table1[],4,FALSE)</f>
        <v>Seema</v>
      </c>
      <c r="K1116" t="str">
        <f>VLOOKUP(tbl_details5[[#This Row],[Order ID]],Table1[],5,FALSE)</f>
        <v>Uttar Pradesh</v>
      </c>
      <c r="L1116" t="str">
        <f>VLOOKUP(tbl_details5[[#This Row],[Order ID]],Table1[],6,FALSE)</f>
        <v>Allahabad</v>
      </c>
    </row>
    <row r="1117" spans="1:12" x14ac:dyDescent="0.25">
      <c r="A1117" t="s">
        <v>724</v>
      </c>
      <c r="B1117" s="4">
        <v>39</v>
      </c>
      <c r="C1117" s="4">
        <v>14</v>
      </c>
      <c r="D1117" s="5">
        <f>tbl_details5[[#This Row],[Profit]]/tbl_details5[[#This Row],[Revenue]]</f>
        <v>0.35897435897435898</v>
      </c>
      <c r="E1117">
        <v>5</v>
      </c>
      <c r="F1117" t="s">
        <v>885</v>
      </c>
      <c r="G1117" t="s">
        <v>897</v>
      </c>
      <c r="H1117" s="1">
        <f>VLOOKUP(tbl_details5[[#This Row],[Order ID]],Orders!A:F,2,FALSE)</f>
        <v>43489</v>
      </c>
      <c r="I1117" s="1" t="str">
        <f>TEXT(tbl_details5[[#This Row],[Order Date]],"mmm-yy")</f>
        <v>Jan-19</v>
      </c>
      <c r="J1117" t="str">
        <f>VLOOKUP(tbl_details5[[#This Row],[Order ID]],Table1[],4,FALSE)</f>
        <v>Seema</v>
      </c>
      <c r="K1117" t="str">
        <f>VLOOKUP(tbl_details5[[#This Row],[Order ID]],Table1[],5,FALSE)</f>
        <v>Uttar Pradesh</v>
      </c>
      <c r="L1117" t="str">
        <f>VLOOKUP(tbl_details5[[#This Row],[Order ID]],Table1[],6,FALSE)</f>
        <v>Allahabad</v>
      </c>
    </row>
    <row r="1118" spans="1:12" x14ac:dyDescent="0.25">
      <c r="A1118" t="s">
        <v>724</v>
      </c>
      <c r="B1118" s="4">
        <v>4141</v>
      </c>
      <c r="C1118" s="4">
        <v>1698</v>
      </c>
      <c r="D1118" s="5">
        <f>tbl_details5[[#This Row],[Profit]]/tbl_details5[[#This Row],[Revenue]]</f>
        <v>0.41004588263704417</v>
      </c>
      <c r="E1118">
        <v>13</v>
      </c>
      <c r="F1118" t="s">
        <v>888</v>
      </c>
      <c r="G1118" t="s">
        <v>899</v>
      </c>
      <c r="H1118" s="1">
        <f>VLOOKUP(tbl_details5[[#This Row],[Order ID]],Orders!A:F,2,FALSE)</f>
        <v>43489</v>
      </c>
      <c r="I1118" s="1" t="str">
        <f>TEXT(tbl_details5[[#This Row],[Order Date]],"mmm-yy")</f>
        <v>Jan-19</v>
      </c>
      <c r="J1118" t="str">
        <f>VLOOKUP(tbl_details5[[#This Row],[Order ID]],Table1[],4,FALSE)</f>
        <v>Seema</v>
      </c>
      <c r="K1118" t="str">
        <f>VLOOKUP(tbl_details5[[#This Row],[Order ID]],Table1[],5,FALSE)</f>
        <v>Uttar Pradesh</v>
      </c>
      <c r="L1118" t="str">
        <f>VLOOKUP(tbl_details5[[#This Row],[Order ID]],Table1[],6,FALSE)</f>
        <v>Allahabad</v>
      </c>
    </row>
    <row r="1119" spans="1:12" x14ac:dyDescent="0.25">
      <c r="A1119" t="s">
        <v>726</v>
      </c>
      <c r="B1119" s="4">
        <v>662</v>
      </c>
      <c r="C1119" s="4">
        <v>240</v>
      </c>
      <c r="D1119" s="5">
        <f>tbl_details5[[#This Row],[Profit]]/tbl_details5[[#This Row],[Revenue]]</f>
        <v>0.36253776435045315</v>
      </c>
      <c r="E1119">
        <v>2</v>
      </c>
      <c r="F1119" t="s">
        <v>883</v>
      </c>
      <c r="G1119" t="s">
        <v>884</v>
      </c>
      <c r="H1119" s="1">
        <f>VLOOKUP(tbl_details5[[#This Row],[Order ID]],Orders!A:F,2,FALSE)</f>
        <v>43490</v>
      </c>
      <c r="I1119" s="1" t="str">
        <f>TEXT(tbl_details5[[#This Row],[Order Date]],"mmm-yy")</f>
        <v>Jan-19</v>
      </c>
      <c r="J1119" t="str">
        <f>VLOOKUP(tbl_details5[[#This Row],[Order ID]],Table1[],4,FALSE)</f>
        <v>Manisha</v>
      </c>
      <c r="K1119" t="str">
        <f>VLOOKUP(tbl_details5[[#This Row],[Order ID]],Table1[],5,FALSE)</f>
        <v>Rajasthan</v>
      </c>
      <c r="L1119" t="str">
        <f>VLOOKUP(tbl_details5[[#This Row],[Order ID]],Table1[],6,FALSE)</f>
        <v>Udaipur</v>
      </c>
    </row>
    <row r="1120" spans="1:12" x14ac:dyDescent="0.25">
      <c r="A1120" t="s">
        <v>728</v>
      </c>
      <c r="B1120" s="4">
        <v>29</v>
      </c>
      <c r="C1120" s="4">
        <v>2</v>
      </c>
      <c r="D1120" s="5">
        <f>tbl_details5[[#This Row],[Profit]]/tbl_details5[[#This Row],[Revenue]]</f>
        <v>6.8965517241379309E-2</v>
      </c>
      <c r="E1120">
        <v>3</v>
      </c>
      <c r="F1120" t="s">
        <v>885</v>
      </c>
      <c r="G1120" t="s">
        <v>902</v>
      </c>
      <c r="H1120" s="1">
        <f>VLOOKUP(tbl_details5[[#This Row],[Order ID]],Orders!A:F,2,FALSE)</f>
        <v>43490</v>
      </c>
      <c r="I1120" s="1" t="str">
        <f>TEXT(tbl_details5[[#This Row],[Order Date]],"mmm-yy")</f>
        <v>Jan-19</v>
      </c>
      <c r="J1120" t="str">
        <f>VLOOKUP(tbl_details5[[#This Row],[Order ID]],Table1[],4,FALSE)</f>
        <v>Priyanka</v>
      </c>
      <c r="K1120" t="str">
        <f>VLOOKUP(tbl_details5[[#This Row],[Order ID]],Table1[],5,FALSE)</f>
        <v>Uttar Pradesh</v>
      </c>
      <c r="L1120" t="str">
        <f>VLOOKUP(tbl_details5[[#This Row],[Order ID]],Table1[],6,FALSE)</f>
        <v>Allahabad</v>
      </c>
    </row>
    <row r="1121" spans="1:12" x14ac:dyDescent="0.25">
      <c r="A1121" t="s">
        <v>729</v>
      </c>
      <c r="B1121" s="4">
        <v>193</v>
      </c>
      <c r="C1121" s="4">
        <v>8</v>
      </c>
      <c r="D1121" s="5">
        <f>tbl_details5[[#This Row],[Profit]]/tbl_details5[[#This Row],[Revenue]]</f>
        <v>4.145077720207254E-2</v>
      </c>
      <c r="E1121">
        <v>4</v>
      </c>
      <c r="F1121" t="s">
        <v>885</v>
      </c>
      <c r="G1121" t="s">
        <v>895</v>
      </c>
      <c r="H1121" s="1">
        <f>VLOOKUP(tbl_details5[[#This Row],[Order ID]],Orders!A:F,2,FALSE)</f>
        <v>43490</v>
      </c>
      <c r="I1121" s="1" t="str">
        <f>TEXT(tbl_details5[[#This Row],[Order Date]],"mmm-yy")</f>
        <v>Jan-19</v>
      </c>
      <c r="J1121" t="str">
        <f>VLOOKUP(tbl_details5[[#This Row],[Order ID]],Table1[],4,FALSE)</f>
        <v>Piyam</v>
      </c>
      <c r="K1121" t="str">
        <f>VLOOKUP(tbl_details5[[#This Row],[Order ID]],Table1[],5,FALSE)</f>
        <v>Punjab</v>
      </c>
      <c r="L1121" t="str">
        <f>VLOOKUP(tbl_details5[[#This Row],[Order ID]],Table1[],6,FALSE)</f>
        <v>Amritsar</v>
      </c>
    </row>
    <row r="1122" spans="1:12" x14ac:dyDescent="0.25">
      <c r="A1122" t="s">
        <v>731</v>
      </c>
      <c r="B1122" s="4">
        <v>27</v>
      </c>
      <c r="C1122" s="4">
        <v>1</v>
      </c>
      <c r="D1122" s="5">
        <f>tbl_details5[[#This Row],[Profit]]/tbl_details5[[#This Row],[Revenue]]</f>
        <v>3.7037037037037035E-2</v>
      </c>
      <c r="E1122">
        <v>1</v>
      </c>
      <c r="F1122" t="s">
        <v>885</v>
      </c>
      <c r="G1122" t="s">
        <v>886</v>
      </c>
      <c r="H1122" s="1">
        <f>VLOOKUP(tbl_details5[[#This Row],[Order ID]],Orders!A:F,2,FALSE)</f>
        <v>43492</v>
      </c>
      <c r="I1122" s="1" t="str">
        <f>TEXT(tbl_details5[[#This Row],[Order Date]],"mmm-yy")</f>
        <v>Jan-19</v>
      </c>
      <c r="J1122" t="str">
        <f>VLOOKUP(tbl_details5[[#This Row],[Order ID]],Table1[],4,FALSE)</f>
        <v>Aayushi</v>
      </c>
      <c r="K1122" t="str">
        <f>VLOOKUP(tbl_details5[[#This Row],[Order ID]],Table1[],5,FALSE)</f>
        <v>Gujarat</v>
      </c>
      <c r="L1122" t="str">
        <f>VLOOKUP(tbl_details5[[#This Row],[Order ID]],Table1[],6,FALSE)</f>
        <v>Surat</v>
      </c>
    </row>
    <row r="1123" spans="1:12" x14ac:dyDescent="0.25">
      <c r="A1123" t="s">
        <v>731</v>
      </c>
      <c r="B1123" s="4">
        <v>74</v>
      </c>
      <c r="C1123" s="4">
        <v>29</v>
      </c>
      <c r="D1123" s="5">
        <f>tbl_details5[[#This Row],[Profit]]/tbl_details5[[#This Row],[Revenue]]</f>
        <v>0.39189189189189189</v>
      </c>
      <c r="E1123">
        <v>3</v>
      </c>
      <c r="F1123" t="s">
        <v>885</v>
      </c>
      <c r="G1123" t="s">
        <v>886</v>
      </c>
      <c r="H1123" s="1">
        <f>VLOOKUP(tbl_details5[[#This Row],[Order ID]],Orders!A:F,2,FALSE)</f>
        <v>43492</v>
      </c>
      <c r="I1123" s="1" t="str">
        <f>TEXT(tbl_details5[[#This Row],[Order Date]],"mmm-yy")</f>
        <v>Jan-19</v>
      </c>
      <c r="J1123" t="str">
        <f>VLOOKUP(tbl_details5[[#This Row],[Order ID]],Table1[],4,FALSE)</f>
        <v>Aayushi</v>
      </c>
      <c r="K1123" t="str">
        <f>VLOOKUP(tbl_details5[[#This Row],[Order ID]],Table1[],5,FALSE)</f>
        <v>Gujarat</v>
      </c>
      <c r="L1123" t="str">
        <f>VLOOKUP(tbl_details5[[#This Row],[Order ID]],Table1[],6,FALSE)</f>
        <v>Surat</v>
      </c>
    </row>
    <row r="1124" spans="1:12" x14ac:dyDescent="0.25">
      <c r="A1124" t="s">
        <v>731</v>
      </c>
      <c r="B1124" s="4">
        <v>180</v>
      </c>
      <c r="C1124" s="4">
        <v>54</v>
      </c>
      <c r="D1124" s="5">
        <f>tbl_details5[[#This Row],[Profit]]/tbl_details5[[#This Row],[Revenue]]</f>
        <v>0.3</v>
      </c>
      <c r="E1124">
        <v>4</v>
      </c>
      <c r="F1124" t="s">
        <v>885</v>
      </c>
      <c r="G1124" t="s">
        <v>895</v>
      </c>
      <c r="H1124" s="1">
        <f>VLOOKUP(tbl_details5[[#This Row],[Order ID]],Orders!A:F,2,FALSE)</f>
        <v>43492</v>
      </c>
      <c r="I1124" s="1" t="str">
        <f>TEXT(tbl_details5[[#This Row],[Order Date]],"mmm-yy")</f>
        <v>Jan-19</v>
      </c>
      <c r="J1124" t="str">
        <f>VLOOKUP(tbl_details5[[#This Row],[Order ID]],Table1[],4,FALSE)</f>
        <v>Aayushi</v>
      </c>
      <c r="K1124" t="str">
        <f>VLOOKUP(tbl_details5[[#This Row],[Order ID]],Table1[],5,FALSE)</f>
        <v>Gujarat</v>
      </c>
      <c r="L1124" t="str">
        <f>VLOOKUP(tbl_details5[[#This Row],[Order ID]],Table1[],6,FALSE)</f>
        <v>Surat</v>
      </c>
    </row>
    <row r="1125" spans="1:12" x14ac:dyDescent="0.25">
      <c r="A1125" t="s">
        <v>732</v>
      </c>
      <c r="B1125" s="4">
        <v>1063</v>
      </c>
      <c r="C1125" s="4">
        <v>-175</v>
      </c>
      <c r="D1125" s="5">
        <f>tbl_details5[[#This Row],[Profit]]/tbl_details5[[#This Row],[Revenue]]</f>
        <v>-0.16462841015992474</v>
      </c>
      <c r="E1125">
        <v>4</v>
      </c>
      <c r="F1125" t="s">
        <v>888</v>
      </c>
      <c r="G1125" t="s">
        <v>889</v>
      </c>
      <c r="H1125" s="1">
        <f>VLOOKUP(tbl_details5[[#This Row],[Order ID]],Orders!A:F,2,FALSE)</f>
        <v>43492</v>
      </c>
      <c r="I1125" s="1" t="str">
        <f>TEXT(tbl_details5[[#This Row],[Order Date]],"mmm-yy")</f>
        <v>Jan-19</v>
      </c>
      <c r="J1125" t="str">
        <f>VLOOKUP(tbl_details5[[#This Row],[Order ID]],Table1[],4,FALSE)</f>
        <v>Parin</v>
      </c>
      <c r="K1125" t="str">
        <f>VLOOKUP(tbl_details5[[#This Row],[Order ID]],Table1[],5,FALSE)</f>
        <v>Maharashtra</v>
      </c>
      <c r="L1125" t="str">
        <f>VLOOKUP(tbl_details5[[#This Row],[Order ID]],Table1[],6,FALSE)</f>
        <v>Mumbai</v>
      </c>
    </row>
    <row r="1126" spans="1:12" x14ac:dyDescent="0.25">
      <c r="A1126" t="s">
        <v>732</v>
      </c>
      <c r="B1126" s="4">
        <v>341</v>
      </c>
      <c r="C1126" s="4">
        <v>160</v>
      </c>
      <c r="D1126" s="5">
        <f>tbl_details5[[#This Row],[Profit]]/tbl_details5[[#This Row],[Revenue]]</f>
        <v>0.46920821114369504</v>
      </c>
      <c r="E1126">
        <v>7</v>
      </c>
      <c r="F1126" t="s">
        <v>885</v>
      </c>
      <c r="G1126" t="s">
        <v>886</v>
      </c>
      <c r="H1126" s="1">
        <f>VLOOKUP(tbl_details5[[#This Row],[Order ID]],Orders!A:F,2,FALSE)</f>
        <v>43492</v>
      </c>
      <c r="I1126" s="1" t="str">
        <f>TEXT(tbl_details5[[#This Row],[Order Date]],"mmm-yy")</f>
        <v>Jan-19</v>
      </c>
      <c r="J1126" t="str">
        <f>VLOOKUP(tbl_details5[[#This Row],[Order ID]],Table1[],4,FALSE)</f>
        <v>Parin</v>
      </c>
      <c r="K1126" t="str">
        <f>VLOOKUP(tbl_details5[[#This Row],[Order ID]],Table1[],5,FALSE)</f>
        <v>Maharashtra</v>
      </c>
      <c r="L1126" t="str">
        <f>VLOOKUP(tbl_details5[[#This Row],[Order ID]],Table1[],6,FALSE)</f>
        <v>Mumbai</v>
      </c>
    </row>
    <row r="1127" spans="1:12" x14ac:dyDescent="0.25">
      <c r="A1127" t="s">
        <v>734</v>
      </c>
      <c r="B1127" s="4">
        <v>560</v>
      </c>
      <c r="C1127" s="4">
        <v>44</v>
      </c>
      <c r="D1127" s="5">
        <f>tbl_details5[[#This Row],[Profit]]/tbl_details5[[#This Row],[Revenue]]</f>
        <v>7.857142857142857E-2</v>
      </c>
      <c r="E1127">
        <v>3</v>
      </c>
      <c r="F1127" t="s">
        <v>885</v>
      </c>
      <c r="G1127" t="s">
        <v>891</v>
      </c>
      <c r="H1127" s="1">
        <f>VLOOKUP(tbl_details5[[#This Row],[Order ID]],Orders!A:F,2,FALSE)</f>
        <v>43492</v>
      </c>
      <c r="I1127" s="1" t="str">
        <f>TEXT(tbl_details5[[#This Row],[Order Date]],"mmm-yy")</f>
        <v>Jan-19</v>
      </c>
      <c r="J1127" t="str">
        <f>VLOOKUP(tbl_details5[[#This Row],[Order ID]],Table1[],4,FALSE)</f>
        <v>Shivangi</v>
      </c>
      <c r="K1127" t="str">
        <f>VLOOKUP(tbl_details5[[#This Row],[Order ID]],Table1[],5,FALSE)</f>
        <v>Madhya Pradesh</v>
      </c>
      <c r="L1127" t="str">
        <f>VLOOKUP(tbl_details5[[#This Row],[Order ID]],Table1[],6,FALSE)</f>
        <v>Indore</v>
      </c>
    </row>
    <row r="1128" spans="1:12" x14ac:dyDescent="0.25">
      <c r="A1128" t="s">
        <v>734</v>
      </c>
      <c r="B1128" s="4">
        <v>57</v>
      </c>
      <c r="C1128" s="4">
        <v>27</v>
      </c>
      <c r="D1128" s="5">
        <f>tbl_details5[[#This Row],[Profit]]/tbl_details5[[#This Row],[Revenue]]</f>
        <v>0.47368421052631576</v>
      </c>
      <c r="E1128">
        <v>2</v>
      </c>
      <c r="F1128" t="s">
        <v>885</v>
      </c>
      <c r="G1128" t="s">
        <v>896</v>
      </c>
      <c r="H1128" s="1">
        <f>VLOOKUP(tbl_details5[[#This Row],[Order ID]],Orders!A:F,2,FALSE)</f>
        <v>43492</v>
      </c>
      <c r="I1128" s="1" t="str">
        <f>TEXT(tbl_details5[[#This Row],[Order Date]],"mmm-yy")</f>
        <v>Jan-19</v>
      </c>
      <c r="J1128" t="str">
        <f>VLOOKUP(tbl_details5[[#This Row],[Order ID]],Table1[],4,FALSE)</f>
        <v>Shivangi</v>
      </c>
      <c r="K1128" t="str">
        <f>VLOOKUP(tbl_details5[[#This Row],[Order ID]],Table1[],5,FALSE)</f>
        <v>Madhya Pradesh</v>
      </c>
      <c r="L1128" t="str">
        <f>VLOOKUP(tbl_details5[[#This Row],[Order ID]],Table1[],6,FALSE)</f>
        <v>Indore</v>
      </c>
    </row>
    <row r="1129" spans="1:12" x14ac:dyDescent="0.25">
      <c r="A1129" t="s">
        <v>734</v>
      </c>
      <c r="B1129" s="4">
        <v>284</v>
      </c>
      <c r="C1129" s="4">
        <v>45</v>
      </c>
      <c r="D1129" s="5">
        <f>tbl_details5[[#This Row],[Profit]]/tbl_details5[[#This Row],[Revenue]]</f>
        <v>0.15845070422535212</v>
      </c>
      <c r="E1129">
        <v>2</v>
      </c>
      <c r="F1129" t="s">
        <v>883</v>
      </c>
      <c r="G1129" t="s">
        <v>884</v>
      </c>
      <c r="H1129" s="1">
        <f>VLOOKUP(tbl_details5[[#This Row],[Order ID]],Orders!A:F,2,FALSE)</f>
        <v>43492</v>
      </c>
      <c r="I1129" s="1" t="str">
        <f>TEXT(tbl_details5[[#This Row],[Order Date]],"mmm-yy")</f>
        <v>Jan-19</v>
      </c>
      <c r="J1129" t="str">
        <f>VLOOKUP(tbl_details5[[#This Row],[Order ID]],Table1[],4,FALSE)</f>
        <v>Shivangi</v>
      </c>
      <c r="K1129" t="str">
        <f>VLOOKUP(tbl_details5[[#This Row],[Order ID]],Table1[],5,FALSE)</f>
        <v>Madhya Pradesh</v>
      </c>
      <c r="L1129" t="str">
        <f>VLOOKUP(tbl_details5[[#This Row],[Order ID]],Table1[],6,FALSE)</f>
        <v>Indore</v>
      </c>
    </row>
    <row r="1130" spans="1:12" x14ac:dyDescent="0.25">
      <c r="A1130" t="s">
        <v>734</v>
      </c>
      <c r="B1130" s="4">
        <v>12</v>
      </c>
      <c r="C1130" s="4">
        <v>1</v>
      </c>
      <c r="D1130" s="5">
        <f>tbl_details5[[#This Row],[Profit]]/tbl_details5[[#This Row],[Revenue]]</f>
        <v>8.3333333333333329E-2</v>
      </c>
      <c r="E1130">
        <v>2</v>
      </c>
      <c r="F1130" t="s">
        <v>885</v>
      </c>
      <c r="G1130" t="s">
        <v>887</v>
      </c>
      <c r="H1130" s="1">
        <f>VLOOKUP(tbl_details5[[#This Row],[Order ID]],Orders!A:F,2,FALSE)</f>
        <v>43492</v>
      </c>
      <c r="I1130" s="1" t="str">
        <f>TEXT(tbl_details5[[#This Row],[Order Date]],"mmm-yy")</f>
        <v>Jan-19</v>
      </c>
      <c r="J1130" t="str">
        <f>VLOOKUP(tbl_details5[[#This Row],[Order ID]],Table1[],4,FALSE)</f>
        <v>Shivangi</v>
      </c>
      <c r="K1130" t="str">
        <f>VLOOKUP(tbl_details5[[#This Row],[Order ID]],Table1[],5,FALSE)</f>
        <v>Madhya Pradesh</v>
      </c>
      <c r="L1130" t="str">
        <f>VLOOKUP(tbl_details5[[#This Row],[Order ID]],Table1[],6,FALSE)</f>
        <v>Indore</v>
      </c>
    </row>
    <row r="1131" spans="1:12" x14ac:dyDescent="0.25">
      <c r="A1131" t="s">
        <v>734</v>
      </c>
      <c r="B1131" s="4">
        <v>82</v>
      </c>
      <c r="C1131" s="4">
        <v>27</v>
      </c>
      <c r="D1131" s="5">
        <f>tbl_details5[[#This Row],[Profit]]/tbl_details5[[#This Row],[Revenue]]</f>
        <v>0.32926829268292684</v>
      </c>
      <c r="E1131">
        <v>3</v>
      </c>
      <c r="F1131" t="s">
        <v>885</v>
      </c>
      <c r="G1131" t="s">
        <v>894</v>
      </c>
      <c r="H1131" s="1">
        <f>VLOOKUP(tbl_details5[[#This Row],[Order ID]],Orders!A:F,2,FALSE)</f>
        <v>43492</v>
      </c>
      <c r="I1131" s="1" t="str">
        <f>TEXT(tbl_details5[[#This Row],[Order Date]],"mmm-yy")</f>
        <v>Jan-19</v>
      </c>
      <c r="J1131" t="str">
        <f>VLOOKUP(tbl_details5[[#This Row],[Order ID]],Table1[],4,FALSE)</f>
        <v>Shivangi</v>
      </c>
      <c r="K1131" t="str">
        <f>VLOOKUP(tbl_details5[[#This Row],[Order ID]],Table1[],5,FALSE)</f>
        <v>Madhya Pradesh</v>
      </c>
      <c r="L1131" t="str">
        <f>VLOOKUP(tbl_details5[[#This Row],[Order ID]],Table1[],6,FALSE)</f>
        <v>Indore</v>
      </c>
    </row>
    <row r="1132" spans="1:12" x14ac:dyDescent="0.25">
      <c r="A1132" t="s">
        <v>735</v>
      </c>
      <c r="B1132" s="4">
        <v>22</v>
      </c>
      <c r="C1132" s="4">
        <v>11</v>
      </c>
      <c r="D1132" s="5">
        <f>tbl_details5[[#This Row],[Profit]]/tbl_details5[[#This Row],[Revenue]]</f>
        <v>0.5</v>
      </c>
      <c r="E1132">
        <v>3</v>
      </c>
      <c r="F1132" t="s">
        <v>885</v>
      </c>
      <c r="G1132" t="s">
        <v>894</v>
      </c>
      <c r="H1132" s="1">
        <f>VLOOKUP(tbl_details5[[#This Row],[Order ID]],Orders!A:F,2,FALSE)</f>
        <v>43492</v>
      </c>
      <c r="I1132" s="1" t="str">
        <f>TEXT(tbl_details5[[#This Row],[Order Date]],"mmm-yy")</f>
        <v>Jan-19</v>
      </c>
      <c r="J1132" t="str">
        <f>VLOOKUP(tbl_details5[[#This Row],[Order ID]],Table1[],4,FALSE)</f>
        <v>Shweta</v>
      </c>
      <c r="K1132" t="str">
        <f>VLOOKUP(tbl_details5[[#This Row],[Order ID]],Table1[],5,FALSE)</f>
        <v>Rajasthan</v>
      </c>
      <c r="L1132" t="str">
        <f>VLOOKUP(tbl_details5[[#This Row],[Order ID]],Table1[],6,FALSE)</f>
        <v>Udaipur</v>
      </c>
    </row>
    <row r="1133" spans="1:12" x14ac:dyDescent="0.25">
      <c r="A1133" t="s">
        <v>736</v>
      </c>
      <c r="B1133" s="4">
        <v>42</v>
      </c>
      <c r="C1133" s="4">
        <v>13</v>
      </c>
      <c r="D1133" s="5">
        <f>tbl_details5[[#This Row],[Profit]]/tbl_details5[[#This Row],[Revenue]]</f>
        <v>0.30952380952380953</v>
      </c>
      <c r="E1133">
        <v>3</v>
      </c>
      <c r="F1133" t="s">
        <v>885</v>
      </c>
      <c r="G1133" t="s">
        <v>897</v>
      </c>
      <c r="H1133" s="1">
        <f>VLOOKUP(tbl_details5[[#This Row],[Order ID]],Orders!A:F,2,FALSE)</f>
        <v>43493</v>
      </c>
      <c r="I1133" s="1" t="str">
        <f>TEXT(tbl_details5[[#This Row],[Order Date]],"mmm-yy")</f>
        <v>Jan-19</v>
      </c>
      <c r="J1133" t="str">
        <f>VLOOKUP(tbl_details5[[#This Row],[Order ID]],Table1[],4,FALSE)</f>
        <v>Amruta</v>
      </c>
      <c r="K1133" t="str">
        <f>VLOOKUP(tbl_details5[[#This Row],[Order ID]],Table1[],5,FALSE)</f>
        <v>Delhi</v>
      </c>
      <c r="L1133" t="str">
        <f>VLOOKUP(tbl_details5[[#This Row],[Order ID]],Table1[],6,FALSE)</f>
        <v>Delhi</v>
      </c>
    </row>
    <row r="1134" spans="1:12" x14ac:dyDescent="0.25">
      <c r="A1134" t="s">
        <v>736</v>
      </c>
      <c r="B1134" s="4">
        <v>54</v>
      </c>
      <c r="C1134" s="4">
        <v>12</v>
      </c>
      <c r="D1134" s="5">
        <f>tbl_details5[[#This Row],[Profit]]/tbl_details5[[#This Row],[Revenue]]</f>
        <v>0.22222222222222221</v>
      </c>
      <c r="E1134">
        <v>3</v>
      </c>
      <c r="F1134" t="s">
        <v>885</v>
      </c>
      <c r="G1134" t="s">
        <v>891</v>
      </c>
      <c r="H1134" s="1">
        <f>VLOOKUP(tbl_details5[[#This Row],[Order ID]],Orders!A:F,2,FALSE)</f>
        <v>43493</v>
      </c>
      <c r="I1134" s="1" t="str">
        <f>TEXT(tbl_details5[[#This Row],[Order Date]],"mmm-yy")</f>
        <v>Jan-19</v>
      </c>
      <c r="J1134" t="str">
        <f>VLOOKUP(tbl_details5[[#This Row],[Order ID]],Table1[],4,FALSE)</f>
        <v>Amruta</v>
      </c>
      <c r="K1134" t="str">
        <f>VLOOKUP(tbl_details5[[#This Row],[Order ID]],Table1[],5,FALSE)</f>
        <v>Delhi</v>
      </c>
      <c r="L1134" t="str">
        <f>VLOOKUP(tbl_details5[[#This Row],[Order ID]],Table1[],6,FALSE)</f>
        <v>Delhi</v>
      </c>
    </row>
    <row r="1135" spans="1:12" x14ac:dyDescent="0.25">
      <c r="A1135" t="s">
        <v>736</v>
      </c>
      <c r="B1135" s="4">
        <v>62</v>
      </c>
      <c r="C1135" s="4">
        <v>8</v>
      </c>
      <c r="D1135" s="5">
        <f>tbl_details5[[#This Row],[Profit]]/tbl_details5[[#This Row],[Revenue]]</f>
        <v>0.12903225806451613</v>
      </c>
      <c r="E1135">
        <v>2</v>
      </c>
      <c r="F1135" t="s">
        <v>885</v>
      </c>
      <c r="G1135" t="s">
        <v>895</v>
      </c>
      <c r="H1135" s="1">
        <f>VLOOKUP(tbl_details5[[#This Row],[Order ID]],Orders!A:F,2,FALSE)</f>
        <v>43493</v>
      </c>
      <c r="I1135" s="1" t="str">
        <f>TEXT(tbl_details5[[#This Row],[Order Date]],"mmm-yy")</f>
        <v>Jan-19</v>
      </c>
      <c r="J1135" t="str">
        <f>VLOOKUP(tbl_details5[[#This Row],[Order ID]],Table1[],4,FALSE)</f>
        <v>Amruta</v>
      </c>
      <c r="K1135" t="str">
        <f>VLOOKUP(tbl_details5[[#This Row],[Order ID]],Table1[],5,FALSE)</f>
        <v>Delhi</v>
      </c>
      <c r="L1135" t="str">
        <f>VLOOKUP(tbl_details5[[#This Row],[Order ID]],Table1[],6,FALSE)</f>
        <v>Delhi</v>
      </c>
    </row>
    <row r="1136" spans="1:12" x14ac:dyDescent="0.25">
      <c r="A1136" t="s">
        <v>736</v>
      </c>
      <c r="B1136" s="4">
        <v>245</v>
      </c>
      <c r="C1136" s="4">
        <v>91</v>
      </c>
      <c r="D1136" s="5">
        <f>tbl_details5[[#This Row],[Profit]]/tbl_details5[[#This Row],[Revenue]]</f>
        <v>0.37142857142857144</v>
      </c>
      <c r="E1136">
        <v>2</v>
      </c>
      <c r="F1136" t="s">
        <v>883</v>
      </c>
      <c r="G1136" t="s">
        <v>884</v>
      </c>
      <c r="H1136" s="1">
        <f>VLOOKUP(tbl_details5[[#This Row],[Order ID]],Orders!A:F,2,FALSE)</f>
        <v>43493</v>
      </c>
      <c r="I1136" s="1" t="str">
        <f>TEXT(tbl_details5[[#This Row],[Order Date]],"mmm-yy")</f>
        <v>Jan-19</v>
      </c>
      <c r="J1136" t="str">
        <f>VLOOKUP(tbl_details5[[#This Row],[Order ID]],Table1[],4,FALSE)</f>
        <v>Amruta</v>
      </c>
      <c r="K1136" t="str">
        <f>VLOOKUP(tbl_details5[[#This Row],[Order ID]],Table1[],5,FALSE)</f>
        <v>Delhi</v>
      </c>
      <c r="L1136" t="str">
        <f>VLOOKUP(tbl_details5[[#This Row],[Order ID]],Table1[],6,FALSE)</f>
        <v>Delhi</v>
      </c>
    </row>
    <row r="1137" spans="1:12" x14ac:dyDescent="0.25">
      <c r="A1137" t="s">
        <v>736</v>
      </c>
      <c r="B1137" s="4">
        <v>867</v>
      </c>
      <c r="C1137" s="4">
        <v>251</v>
      </c>
      <c r="D1137" s="5">
        <f>tbl_details5[[#This Row],[Profit]]/tbl_details5[[#This Row],[Revenue]]</f>
        <v>0.28950403690888121</v>
      </c>
      <c r="E1137">
        <v>5</v>
      </c>
      <c r="F1137" t="s">
        <v>888</v>
      </c>
      <c r="G1137" t="s">
        <v>890</v>
      </c>
      <c r="H1137" s="1">
        <f>VLOOKUP(tbl_details5[[#This Row],[Order ID]],Orders!A:F,2,FALSE)</f>
        <v>43493</v>
      </c>
      <c r="I1137" s="1" t="str">
        <f>TEXT(tbl_details5[[#This Row],[Order Date]],"mmm-yy")</f>
        <v>Jan-19</v>
      </c>
      <c r="J1137" t="str">
        <f>VLOOKUP(tbl_details5[[#This Row],[Order ID]],Table1[],4,FALSE)</f>
        <v>Amruta</v>
      </c>
      <c r="K1137" t="str">
        <f>VLOOKUP(tbl_details5[[#This Row],[Order ID]],Table1[],5,FALSE)</f>
        <v>Delhi</v>
      </c>
      <c r="L1137" t="str">
        <f>VLOOKUP(tbl_details5[[#This Row],[Order ID]],Table1[],6,FALSE)</f>
        <v>Delhi</v>
      </c>
    </row>
    <row r="1138" spans="1:12" x14ac:dyDescent="0.25">
      <c r="A1138" t="s">
        <v>736</v>
      </c>
      <c r="B1138" s="4">
        <v>48</v>
      </c>
      <c r="C1138" s="4">
        <v>2</v>
      </c>
      <c r="D1138" s="5">
        <f>tbl_details5[[#This Row],[Profit]]/tbl_details5[[#This Row],[Revenue]]</f>
        <v>4.1666666666666664E-2</v>
      </c>
      <c r="E1138">
        <v>3</v>
      </c>
      <c r="F1138" t="s">
        <v>885</v>
      </c>
      <c r="G1138" t="s">
        <v>886</v>
      </c>
      <c r="H1138" s="1">
        <f>VLOOKUP(tbl_details5[[#This Row],[Order ID]],Orders!A:F,2,FALSE)</f>
        <v>43493</v>
      </c>
      <c r="I1138" s="1" t="str">
        <f>TEXT(tbl_details5[[#This Row],[Order Date]],"mmm-yy")</f>
        <v>Jan-19</v>
      </c>
      <c r="J1138" t="str">
        <f>VLOOKUP(tbl_details5[[#This Row],[Order ID]],Table1[],4,FALSE)</f>
        <v>Amruta</v>
      </c>
      <c r="K1138" t="str">
        <f>VLOOKUP(tbl_details5[[#This Row],[Order ID]],Table1[],5,FALSE)</f>
        <v>Delhi</v>
      </c>
      <c r="L1138" t="str">
        <f>VLOOKUP(tbl_details5[[#This Row],[Order ID]],Table1[],6,FALSE)</f>
        <v>Delhi</v>
      </c>
    </row>
    <row r="1139" spans="1:12" x14ac:dyDescent="0.25">
      <c r="A1139" t="s">
        <v>738</v>
      </c>
      <c r="B1139" s="4">
        <v>13</v>
      </c>
      <c r="C1139" s="4">
        <v>3</v>
      </c>
      <c r="D1139" s="5">
        <f>tbl_details5[[#This Row],[Profit]]/tbl_details5[[#This Row],[Revenue]]</f>
        <v>0.23076923076923078</v>
      </c>
      <c r="E1139">
        <v>1</v>
      </c>
      <c r="F1139" t="s">
        <v>885</v>
      </c>
      <c r="G1139" t="s">
        <v>897</v>
      </c>
      <c r="H1139" s="1">
        <f>VLOOKUP(tbl_details5[[#This Row],[Order ID]],Orders!A:F,2,FALSE)</f>
        <v>43494</v>
      </c>
      <c r="I1139" s="1" t="str">
        <f>TEXT(tbl_details5[[#This Row],[Order Date]],"mmm-yy")</f>
        <v>Jan-19</v>
      </c>
      <c r="J1139" t="str">
        <f>VLOOKUP(tbl_details5[[#This Row],[Order ID]],Table1[],4,FALSE)</f>
        <v>Hemangi</v>
      </c>
      <c r="K1139" t="str">
        <f>VLOOKUP(tbl_details5[[#This Row],[Order ID]],Table1[],5,FALSE)</f>
        <v>Delhi</v>
      </c>
      <c r="L1139" t="str">
        <f>VLOOKUP(tbl_details5[[#This Row],[Order ID]],Table1[],6,FALSE)</f>
        <v>Delhi</v>
      </c>
    </row>
    <row r="1140" spans="1:12" x14ac:dyDescent="0.25">
      <c r="A1140" t="s">
        <v>740</v>
      </c>
      <c r="B1140" s="4">
        <v>230</v>
      </c>
      <c r="C1140" s="4">
        <v>5</v>
      </c>
      <c r="D1140" s="5">
        <f>tbl_details5[[#This Row],[Profit]]/tbl_details5[[#This Row],[Revenue]]</f>
        <v>2.1739130434782608E-2</v>
      </c>
      <c r="E1140">
        <v>2</v>
      </c>
      <c r="F1140" t="s">
        <v>885</v>
      </c>
      <c r="G1140" t="s">
        <v>891</v>
      </c>
      <c r="H1140" s="1">
        <f>VLOOKUP(tbl_details5[[#This Row],[Order ID]],Orders!A:F,2,FALSE)</f>
        <v>43495</v>
      </c>
      <c r="I1140" s="1" t="str">
        <f>TEXT(tbl_details5[[#This Row],[Order Date]],"mmm-yy")</f>
        <v>Jan-19</v>
      </c>
      <c r="J1140" t="str">
        <f>VLOOKUP(tbl_details5[[#This Row],[Order ID]],Table1[],4,FALSE)</f>
        <v>Atul</v>
      </c>
      <c r="K1140" t="str">
        <f>VLOOKUP(tbl_details5[[#This Row],[Order ID]],Table1[],5,FALSE)</f>
        <v>Delhi</v>
      </c>
      <c r="L1140" t="str">
        <f>VLOOKUP(tbl_details5[[#This Row],[Order ID]],Table1[],6,FALSE)</f>
        <v>Delhi</v>
      </c>
    </row>
    <row r="1141" spans="1:12" x14ac:dyDescent="0.25">
      <c r="A1141" t="s">
        <v>740</v>
      </c>
      <c r="B1141" s="4">
        <v>32</v>
      </c>
      <c r="C1141" s="4">
        <v>-12</v>
      </c>
      <c r="D1141" s="5">
        <f>tbl_details5[[#This Row],[Profit]]/tbl_details5[[#This Row],[Revenue]]</f>
        <v>-0.375</v>
      </c>
      <c r="E1141">
        <v>1</v>
      </c>
      <c r="F1141" t="s">
        <v>883</v>
      </c>
      <c r="G1141" t="s">
        <v>893</v>
      </c>
      <c r="H1141" s="1">
        <f>VLOOKUP(tbl_details5[[#This Row],[Order ID]],Orders!A:F,2,FALSE)</f>
        <v>43495</v>
      </c>
      <c r="I1141" s="1" t="str">
        <f>TEXT(tbl_details5[[#This Row],[Order Date]],"mmm-yy")</f>
        <v>Jan-19</v>
      </c>
      <c r="J1141" t="str">
        <f>VLOOKUP(tbl_details5[[#This Row],[Order ID]],Table1[],4,FALSE)</f>
        <v>Atul</v>
      </c>
      <c r="K1141" t="str">
        <f>VLOOKUP(tbl_details5[[#This Row],[Order ID]],Table1[],5,FALSE)</f>
        <v>Delhi</v>
      </c>
      <c r="L1141" t="str">
        <f>VLOOKUP(tbl_details5[[#This Row],[Order ID]],Table1[],6,FALSE)</f>
        <v>Delhi</v>
      </c>
    </row>
    <row r="1142" spans="1:12" x14ac:dyDescent="0.25">
      <c r="A1142" t="s">
        <v>740</v>
      </c>
      <c r="B1142" s="4">
        <v>161</v>
      </c>
      <c r="C1142" s="4">
        <v>-229</v>
      </c>
      <c r="D1142" s="5">
        <f>tbl_details5[[#This Row],[Profit]]/tbl_details5[[#This Row],[Revenue]]</f>
        <v>-1.4223602484472049</v>
      </c>
      <c r="E1142">
        <v>8</v>
      </c>
      <c r="F1142" t="s">
        <v>883</v>
      </c>
      <c r="G1142" t="s">
        <v>901</v>
      </c>
      <c r="H1142" s="1">
        <f>VLOOKUP(tbl_details5[[#This Row],[Order ID]],Orders!A:F,2,FALSE)</f>
        <v>43495</v>
      </c>
      <c r="I1142" s="1" t="str">
        <f>TEXT(tbl_details5[[#This Row],[Order Date]],"mmm-yy")</f>
        <v>Jan-19</v>
      </c>
      <c r="J1142" t="str">
        <f>VLOOKUP(tbl_details5[[#This Row],[Order ID]],Table1[],4,FALSE)</f>
        <v>Atul</v>
      </c>
      <c r="K1142" t="str">
        <f>VLOOKUP(tbl_details5[[#This Row],[Order ID]],Table1[],5,FALSE)</f>
        <v>Delhi</v>
      </c>
      <c r="L1142" t="str">
        <f>VLOOKUP(tbl_details5[[#This Row],[Order ID]],Table1[],6,FALSE)</f>
        <v>Delhi</v>
      </c>
    </row>
    <row r="1143" spans="1:12" x14ac:dyDescent="0.25">
      <c r="A1143" t="s">
        <v>740</v>
      </c>
      <c r="B1143" s="4">
        <v>50</v>
      </c>
      <c r="C1143" s="4">
        <v>-4</v>
      </c>
      <c r="D1143" s="5">
        <f>tbl_details5[[#This Row],[Profit]]/tbl_details5[[#This Row],[Revenue]]</f>
        <v>-0.08</v>
      </c>
      <c r="E1143">
        <v>6</v>
      </c>
      <c r="F1143" t="s">
        <v>885</v>
      </c>
      <c r="G1143" t="s">
        <v>895</v>
      </c>
      <c r="H1143" s="1">
        <f>VLOOKUP(tbl_details5[[#This Row],[Order ID]],Orders!A:F,2,FALSE)</f>
        <v>43495</v>
      </c>
      <c r="I1143" s="1" t="str">
        <f>TEXT(tbl_details5[[#This Row],[Order Date]],"mmm-yy")</f>
        <v>Jan-19</v>
      </c>
      <c r="J1143" t="str">
        <f>VLOOKUP(tbl_details5[[#This Row],[Order ID]],Table1[],4,FALSE)</f>
        <v>Atul</v>
      </c>
      <c r="K1143" t="str">
        <f>VLOOKUP(tbl_details5[[#This Row],[Order ID]],Table1[],5,FALSE)</f>
        <v>Delhi</v>
      </c>
      <c r="L1143" t="str">
        <f>VLOOKUP(tbl_details5[[#This Row],[Order ID]],Table1[],6,FALSE)</f>
        <v>Delhi</v>
      </c>
    </row>
    <row r="1144" spans="1:12" x14ac:dyDescent="0.25">
      <c r="A1144" t="s">
        <v>740</v>
      </c>
      <c r="B1144" s="4">
        <v>561</v>
      </c>
      <c r="C1144" s="4">
        <v>118</v>
      </c>
      <c r="D1144" s="5">
        <f>tbl_details5[[#This Row],[Profit]]/tbl_details5[[#This Row],[Revenue]]</f>
        <v>0.21033868092691621</v>
      </c>
      <c r="E1144">
        <v>5</v>
      </c>
      <c r="F1144" t="s">
        <v>883</v>
      </c>
      <c r="G1144" t="s">
        <v>884</v>
      </c>
      <c r="H1144" s="1">
        <f>VLOOKUP(tbl_details5[[#This Row],[Order ID]],Orders!A:F,2,FALSE)</f>
        <v>43495</v>
      </c>
      <c r="I1144" s="1" t="str">
        <f>TEXT(tbl_details5[[#This Row],[Order Date]],"mmm-yy")</f>
        <v>Jan-19</v>
      </c>
      <c r="J1144" t="str">
        <f>VLOOKUP(tbl_details5[[#This Row],[Order ID]],Table1[],4,FALSE)</f>
        <v>Atul</v>
      </c>
      <c r="K1144" t="str">
        <f>VLOOKUP(tbl_details5[[#This Row],[Order ID]],Table1[],5,FALSE)</f>
        <v>Delhi</v>
      </c>
      <c r="L1144" t="str">
        <f>VLOOKUP(tbl_details5[[#This Row],[Order ID]],Table1[],6,FALSE)</f>
        <v>Delhi</v>
      </c>
    </row>
    <row r="1145" spans="1:12" x14ac:dyDescent="0.25">
      <c r="A1145" t="s">
        <v>742</v>
      </c>
      <c r="B1145" s="4">
        <v>304</v>
      </c>
      <c r="C1145" s="4">
        <v>97</v>
      </c>
      <c r="D1145" s="5">
        <f>tbl_details5[[#This Row],[Profit]]/tbl_details5[[#This Row],[Revenue]]</f>
        <v>0.31907894736842107</v>
      </c>
      <c r="E1145">
        <v>6</v>
      </c>
      <c r="F1145" t="s">
        <v>885</v>
      </c>
      <c r="G1145" t="s">
        <v>886</v>
      </c>
      <c r="H1145" s="1">
        <f>VLOOKUP(tbl_details5[[#This Row],[Order ID]],Orders!A:F,2,FALSE)</f>
        <v>43495</v>
      </c>
      <c r="I1145" s="1" t="str">
        <f>TEXT(tbl_details5[[#This Row],[Order Date]],"mmm-yy")</f>
        <v>Jan-19</v>
      </c>
      <c r="J1145" t="str">
        <f>VLOOKUP(tbl_details5[[#This Row],[Order ID]],Table1[],4,FALSE)</f>
        <v>Kajal</v>
      </c>
      <c r="K1145" t="str">
        <f>VLOOKUP(tbl_details5[[#This Row],[Order ID]],Table1[],5,FALSE)</f>
        <v>Delhi</v>
      </c>
      <c r="L1145" t="str">
        <f>VLOOKUP(tbl_details5[[#This Row],[Order ID]],Table1[],6,FALSE)</f>
        <v>Delhi</v>
      </c>
    </row>
    <row r="1146" spans="1:12" x14ac:dyDescent="0.25">
      <c r="A1146" t="s">
        <v>743</v>
      </c>
      <c r="B1146" s="4">
        <v>197</v>
      </c>
      <c r="C1146" s="4">
        <v>20</v>
      </c>
      <c r="D1146" s="5">
        <f>tbl_details5[[#This Row],[Profit]]/tbl_details5[[#This Row],[Revenue]]</f>
        <v>0.10152284263959391</v>
      </c>
      <c r="E1146">
        <v>4</v>
      </c>
      <c r="F1146" t="s">
        <v>885</v>
      </c>
      <c r="G1146" t="s">
        <v>894</v>
      </c>
      <c r="H1146" s="1">
        <f>VLOOKUP(tbl_details5[[#This Row],[Order ID]],Orders!A:F,2,FALSE)</f>
        <v>43496</v>
      </c>
      <c r="I1146" s="1" t="str">
        <f>TEXT(tbl_details5[[#This Row],[Order Date]],"mmm-yy")</f>
        <v>Jan-19</v>
      </c>
      <c r="J1146" t="str">
        <f>VLOOKUP(tbl_details5[[#This Row],[Order ID]],Table1[],4,FALSE)</f>
        <v>Ginny</v>
      </c>
      <c r="K1146" t="str">
        <f>VLOOKUP(tbl_details5[[#This Row],[Order ID]],Table1[],5,FALSE)</f>
        <v>Madhya Pradesh</v>
      </c>
      <c r="L1146" t="str">
        <f>VLOOKUP(tbl_details5[[#This Row],[Order ID]],Table1[],6,FALSE)</f>
        <v>Indore</v>
      </c>
    </row>
    <row r="1147" spans="1:12" x14ac:dyDescent="0.25">
      <c r="A1147" t="s">
        <v>743</v>
      </c>
      <c r="B1147" s="4">
        <v>108</v>
      </c>
      <c r="C1147" s="4">
        <v>26</v>
      </c>
      <c r="D1147" s="5">
        <f>tbl_details5[[#This Row],[Profit]]/tbl_details5[[#This Row],[Revenue]]</f>
        <v>0.24074074074074073</v>
      </c>
      <c r="E1147">
        <v>4</v>
      </c>
      <c r="F1147" t="s">
        <v>885</v>
      </c>
      <c r="G1147" t="s">
        <v>896</v>
      </c>
      <c r="H1147" s="1">
        <f>VLOOKUP(tbl_details5[[#This Row],[Order ID]],Orders!A:F,2,FALSE)</f>
        <v>43496</v>
      </c>
      <c r="I1147" s="1" t="str">
        <f>TEXT(tbl_details5[[#This Row],[Order Date]],"mmm-yy")</f>
        <v>Jan-19</v>
      </c>
      <c r="J1147" t="str">
        <f>VLOOKUP(tbl_details5[[#This Row],[Order ID]],Table1[],4,FALSE)</f>
        <v>Ginny</v>
      </c>
      <c r="K1147" t="str">
        <f>VLOOKUP(tbl_details5[[#This Row],[Order ID]],Table1[],5,FALSE)</f>
        <v>Madhya Pradesh</v>
      </c>
      <c r="L1147" t="str">
        <f>VLOOKUP(tbl_details5[[#This Row],[Order ID]],Table1[],6,FALSE)</f>
        <v>Indore</v>
      </c>
    </row>
    <row r="1148" spans="1:12" x14ac:dyDescent="0.25">
      <c r="A1148" t="s">
        <v>743</v>
      </c>
      <c r="B1148" s="4">
        <v>32</v>
      </c>
      <c r="C1148" s="4">
        <v>8</v>
      </c>
      <c r="D1148" s="5">
        <f>tbl_details5[[#This Row],[Profit]]/tbl_details5[[#This Row],[Revenue]]</f>
        <v>0.25</v>
      </c>
      <c r="E1148">
        <v>5</v>
      </c>
      <c r="F1148" t="s">
        <v>885</v>
      </c>
      <c r="G1148" t="s">
        <v>887</v>
      </c>
      <c r="H1148" s="1">
        <f>VLOOKUP(tbl_details5[[#This Row],[Order ID]],Orders!A:F,2,FALSE)</f>
        <v>43496</v>
      </c>
      <c r="I1148" s="1" t="str">
        <f>TEXT(tbl_details5[[#This Row],[Order Date]],"mmm-yy")</f>
        <v>Jan-19</v>
      </c>
      <c r="J1148" t="str">
        <f>VLOOKUP(tbl_details5[[#This Row],[Order ID]],Table1[],4,FALSE)</f>
        <v>Ginny</v>
      </c>
      <c r="K1148" t="str">
        <f>VLOOKUP(tbl_details5[[#This Row],[Order ID]],Table1[],5,FALSE)</f>
        <v>Madhya Pradesh</v>
      </c>
      <c r="L1148" t="str">
        <f>VLOOKUP(tbl_details5[[#This Row],[Order ID]],Table1[],6,FALSE)</f>
        <v>Indore</v>
      </c>
    </row>
    <row r="1149" spans="1:12" x14ac:dyDescent="0.25">
      <c r="A1149" t="s">
        <v>743</v>
      </c>
      <c r="B1149" s="4">
        <v>44</v>
      </c>
      <c r="C1149" s="4">
        <v>11</v>
      </c>
      <c r="D1149" s="5">
        <f>tbl_details5[[#This Row],[Profit]]/tbl_details5[[#This Row],[Revenue]]</f>
        <v>0.25</v>
      </c>
      <c r="E1149">
        <v>4</v>
      </c>
      <c r="F1149" t="s">
        <v>885</v>
      </c>
      <c r="G1149" t="s">
        <v>886</v>
      </c>
      <c r="H1149" s="1">
        <f>VLOOKUP(tbl_details5[[#This Row],[Order ID]],Orders!A:F,2,FALSE)</f>
        <v>43496</v>
      </c>
      <c r="I1149" s="1" t="str">
        <f>TEXT(tbl_details5[[#This Row],[Order Date]],"mmm-yy")</f>
        <v>Jan-19</v>
      </c>
      <c r="J1149" t="str">
        <f>VLOOKUP(tbl_details5[[#This Row],[Order ID]],Table1[],4,FALSE)</f>
        <v>Ginny</v>
      </c>
      <c r="K1149" t="str">
        <f>VLOOKUP(tbl_details5[[#This Row],[Order ID]],Table1[],5,FALSE)</f>
        <v>Madhya Pradesh</v>
      </c>
      <c r="L1149" t="str">
        <f>VLOOKUP(tbl_details5[[#This Row],[Order ID]],Table1[],6,FALSE)</f>
        <v>Indore</v>
      </c>
    </row>
    <row r="1150" spans="1:12" x14ac:dyDescent="0.25">
      <c r="A1150" t="s">
        <v>745</v>
      </c>
      <c r="B1150" s="4">
        <v>749</v>
      </c>
      <c r="C1150" s="4">
        <v>307</v>
      </c>
      <c r="D1150" s="5">
        <f>tbl_details5[[#This Row],[Profit]]/tbl_details5[[#This Row],[Revenue]]</f>
        <v>0.40987983978638182</v>
      </c>
      <c r="E1150">
        <v>7</v>
      </c>
      <c r="F1150" t="s">
        <v>883</v>
      </c>
      <c r="G1150" t="s">
        <v>901</v>
      </c>
      <c r="H1150" s="1">
        <f>VLOOKUP(tbl_details5[[#This Row],[Order ID]],Orders!A:F,2,FALSE)</f>
        <v>43496</v>
      </c>
      <c r="I1150" s="1" t="str">
        <f>TEXT(tbl_details5[[#This Row],[Order Date]],"mmm-yy")</f>
        <v>Jan-19</v>
      </c>
      <c r="J1150" t="str">
        <f>VLOOKUP(tbl_details5[[#This Row],[Order ID]],Table1[],4,FALSE)</f>
        <v>Shweta</v>
      </c>
      <c r="K1150" t="str">
        <f>VLOOKUP(tbl_details5[[#This Row],[Order ID]],Table1[],5,FALSE)</f>
        <v>Rajasthan</v>
      </c>
      <c r="L1150" t="str">
        <f>VLOOKUP(tbl_details5[[#This Row],[Order ID]],Table1[],6,FALSE)</f>
        <v>Udaipur</v>
      </c>
    </row>
    <row r="1151" spans="1:12" x14ac:dyDescent="0.25">
      <c r="A1151" t="s">
        <v>745</v>
      </c>
      <c r="B1151" s="4">
        <v>71</v>
      </c>
      <c r="C1151" s="4">
        <v>4</v>
      </c>
      <c r="D1151" s="5">
        <f>tbl_details5[[#This Row],[Profit]]/tbl_details5[[#This Row],[Revenue]]</f>
        <v>5.6338028169014086E-2</v>
      </c>
      <c r="E1151">
        <v>5</v>
      </c>
      <c r="F1151" t="s">
        <v>885</v>
      </c>
      <c r="G1151" t="s">
        <v>897</v>
      </c>
      <c r="H1151" s="1">
        <f>VLOOKUP(tbl_details5[[#This Row],[Order ID]],Orders!A:F,2,FALSE)</f>
        <v>43496</v>
      </c>
      <c r="I1151" s="1" t="str">
        <f>TEXT(tbl_details5[[#This Row],[Order Date]],"mmm-yy")</f>
        <v>Jan-19</v>
      </c>
      <c r="J1151" t="str">
        <f>VLOOKUP(tbl_details5[[#This Row],[Order ID]],Table1[],4,FALSE)</f>
        <v>Shweta</v>
      </c>
      <c r="K1151" t="str">
        <f>VLOOKUP(tbl_details5[[#This Row],[Order ID]],Table1[],5,FALSE)</f>
        <v>Rajasthan</v>
      </c>
      <c r="L1151" t="str">
        <f>VLOOKUP(tbl_details5[[#This Row],[Order ID]],Table1[],6,FALSE)</f>
        <v>Udaipur</v>
      </c>
    </row>
    <row r="1152" spans="1:12" x14ac:dyDescent="0.25">
      <c r="A1152" t="s">
        <v>745</v>
      </c>
      <c r="B1152" s="4">
        <v>487</v>
      </c>
      <c r="C1152" s="4">
        <v>-23</v>
      </c>
      <c r="D1152" s="5">
        <f>tbl_details5[[#This Row],[Profit]]/tbl_details5[[#This Row],[Revenue]]</f>
        <v>-4.7227926078028747E-2</v>
      </c>
      <c r="E1152">
        <v>3</v>
      </c>
      <c r="F1152" t="s">
        <v>888</v>
      </c>
      <c r="G1152" t="s">
        <v>899</v>
      </c>
      <c r="H1152" s="1">
        <f>VLOOKUP(tbl_details5[[#This Row],[Order ID]],Orders!A:F,2,FALSE)</f>
        <v>43496</v>
      </c>
      <c r="I1152" s="1" t="str">
        <f>TEXT(tbl_details5[[#This Row],[Order Date]],"mmm-yy")</f>
        <v>Jan-19</v>
      </c>
      <c r="J1152" t="str">
        <f>VLOOKUP(tbl_details5[[#This Row],[Order ID]],Table1[],4,FALSE)</f>
        <v>Shweta</v>
      </c>
      <c r="K1152" t="str">
        <f>VLOOKUP(tbl_details5[[#This Row],[Order ID]],Table1[],5,FALSE)</f>
        <v>Rajasthan</v>
      </c>
      <c r="L1152" t="str">
        <f>VLOOKUP(tbl_details5[[#This Row],[Order ID]],Table1[],6,FALSE)</f>
        <v>Udaipur</v>
      </c>
    </row>
    <row r="1153" spans="1:12" x14ac:dyDescent="0.25">
      <c r="A1153" t="s">
        <v>745</v>
      </c>
      <c r="B1153" s="4">
        <v>918</v>
      </c>
      <c r="C1153" s="4">
        <v>22</v>
      </c>
      <c r="D1153" s="5">
        <f>tbl_details5[[#This Row],[Profit]]/tbl_details5[[#This Row],[Revenue]]</f>
        <v>2.3965141612200435E-2</v>
      </c>
      <c r="E1153">
        <v>9</v>
      </c>
      <c r="F1153" t="s">
        <v>888</v>
      </c>
      <c r="G1153" t="s">
        <v>889</v>
      </c>
      <c r="H1153" s="1">
        <f>VLOOKUP(tbl_details5[[#This Row],[Order ID]],Orders!A:F,2,FALSE)</f>
        <v>43496</v>
      </c>
      <c r="I1153" s="1" t="str">
        <f>TEXT(tbl_details5[[#This Row],[Order Date]],"mmm-yy")</f>
        <v>Jan-19</v>
      </c>
      <c r="J1153" t="str">
        <f>VLOOKUP(tbl_details5[[#This Row],[Order ID]],Table1[],4,FALSE)</f>
        <v>Shweta</v>
      </c>
      <c r="K1153" t="str">
        <f>VLOOKUP(tbl_details5[[#This Row],[Order ID]],Table1[],5,FALSE)</f>
        <v>Rajasthan</v>
      </c>
      <c r="L1153" t="str">
        <f>VLOOKUP(tbl_details5[[#This Row],[Order ID]],Table1[],6,FALSE)</f>
        <v>Udaipur</v>
      </c>
    </row>
    <row r="1154" spans="1:12" x14ac:dyDescent="0.25">
      <c r="A1154" t="s">
        <v>746</v>
      </c>
      <c r="B1154" s="4">
        <v>299</v>
      </c>
      <c r="C1154" s="4">
        <v>0</v>
      </c>
      <c r="D1154" s="5">
        <f>tbl_details5[[#This Row],[Profit]]/tbl_details5[[#This Row],[Revenue]]</f>
        <v>0</v>
      </c>
      <c r="E1154">
        <v>6</v>
      </c>
      <c r="F1154" t="s">
        <v>885</v>
      </c>
      <c r="G1154" t="s">
        <v>886</v>
      </c>
      <c r="H1154" s="1">
        <f>VLOOKUP(tbl_details5[[#This Row],[Order ID]],Orders!A:F,2,FALSE)</f>
        <v>43496</v>
      </c>
      <c r="I1154" s="1" t="str">
        <f>TEXT(tbl_details5[[#This Row],[Order Date]],"mmm-yy")</f>
        <v>Jan-19</v>
      </c>
      <c r="J1154" t="str">
        <f>VLOOKUP(tbl_details5[[#This Row],[Order ID]],Table1[],4,FALSE)</f>
        <v>Manjiri</v>
      </c>
      <c r="K1154" t="str">
        <f>VLOOKUP(tbl_details5[[#This Row],[Order ID]],Table1[],5,FALSE)</f>
        <v>Delhi</v>
      </c>
      <c r="L1154" t="str">
        <f>VLOOKUP(tbl_details5[[#This Row],[Order ID]],Table1[],6,FALSE)</f>
        <v>Delhi</v>
      </c>
    </row>
    <row r="1155" spans="1:12" x14ac:dyDescent="0.25">
      <c r="A1155" t="s">
        <v>746</v>
      </c>
      <c r="B1155" s="4">
        <v>88</v>
      </c>
      <c r="C1155" s="4">
        <v>11</v>
      </c>
      <c r="D1155" s="5">
        <f>tbl_details5[[#This Row],[Profit]]/tbl_details5[[#This Row],[Revenue]]</f>
        <v>0.125</v>
      </c>
      <c r="E1155">
        <v>7</v>
      </c>
      <c r="F1155" t="s">
        <v>885</v>
      </c>
      <c r="G1155" t="s">
        <v>887</v>
      </c>
      <c r="H1155" s="1">
        <f>VLOOKUP(tbl_details5[[#This Row],[Order ID]],Orders!A:F,2,FALSE)</f>
        <v>43496</v>
      </c>
      <c r="I1155" s="1" t="str">
        <f>TEXT(tbl_details5[[#This Row],[Order Date]],"mmm-yy")</f>
        <v>Jan-19</v>
      </c>
      <c r="J1155" t="str">
        <f>VLOOKUP(tbl_details5[[#This Row],[Order ID]],Table1[],4,FALSE)</f>
        <v>Manjiri</v>
      </c>
      <c r="K1155" t="str">
        <f>VLOOKUP(tbl_details5[[#This Row],[Order ID]],Table1[],5,FALSE)</f>
        <v>Delhi</v>
      </c>
      <c r="L1155" t="str">
        <f>VLOOKUP(tbl_details5[[#This Row],[Order ID]],Table1[],6,FALSE)</f>
        <v>Delhi</v>
      </c>
    </row>
    <row r="1156" spans="1:12" x14ac:dyDescent="0.25">
      <c r="A1156" t="s">
        <v>748</v>
      </c>
      <c r="B1156" s="4">
        <v>79</v>
      </c>
      <c r="C1156" s="4">
        <v>24</v>
      </c>
      <c r="D1156" s="5">
        <f>tbl_details5[[#This Row],[Profit]]/tbl_details5[[#This Row],[Revenue]]</f>
        <v>0.30379746835443039</v>
      </c>
      <c r="E1156">
        <v>9</v>
      </c>
      <c r="F1156" t="s">
        <v>885</v>
      </c>
      <c r="G1156" t="s">
        <v>902</v>
      </c>
      <c r="H1156" s="1">
        <f>VLOOKUP(tbl_details5[[#This Row],[Order ID]],Orders!A:F,2,FALSE)</f>
        <v>43496</v>
      </c>
      <c r="I1156" s="1" t="str">
        <f>TEXT(tbl_details5[[#This Row],[Order Date]],"mmm-yy")</f>
        <v>Jan-19</v>
      </c>
      <c r="J1156" t="str">
        <f>VLOOKUP(tbl_details5[[#This Row],[Order ID]],Table1[],4,FALSE)</f>
        <v>Nirja</v>
      </c>
      <c r="K1156" t="str">
        <f>VLOOKUP(tbl_details5[[#This Row],[Order ID]],Table1[],5,FALSE)</f>
        <v>Delhi</v>
      </c>
      <c r="L1156" t="str">
        <f>VLOOKUP(tbl_details5[[#This Row],[Order ID]],Table1[],6,FALSE)</f>
        <v>Delhi</v>
      </c>
    </row>
    <row r="1157" spans="1:12" x14ac:dyDescent="0.25">
      <c r="A1157" t="s">
        <v>750</v>
      </c>
      <c r="B1157" s="4">
        <v>44</v>
      </c>
      <c r="C1157" s="4">
        <v>14</v>
      </c>
      <c r="D1157" s="5">
        <f>tbl_details5[[#This Row],[Profit]]/tbl_details5[[#This Row],[Revenue]]</f>
        <v>0.31818181818181818</v>
      </c>
      <c r="E1157">
        <v>3</v>
      </c>
      <c r="F1157" t="s">
        <v>885</v>
      </c>
      <c r="G1157" t="s">
        <v>887</v>
      </c>
      <c r="H1157" s="1">
        <f>VLOOKUP(tbl_details5[[#This Row],[Order ID]],Orders!A:F,2,FALSE)</f>
        <v>43497</v>
      </c>
      <c r="I1157" s="1" t="str">
        <f>TEXT(tbl_details5[[#This Row],[Order Date]],"mmm-yy")</f>
        <v>Feb-19</v>
      </c>
      <c r="J1157" t="str">
        <f>VLOOKUP(tbl_details5[[#This Row],[Order ID]],Table1[],4,FALSE)</f>
        <v>Anjali</v>
      </c>
      <c r="K1157" t="str">
        <f>VLOOKUP(tbl_details5[[#This Row],[Order ID]],Table1[],5,FALSE)</f>
        <v>Delhi</v>
      </c>
      <c r="L1157" t="str">
        <f>VLOOKUP(tbl_details5[[#This Row],[Order ID]],Table1[],6,FALSE)</f>
        <v>Delhi</v>
      </c>
    </row>
    <row r="1158" spans="1:12" x14ac:dyDescent="0.25">
      <c r="A1158" t="s">
        <v>750</v>
      </c>
      <c r="B1158" s="4">
        <v>10</v>
      </c>
      <c r="C1158" s="4">
        <v>5</v>
      </c>
      <c r="D1158" s="5">
        <f>tbl_details5[[#This Row],[Profit]]/tbl_details5[[#This Row],[Revenue]]</f>
        <v>0.5</v>
      </c>
      <c r="E1158">
        <v>1</v>
      </c>
      <c r="F1158" t="s">
        <v>885</v>
      </c>
      <c r="G1158" t="s">
        <v>886</v>
      </c>
      <c r="H1158" s="1">
        <f>VLOOKUP(tbl_details5[[#This Row],[Order ID]],Orders!A:F,2,FALSE)</f>
        <v>43497</v>
      </c>
      <c r="I1158" s="1" t="str">
        <f>TEXT(tbl_details5[[#This Row],[Order Date]],"mmm-yy")</f>
        <v>Feb-19</v>
      </c>
      <c r="J1158" t="str">
        <f>VLOOKUP(tbl_details5[[#This Row],[Order ID]],Table1[],4,FALSE)</f>
        <v>Anjali</v>
      </c>
      <c r="K1158" t="str">
        <f>VLOOKUP(tbl_details5[[#This Row],[Order ID]],Table1[],5,FALSE)</f>
        <v>Delhi</v>
      </c>
      <c r="L1158" t="str">
        <f>VLOOKUP(tbl_details5[[#This Row],[Order ID]],Table1[],6,FALSE)</f>
        <v>Delhi</v>
      </c>
    </row>
    <row r="1159" spans="1:12" x14ac:dyDescent="0.25">
      <c r="A1159" t="s">
        <v>750</v>
      </c>
      <c r="B1159" s="4">
        <v>42</v>
      </c>
      <c r="C1159" s="4">
        <v>15</v>
      </c>
      <c r="D1159" s="5">
        <f>tbl_details5[[#This Row],[Profit]]/tbl_details5[[#This Row],[Revenue]]</f>
        <v>0.35714285714285715</v>
      </c>
      <c r="E1159">
        <v>1</v>
      </c>
      <c r="F1159" t="s">
        <v>888</v>
      </c>
      <c r="G1159" t="s">
        <v>900</v>
      </c>
      <c r="H1159" s="1">
        <f>VLOOKUP(tbl_details5[[#This Row],[Order ID]],Orders!A:F,2,FALSE)</f>
        <v>43497</v>
      </c>
      <c r="I1159" s="1" t="str">
        <f>TEXT(tbl_details5[[#This Row],[Order Date]],"mmm-yy")</f>
        <v>Feb-19</v>
      </c>
      <c r="J1159" t="str">
        <f>VLOOKUP(tbl_details5[[#This Row],[Order ID]],Table1[],4,FALSE)</f>
        <v>Anjali</v>
      </c>
      <c r="K1159" t="str">
        <f>VLOOKUP(tbl_details5[[#This Row],[Order ID]],Table1[],5,FALSE)</f>
        <v>Delhi</v>
      </c>
      <c r="L1159" t="str">
        <f>VLOOKUP(tbl_details5[[#This Row],[Order ID]],Table1[],6,FALSE)</f>
        <v>Delhi</v>
      </c>
    </row>
    <row r="1160" spans="1:12" x14ac:dyDescent="0.25">
      <c r="A1160" t="s">
        <v>750</v>
      </c>
      <c r="B1160" s="4">
        <v>330</v>
      </c>
      <c r="C1160" s="4">
        <v>81</v>
      </c>
      <c r="D1160" s="5">
        <f>tbl_details5[[#This Row],[Profit]]/tbl_details5[[#This Row],[Revenue]]</f>
        <v>0.24545454545454545</v>
      </c>
      <c r="E1160">
        <v>1</v>
      </c>
      <c r="F1160" t="s">
        <v>883</v>
      </c>
      <c r="G1160" t="s">
        <v>884</v>
      </c>
      <c r="H1160" s="1">
        <f>VLOOKUP(tbl_details5[[#This Row],[Order ID]],Orders!A:F,2,FALSE)</f>
        <v>43497</v>
      </c>
      <c r="I1160" s="1" t="str">
        <f>TEXT(tbl_details5[[#This Row],[Order Date]],"mmm-yy")</f>
        <v>Feb-19</v>
      </c>
      <c r="J1160" t="str">
        <f>VLOOKUP(tbl_details5[[#This Row],[Order ID]],Table1[],4,FALSE)</f>
        <v>Anjali</v>
      </c>
      <c r="K1160" t="str">
        <f>VLOOKUP(tbl_details5[[#This Row],[Order ID]],Table1[],5,FALSE)</f>
        <v>Delhi</v>
      </c>
      <c r="L1160" t="str">
        <f>VLOOKUP(tbl_details5[[#This Row],[Order ID]],Table1[],6,FALSE)</f>
        <v>Delhi</v>
      </c>
    </row>
    <row r="1161" spans="1:12" x14ac:dyDescent="0.25">
      <c r="A1161" t="s">
        <v>750</v>
      </c>
      <c r="B1161" s="4">
        <v>338</v>
      </c>
      <c r="C1161" s="4">
        <v>41</v>
      </c>
      <c r="D1161" s="5">
        <f>tbl_details5[[#This Row],[Profit]]/tbl_details5[[#This Row],[Revenue]]</f>
        <v>0.12130177514792899</v>
      </c>
      <c r="E1161">
        <v>7</v>
      </c>
      <c r="F1161" t="s">
        <v>885</v>
      </c>
      <c r="G1161" t="s">
        <v>887</v>
      </c>
      <c r="H1161" s="1">
        <f>VLOOKUP(tbl_details5[[#This Row],[Order ID]],Orders!A:F,2,FALSE)</f>
        <v>43497</v>
      </c>
      <c r="I1161" s="1" t="str">
        <f>TEXT(tbl_details5[[#This Row],[Order Date]],"mmm-yy")</f>
        <v>Feb-19</v>
      </c>
      <c r="J1161" t="str">
        <f>VLOOKUP(tbl_details5[[#This Row],[Order ID]],Table1[],4,FALSE)</f>
        <v>Anjali</v>
      </c>
      <c r="K1161" t="str">
        <f>VLOOKUP(tbl_details5[[#This Row],[Order ID]],Table1[],5,FALSE)</f>
        <v>Delhi</v>
      </c>
      <c r="L1161" t="str">
        <f>VLOOKUP(tbl_details5[[#This Row],[Order ID]],Table1[],6,FALSE)</f>
        <v>Delhi</v>
      </c>
    </row>
    <row r="1162" spans="1:12" x14ac:dyDescent="0.25">
      <c r="A1162" t="s">
        <v>751</v>
      </c>
      <c r="B1162" s="4">
        <v>71</v>
      </c>
      <c r="C1162" s="4">
        <v>32</v>
      </c>
      <c r="D1162" s="5">
        <f>tbl_details5[[#This Row],[Profit]]/tbl_details5[[#This Row],[Revenue]]</f>
        <v>0.45070422535211269</v>
      </c>
      <c r="E1162">
        <v>3</v>
      </c>
      <c r="F1162" t="s">
        <v>885</v>
      </c>
      <c r="G1162" t="s">
        <v>891</v>
      </c>
      <c r="H1162" s="1">
        <f>VLOOKUP(tbl_details5[[#This Row],[Order ID]],Orders!A:F,2,FALSE)</f>
        <v>43498</v>
      </c>
      <c r="I1162" s="1" t="str">
        <f>TEXT(tbl_details5[[#This Row],[Order Date]],"mmm-yy")</f>
        <v>Feb-19</v>
      </c>
      <c r="J1162" t="str">
        <f>VLOOKUP(tbl_details5[[#This Row],[Order ID]],Table1[],4,FALSE)</f>
        <v>Mugdha</v>
      </c>
      <c r="K1162" t="str">
        <f>VLOOKUP(tbl_details5[[#This Row],[Order ID]],Table1[],5,FALSE)</f>
        <v>Delhi</v>
      </c>
      <c r="L1162" t="str">
        <f>VLOOKUP(tbl_details5[[#This Row],[Order ID]],Table1[],6,FALSE)</f>
        <v>Delhi</v>
      </c>
    </row>
    <row r="1163" spans="1:12" x14ac:dyDescent="0.25">
      <c r="A1163" t="s">
        <v>753</v>
      </c>
      <c r="B1163" s="4">
        <v>188</v>
      </c>
      <c r="C1163" s="4">
        <v>13</v>
      </c>
      <c r="D1163" s="5">
        <f>tbl_details5[[#This Row],[Profit]]/tbl_details5[[#This Row],[Revenue]]</f>
        <v>6.9148936170212769E-2</v>
      </c>
      <c r="E1163">
        <v>7</v>
      </c>
      <c r="F1163" t="s">
        <v>885</v>
      </c>
      <c r="G1163" t="s">
        <v>896</v>
      </c>
      <c r="H1163" s="1">
        <f>VLOOKUP(tbl_details5[[#This Row],[Order ID]],Orders!A:F,2,FALSE)</f>
        <v>43499</v>
      </c>
      <c r="I1163" s="1" t="str">
        <f>TEXT(tbl_details5[[#This Row],[Order Date]],"mmm-yy")</f>
        <v>Feb-19</v>
      </c>
      <c r="J1163" t="str">
        <f>VLOOKUP(tbl_details5[[#This Row],[Order ID]],Table1[],4,FALSE)</f>
        <v>Mansi</v>
      </c>
      <c r="K1163" t="str">
        <f>VLOOKUP(tbl_details5[[#This Row],[Order ID]],Table1[],5,FALSE)</f>
        <v>Madhya Pradesh</v>
      </c>
      <c r="L1163" t="str">
        <f>VLOOKUP(tbl_details5[[#This Row],[Order ID]],Table1[],6,FALSE)</f>
        <v>Indore</v>
      </c>
    </row>
    <row r="1164" spans="1:12" x14ac:dyDescent="0.25">
      <c r="A1164" t="s">
        <v>753</v>
      </c>
      <c r="B1164" s="4">
        <v>90</v>
      </c>
      <c r="C1164" s="4">
        <v>30</v>
      </c>
      <c r="D1164" s="5">
        <f>tbl_details5[[#This Row],[Profit]]/tbl_details5[[#This Row],[Revenue]]</f>
        <v>0.33333333333333331</v>
      </c>
      <c r="E1164">
        <v>2</v>
      </c>
      <c r="F1164" t="s">
        <v>883</v>
      </c>
      <c r="G1164" t="s">
        <v>893</v>
      </c>
      <c r="H1164" s="1">
        <f>VLOOKUP(tbl_details5[[#This Row],[Order ID]],Orders!A:F,2,FALSE)</f>
        <v>43499</v>
      </c>
      <c r="I1164" s="1" t="str">
        <f>TEXT(tbl_details5[[#This Row],[Order Date]],"mmm-yy")</f>
        <v>Feb-19</v>
      </c>
      <c r="J1164" t="str">
        <f>VLOOKUP(tbl_details5[[#This Row],[Order ID]],Table1[],4,FALSE)</f>
        <v>Mansi</v>
      </c>
      <c r="K1164" t="str">
        <f>VLOOKUP(tbl_details5[[#This Row],[Order ID]],Table1[],5,FALSE)</f>
        <v>Madhya Pradesh</v>
      </c>
      <c r="L1164" t="str">
        <f>VLOOKUP(tbl_details5[[#This Row],[Order ID]],Table1[],6,FALSE)</f>
        <v>Indore</v>
      </c>
    </row>
    <row r="1165" spans="1:12" x14ac:dyDescent="0.25">
      <c r="A1165" t="s">
        <v>753</v>
      </c>
      <c r="B1165" s="4">
        <v>13</v>
      </c>
      <c r="C1165" s="4">
        <v>5</v>
      </c>
      <c r="D1165" s="5">
        <f>tbl_details5[[#This Row],[Profit]]/tbl_details5[[#This Row],[Revenue]]</f>
        <v>0.38461538461538464</v>
      </c>
      <c r="E1165">
        <v>2</v>
      </c>
      <c r="F1165" t="s">
        <v>885</v>
      </c>
      <c r="G1165" t="s">
        <v>887</v>
      </c>
      <c r="H1165" s="1">
        <f>VLOOKUP(tbl_details5[[#This Row],[Order ID]],Orders!A:F,2,FALSE)</f>
        <v>43499</v>
      </c>
      <c r="I1165" s="1" t="str">
        <f>TEXT(tbl_details5[[#This Row],[Order Date]],"mmm-yy")</f>
        <v>Feb-19</v>
      </c>
      <c r="J1165" t="str">
        <f>VLOOKUP(tbl_details5[[#This Row],[Order ID]],Table1[],4,FALSE)</f>
        <v>Mansi</v>
      </c>
      <c r="K1165" t="str">
        <f>VLOOKUP(tbl_details5[[#This Row],[Order ID]],Table1[],5,FALSE)</f>
        <v>Madhya Pradesh</v>
      </c>
      <c r="L1165" t="str">
        <f>VLOOKUP(tbl_details5[[#This Row],[Order ID]],Table1[],6,FALSE)</f>
        <v>Indore</v>
      </c>
    </row>
    <row r="1166" spans="1:12" x14ac:dyDescent="0.25">
      <c r="A1166" t="s">
        <v>755</v>
      </c>
      <c r="B1166" s="4">
        <v>141</v>
      </c>
      <c r="C1166" s="4">
        <v>41</v>
      </c>
      <c r="D1166" s="5">
        <f>tbl_details5[[#This Row],[Profit]]/tbl_details5[[#This Row],[Revenue]]</f>
        <v>0.29078014184397161</v>
      </c>
      <c r="E1166">
        <v>3</v>
      </c>
      <c r="F1166" t="s">
        <v>885</v>
      </c>
      <c r="G1166" t="s">
        <v>896</v>
      </c>
      <c r="H1166" s="1">
        <f>VLOOKUP(tbl_details5[[#This Row],[Order ID]],Orders!A:F,2,FALSE)</f>
        <v>43499</v>
      </c>
      <c r="I1166" s="1" t="str">
        <f>TEXT(tbl_details5[[#This Row],[Order Date]],"mmm-yy")</f>
        <v>Feb-19</v>
      </c>
      <c r="J1166" t="str">
        <f>VLOOKUP(tbl_details5[[#This Row],[Order ID]],Table1[],4,FALSE)</f>
        <v>Gaurav</v>
      </c>
      <c r="K1166" t="str">
        <f>VLOOKUP(tbl_details5[[#This Row],[Order ID]],Table1[],5,FALSE)</f>
        <v>Rajasthan</v>
      </c>
      <c r="L1166" t="str">
        <f>VLOOKUP(tbl_details5[[#This Row],[Order ID]],Table1[],6,FALSE)</f>
        <v>Udaipur</v>
      </c>
    </row>
    <row r="1167" spans="1:12" x14ac:dyDescent="0.25">
      <c r="A1167" t="s">
        <v>756</v>
      </c>
      <c r="B1167" s="4">
        <v>44</v>
      </c>
      <c r="C1167" s="4">
        <v>8</v>
      </c>
      <c r="D1167" s="5">
        <f>tbl_details5[[#This Row],[Profit]]/tbl_details5[[#This Row],[Revenue]]</f>
        <v>0.18181818181818182</v>
      </c>
      <c r="E1167">
        <v>2</v>
      </c>
      <c r="F1167" t="s">
        <v>885</v>
      </c>
      <c r="G1167" t="s">
        <v>886</v>
      </c>
      <c r="H1167" s="1">
        <f>VLOOKUP(tbl_details5[[#This Row],[Order ID]],Orders!A:F,2,FALSE)</f>
        <v>43499</v>
      </c>
      <c r="I1167" s="1" t="str">
        <f>TEXT(tbl_details5[[#This Row],[Order Date]],"mmm-yy")</f>
        <v>Feb-19</v>
      </c>
      <c r="J1167" t="str">
        <f>VLOOKUP(tbl_details5[[#This Row],[Order ID]],Table1[],4,FALSE)</f>
        <v>Harshal</v>
      </c>
      <c r="K1167" t="str">
        <f>VLOOKUP(tbl_details5[[#This Row],[Order ID]],Table1[],5,FALSE)</f>
        <v>Delhi</v>
      </c>
      <c r="L1167" t="str">
        <f>VLOOKUP(tbl_details5[[#This Row],[Order ID]],Table1[],6,FALSE)</f>
        <v>Delhi</v>
      </c>
    </row>
    <row r="1168" spans="1:12" x14ac:dyDescent="0.25">
      <c r="A1168" t="s">
        <v>756</v>
      </c>
      <c r="B1168" s="4">
        <v>610</v>
      </c>
      <c r="C1168" s="4">
        <v>208</v>
      </c>
      <c r="D1168" s="5">
        <f>tbl_details5[[#This Row],[Profit]]/tbl_details5[[#This Row],[Revenue]]</f>
        <v>0.34098360655737703</v>
      </c>
      <c r="E1168">
        <v>3</v>
      </c>
      <c r="F1168" t="s">
        <v>888</v>
      </c>
      <c r="G1168" t="s">
        <v>899</v>
      </c>
      <c r="H1168" s="1">
        <f>VLOOKUP(tbl_details5[[#This Row],[Order ID]],Orders!A:F,2,FALSE)</f>
        <v>43499</v>
      </c>
      <c r="I1168" s="1" t="str">
        <f>TEXT(tbl_details5[[#This Row],[Order Date]],"mmm-yy")</f>
        <v>Feb-19</v>
      </c>
      <c r="J1168" t="str">
        <f>VLOOKUP(tbl_details5[[#This Row],[Order ID]],Table1[],4,FALSE)</f>
        <v>Harshal</v>
      </c>
      <c r="K1168" t="str">
        <f>VLOOKUP(tbl_details5[[#This Row],[Order ID]],Table1[],5,FALSE)</f>
        <v>Delhi</v>
      </c>
      <c r="L1168" t="str">
        <f>VLOOKUP(tbl_details5[[#This Row],[Order ID]],Table1[],6,FALSE)</f>
        <v>Delhi</v>
      </c>
    </row>
    <row r="1169" spans="1:12" x14ac:dyDescent="0.25">
      <c r="A1169" t="s">
        <v>756</v>
      </c>
      <c r="B1169" s="4">
        <v>4363</v>
      </c>
      <c r="C1169" s="4">
        <v>305</v>
      </c>
      <c r="D1169" s="5">
        <f>tbl_details5[[#This Row],[Profit]]/tbl_details5[[#This Row],[Revenue]]</f>
        <v>6.9906027962411188E-2</v>
      </c>
      <c r="E1169">
        <v>5</v>
      </c>
      <c r="F1169" t="s">
        <v>883</v>
      </c>
      <c r="G1169" t="s">
        <v>898</v>
      </c>
      <c r="H1169" s="1">
        <f>VLOOKUP(tbl_details5[[#This Row],[Order ID]],Orders!A:F,2,FALSE)</f>
        <v>43499</v>
      </c>
      <c r="I1169" s="1" t="str">
        <f>TEXT(tbl_details5[[#This Row],[Order Date]],"mmm-yy")</f>
        <v>Feb-19</v>
      </c>
      <c r="J1169" t="str">
        <f>VLOOKUP(tbl_details5[[#This Row],[Order ID]],Table1[],4,FALSE)</f>
        <v>Harshal</v>
      </c>
      <c r="K1169" t="str">
        <f>VLOOKUP(tbl_details5[[#This Row],[Order ID]],Table1[],5,FALSE)</f>
        <v>Delhi</v>
      </c>
      <c r="L1169" t="str">
        <f>VLOOKUP(tbl_details5[[#This Row],[Order ID]],Table1[],6,FALSE)</f>
        <v>Delhi</v>
      </c>
    </row>
    <row r="1170" spans="1:12" x14ac:dyDescent="0.25">
      <c r="A1170" t="s">
        <v>756</v>
      </c>
      <c r="B1170" s="4">
        <v>414</v>
      </c>
      <c r="C1170" s="4">
        <v>199</v>
      </c>
      <c r="D1170" s="5">
        <f>tbl_details5[[#This Row],[Profit]]/tbl_details5[[#This Row],[Revenue]]</f>
        <v>0.48067632850241548</v>
      </c>
      <c r="E1170">
        <v>3</v>
      </c>
      <c r="F1170" t="s">
        <v>888</v>
      </c>
      <c r="G1170" t="s">
        <v>890</v>
      </c>
      <c r="H1170" s="1">
        <f>VLOOKUP(tbl_details5[[#This Row],[Order ID]],Orders!A:F,2,FALSE)</f>
        <v>43499</v>
      </c>
      <c r="I1170" s="1" t="str">
        <f>TEXT(tbl_details5[[#This Row],[Order Date]],"mmm-yy")</f>
        <v>Feb-19</v>
      </c>
      <c r="J1170" t="str">
        <f>VLOOKUP(tbl_details5[[#This Row],[Order ID]],Table1[],4,FALSE)</f>
        <v>Harshal</v>
      </c>
      <c r="K1170" t="str">
        <f>VLOOKUP(tbl_details5[[#This Row],[Order ID]],Table1[],5,FALSE)</f>
        <v>Delhi</v>
      </c>
      <c r="L1170" t="str">
        <f>VLOOKUP(tbl_details5[[#This Row],[Order ID]],Table1[],6,FALSE)</f>
        <v>Delhi</v>
      </c>
    </row>
    <row r="1171" spans="1:12" x14ac:dyDescent="0.25">
      <c r="A1171" t="s">
        <v>756</v>
      </c>
      <c r="B1171" s="4">
        <v>221</v>
      </c>
      <c r="C1171" s="4">
        <v>26</v>
      </c>
      <c r="D1171" s="5">
        <f>tbl_details5[[#This Row],[Profit]]/tbl_details5[[#This Row],[Revenue]]</f>
        <v>0.11764705882352941</v>
      </c>
      <c r="E1171">
        <v>7</v>
      </c>
      <c r="F1171" t="s">
        <v>883</v>
      </c>
      <c r="G1171" t="s">
        <v>901</v>
      </c>
      <c r="H1171" s="1">
        <f>VLOOKUP(tbl_details5[[#This Row],[Order ID]],Orders!A:F,2,FALSE)</f>
        <v>43499</v>
      </c>
      <c r="I1171" s="1" t="str">
        <f>TEXT(tbl_details5[[#This Row],[Order Date]],"mmm-yy")</f>
        <v>Feb-19</v>
      </c>
      <c r="J1171" t="str">
        <f>VLOOKUP(tbl_details5[[#This Row],[Order ID]],Table1[],4,FALSE)</f>
        <v>Harshal</v>
      </c>
      <c r="K1171" t="str">
        <f>VLOOKUP(tbl_details5[[#This Row],[Order ID]],Table1[],5,FALSE)</f>
        <v>Delhi</v>
      </c>
      <c r="L1171" t="str">
        <f>VLOOKUP(tbl_details5[[#This Row],[Order ID]],Table1[],6,FALSE)</f>
        <v>Delhi</v>
      </c>
    </row>
    <row r="1172" spans="1:12" x14ac:dyDescent="0.25">
      <c r="A1172" t="s">
        <v>756</v>
      </c>
      <c r="B1172" s="4">
        <v>201</v>
      </c>
      <c r="C1172" s="4">
        <v>32</v>
      </c>
      <c r="D1172" s="5">
        <f>tbl_details5[[#This Row],[Profit]]/tbl_details5[[#This Row],[Revenue]]</f>
        <v>0.15920398009950248</v>
      </c>
      <c r="E1172">
        <v>4</v>
      </c>
      <c r="F1172" t="s">
        <v>883</v>
      </c>
      <c r="G1172" t="s">
        <v>901</v>
      </c>
      <c r="H1172" s="1">
        <f>VLOOKUP(tbl_details5[[#This Row],[Order ID]],Orders!A:F,2,FALSE)</f>
        <v>43499</v>
      </c>
      <c r="I1172" s="1" t="str">
        <f>TEXT(tbl_details5[[#This Row],[Order Date]],"mmm-yy")</f>
        <v>Feb-19</v>
      </c>
      <c r="J1172" t="str">
        <f>VLOOKUP(tbl_details5[[#This Row],[Order ID]],Table1[],4,FALSE)</f>
        <v>Harshal</v>
      </c>
      <c r="K1172" t="str">
        <f>VLOOKUP(tbl_details5[[#This Row],[Order ID]],Table1[],5,FALSE)</f>
        <v>Delhi</v>
      </c>
      <c r="L1172" t="str">
        <f>VLOOKUP(tbl_details5[[#This Row],[Order ID]],Table1[],6,FALSE)</f>
        <v>Delhi</v>
      </c>
    </row>
    <row r="1173" spans="1:12" x14ac:dyDescent="0.25">
      <c r="A1173" t="s">
        <v>756</v>
      </c>
      <c r="B1173" s="4">
        <v>173</v>
      </c>
      <c r="C1173" s="4">
        <v>86</v>
      </c>
      <c r="D1173" s="5">
        <f>tbl_details5[[#This Row],[Profit]]/tbl_details5[[#This Row],[Revenue]]</f>
        <v>0.49710982658959535</v>
      </c>
      <c r="E1173">
        <v>1</v>
      </c>
      <c r="F1173" t="s">
        <v>888</v>
      </c>
      <c r="G1173" t="s">
        <v>899</v>
      </c>
      <c r="H1173" s="1">
        <f>VLOOKUP(tbl_details5[[#This Row],[Order ID]],Orders!A:F,2,FALSE)</f>
        <v>43499</v>
      </c>
      <c r="I1173" s="1" t="str">
        <f>TEXT(tbl_details5[[#This Row],[Order Date]],"mmm-yy")</f>
        <v>Feb-19</v>
      </c>
      <c r="J1173" t="str">
        <f>VLOOKUP(tbl_details5[[#This Row],[Order ID]],Table1[],4,FALSE)</f>
        <v>Harshal</v>
      </c>
      <c r="K1173" t="str">
        <f>VLOOKUP(tbl_details5[[#This Row],[Order ID]],Table1[],5,FALSE)</f>
        <v>Delhi</v>
      </c>
      <c r="L1173" t="str">
        <f>VLOOKUP(tbl_details5[[#This Row],[Order ID]],Table1[],6,FALSE)</f>
        <v>Delhi</v>
      </c>
    </row>
    <row r="1174" spans="1:12" x14ac:dyDescent="0.25">
      <c r="A1174" t="s">
        <v>758</v>
      </c>
      <c r="B1174" s="4">
        <v>196</v>
      </c>
      <c r="C1174" s="4">
        <v>-7</v>
      </c>
      <c r="D1174" s="5">
        <f>tbl_details5[[#This Row],[Profit]]/tbl_details5[[#This Row],[Revenue]]</f>
        <v>-3.5714285714285712E-2</v>
      </c>
      <c r="E1174">
        <v>5</v>
      </c>
      <c r="F1174" t="s">
        <v>888</v>
      </c>
      <c r="G1174" t="s">
        <v>890</v>
      </c>
      <c r="H1174" s="1">
        <f>VLOOKUP(tbl_details5[[#This Row],[Order ID]],Orders!A:F,2,FALSE)</f>
        <v>43499</v>
      </c>
      <c r="I1174" s="1" t="str">
        <f>TEXT(tbl_details5[[#This Row],[Order Date]],"mmm-yy")</f>
        <v>Feb-19</v>
      </c>
      <c r="J1174" t="str">
        <f>VLOOKUP(tbl_details5[[#This Row],[Order ID]],Table1[],4,FALSE)</f>
        <v>Omkar</v>
      </c>
      <c r="K1174" t="str">
        <f>VLOOKUP(tbl_details5[[#This Row],[Order ID]],Table1[],5,FALSE)</f>
        <v>Delhi</v>
      </c>
      <c r="L1174" t="str">
        <f>VLOOKUP(tbl_details5[[#This Row],[Order ID]],Table1[],6,FALSE)</f>
        <v>Delhi</v>
      </c>
    </row>
    <row r="1175" spans="1:12" x14ac:dyDescent="0.25">
      <c r="A1175" t="s">
        <v>760</v>
      </c>
      <c r="B1175" s="4">
        <v>1314</v>
      </c>
      <c r="C1175" s="4">
        <v>342</v>
      </c>
      <c r="D1175" s="5">
        <f>tbl_details5[[#This Row],[Profit]]/tbl_details5[[#This Row],[Revenue]]</f>
        <v>0.26027397260273971</v>
      </c>
      <c r="E1175">
        <v>3</v>
      </c>
      <c r="F1175" t="s">
        <v>883</v>
      </c>
      <c r="G1175" t="s">
        <v>884</v>
      </c>
      <c r="H1175" s="1">
        <f>VLOOKUP(tbl_details5[[#This Row],[Order ID]],Orders!A:F,2,FALSE)</f>
        <v>43500</v>
      </c>
      <c r="I1175" s="1" t="str">
        <f>TEXT(tbl_details5[[#This Row],[Order Date]],"mmm-yy")</f>
        <v>Feb-19</v>
      </c>
      <c r="J1175" t="str">
        <f>VLOOKUP(tbl_details5[[#This Row],[Order ID]],Table1[],4,FALSE)</f>
        <v>Yohann</v>
      </c>
      <c r="K1175" t="str">
        <f>VLOOKUP(tbl_details5[[#This Row],[Order ID]],Table1[],5,FALSE)</f>
        <v>Delhi</v>
      </c>
      <c r="L1175" t="str">
        <f>VLOOKUP(tbl_details5[[#This Row],[Order ID]],Table1[],6,FALSE)</f>
        <v>Delhi</v>
      </c>
    </row>
    <row r="1176" spans="1:12" x14ac:dyDescent="0.25">
      <c r="A1176" t="s">
        <v>762</v>
      </c>
      <c r="B1176" s="4">
        <v>62</v>
      </c>
      <c r="C1176" s="4">
        <v>6</v>
      </c>
      <c r="D1176" s="5">
        <f>tbl_details5[[#This Row],[Profit]]/tbl_details5[[#This Row],[Revenue]]</f>
        <v>9.6774193548387094E-2</v>
      </c>
      <c r="E1176">
        <v>6</v>
      </c>
      <c r="F1176" t="s">
        <v>885</v>
      </c>
      <c r="G1176" t="s">
        <v>902</v>
      </c>
      <c r="H1176" s="1">
        <f>VLOOKUP(tbl_details5[[#This Row],[Order ID]],Orders!A:F,2,FALSE)</f>
        <v>43500</v>
      </c>
      <c r="I1176" s="1" t="str">
        <f>TEXT(tbl_details5[[#This Row],[Order Date]],"mmm-yy")</f>
        <v>Feb-19</v>
      </c>
      <c r="J1176" t="str">
        <f>VLOOKUP(tbl_details5[[#This Row],[Order ID]],Table1[],4,FALSE)</f>
        <v>Prashant</v>
      </c>
      <c r="K1176" t="str">
        <f>VLOOKUP(tbl_details5[[#This Row],[Order ID]],Table1[],5,FALSE)</f>
        <v>Delhi</v>
      </c>
      <c r="L1176" t="str">
        <f>VLOOKUP(tbl_details5[[#This Row],[Order ID]],Table1[],6,FALSE)</f>
        <v>Delhi</v>
      </c>
    </row>
    <row r="1177" spans="1:12" x14ac:dyDescent="0.25">
      <c r="A1177" t="s">
        <v>762</v>
      </c>
      <c r="B1177" s="4">
        <v>31</v>
      </c>
      <c r="C1177" s="4">
        <v>2</v>
      </c>
      <c r="D1177" s="5">
        <f>tbl_details5[[#This Row],[Profit]]/tbl_details5[[#This Row],[Revenue]]</f>
        <v>6.4516129032258063E-2</v>
      </c>
      <c r="E1177">
        <v>2</v>
      </c>
      <c r="F1177" t="s">
        <v>885</v>
      </c>
      <c r="G1177" t="s">
        <v>887</v>
      </c>
      <c r="H1177" s="1">
        <f>VLOOKUP(tbl_details5[[#This Row],[Order ID]],Orders!A:F,2,FALSE)</f>
        <v>43500</v>
      </c>
      <c r="I1177" s="1" t="str">
        <f>TEXT(tbl_details5[[#This Row],[Order Date]],"mmm-yy")</f>
        <v>Feb-19</v>
      </c>
      <c r="J1177" t="str">
        <f>VLOOKUP(tbl_details5[[#This Row],[Order ID]],Table1[],4,FALSE)</f>
        <v>Prashant</v>
      </c>
      <c r="K1177" t="str">
        <f>VLOOKUP(tbl_details5[[#This Row],[Order ID]],Table1[],5,FALSE)</f>
        <v>Delhi</v>
      </c>
      <c r="L1177" t="str">
        <f>VLOOKUP(tbl_details5[[#This Row],[Order ID]],Table1[],6,FALSE)</f>
        <v>Delhi</v>
      </c>
    </row>
    <row r="1178" spans="1:12" x14ac:dyDescent="0.25">
      <c r="A1178" t="s">
        <v>762</v>
      </c>
      <c r="B1178" s="4">
        <v>217</v>
      </c>
      <c r="C1178" s="4">
        <v>72</v>
      </c>
      <c r="D1178" s="5">
        <f>tbl_details5[[#This Row],[Profit]]/tbl_details5[[#This Row],[Revenue]]</f>
        <v>0.33179723502304148</v>
      </c>
      <c r="E1178">
        <v>2</v>
      </c>
      <c r="F1178" t="s">
        <v>883</v>
      </c>
      <c r="G1178" t="s">
        <v>901</v>
      </c>
      <c r="H1178" s="1">
        <f>VLOOKUP(tbl_details5[[#This Row],[Order ID]],Orders!A:F,2,FALSE)</f>
        <v>43500</v>
      </c>
      <c r="I1178" s="1" t="str">
        <f>TEXT(tbl_details5[[#This Row],[Order Date]],"mmm-yy")</f>
        <v>Feb-19</v>
      </c>
      <c r="J1178" t="str">
        <f>VLOOKUP(tbl_details5[[#This Row],[Order ID]],Table1[],4,FALSE)</f>
        <v>Prashant</v>
      </c>
      <c r="K1178" t="str">
        <f>VLOOKUP(tbl_details5[[#This Row],[Order ID]],Table1[],5,FALSE)</f>
        <v>Delhi</v>
      </c>
      <c r="L1178" t="str">
        <f>VLOOKUP(tbl_details5[[#This Row],[Order ID]],Table1[],6,FALSE)</f>
        <v>Delhi</v>
      </c>
    </row>
    <row r="1179" spans="1:12" x14ac:dyDescent="0.25">
      <c r="A1179" t="s">
        <v>762</v>
      </c>
      <c r="B1179" s="4">
        <v>286</v>
      </c>
      <c r="C1179" s="4">
        <v>140</v>
      </c>
      <c r="D1179" s="5">
        <f>tbl_details5[[#This Row],[Profit]]/tbl_details5[[#This Row],[Revenue]]</f>
        <v>0.48951048951048953</v>
      </c>
      <c r="E1179">
        <v>6</v>
      </c>
      <c r="F1179" t="s">
        <v>885</v>
      </c>
      <c r="G1179" t="s">
        <v>896</v>
      </c>
      <c r="H1179" s="1">
        <f>VLOOKUP(tbl_details5[[#This Row],[Order ID]],Orders!A:F,2,FALSE)</f>
        <v>43500</v>
      </c>
      <c r="I1179" s="1" t="str">
        <f>TEXT(tbl_details5[[#This Row],[Order Date]],"mmm-yy")</f>
        <v>Feb-19</v>
      </c>
      <c r="J1179" t="str">
        <f>VLOOKUP(tbl_details5[[#This Row],[Order ID]],Table1[],4,FALSE)</f>
        <v>Prashant</v>
      </c>
      <c r="K1179" t="str">
        <f>VLOOKUP(tbl_details5[[#This Row],[Order ID]],Table1[],5,FALSE)</f>
        <v>Delhi</v>
      </c>
      <c r="L1179" t="str">
        <f>VLOOKUP(tbl_details5[[#This Row],[Order ID]],Table1[],6,FALSE)</f>
        <v>Delhi</v>
      </c>
    </row>
    <row r="1180" spans="1:12" x14ac:dyDescent="0.25">
      <c r="A1180" t="s">
        <v>762</v>
      </c>
      <c r="B1180" s="4">
        <v>333</v>
      </c>
      <c r="C1180" s="4">
        <v>50</v>
      </c>
      <c r="D1180" s="5">
        <f>tbl_details5[[#This Row],[Profit]]/tbl_details5[[#This Row],[Revenue]]</f>
        <v>0.15015015015015015</v>
      </c>
      <c r="E1180">
        <v>2</v>
      </c>
      <c r="F1180" t="s">
        <v>888</v>
      </c>
      <c r="G1180" t="s">
        <v>890</v>
      </c>
      <c r="H1180" s="1">
        <f>VLOOKUP(tbl_details5[[#This Row],[Order ID]],Orders!A:F,2,FALSE)</f>
        <v>43500</v>
      </c>
      <c r="I1180" s="1" t="str">
        <f>TEXT(tbl_details5[[#This Row],[Order Date]],"mmm-yy")</f>
        <v>Feb-19</v>
      </c>
      <c r="J1180" t="str">
        <f>VLOOKUP(tbl_details5[[#This Row],[Order ID]],Table1[],4,FALSE)</f>
        <v>Prashant</v>
      </c>
      <c r="K1180" t="str">
        <f>VLOOKUP(tbl_details5[[#This Row],[Order ID]],Table1[],5,FALSE)</f>
        <v>Delhi</v>
      </c>
      <c r="L1180" t="str">
        <f>VLOOKUP(tbl_details5[[#This Row],[Order ID]],Table1[],6,FALSE)</f>
        <v>Delhi</v>
      </c>
    </row>
    <row r="1181" spans="1:12" x14ac:dyDescent="0.25">
      <c r="A1181" t="s">
        <v>762</v>
      </c>
      <c r="B1181" s="4">
        <v>47</v>
      </c>
      <c r="C1181" s="4">
        <v>1</v>
      </c>
      <c r="D1181" s="5">
        <f>tbl_details5[[#This Row],[Profit]]/tbl_details5[[#This Row],[Revenue]]</f>
        <v>2.1276595744680851E-2</v>
      </c>
      <c r="E1181">
        <v>2</v>
      </c>
      <c r="F1181" t="s">
        <v>885</v>
      </c>
      <c r="G1181" t="s">
        <v>886</v>
      </c>
      <c r="H1181" s="1">
        <f>VLOOKUP(tbl_details5[[#This Row],[Order ID]],Orders!A:F,2,FALSE)</f>
        <v>43500</v>
      </c>
      <c r="I1181" s="1" t="str">
        <f>TEXT(tbl_details5[[#This Row],[Order Date]],"mmm-yy")</f>
        <v>Feb-19</v>
      </c>
      <c r="J1181" t="str">
        <f>VLOOKUP(tbl_details5[[#This Row],[Order ID]],Table1[],4,FALSE)</f>
        <v>Prashant</v>
      </c>
      <c r="K1181" t="str">
        <f>VLOOKUP(tbl_details5[[#This Row],[Order ID]],Table1[],5,FALSE)</f>
        <v>Delhi</v>
      </c>
      <c r="L1181" t="str">
        <f>VLOOKUP(tbl_details5[[#This Row],[Order ID]],Table1[],6,FALSE)</f>
        <v>Delhi</v>
      </c>
    </row>
    <row r="1182" spans="1:12" x14ac:dyDescent="0.25">
      <c r="A1182" t="s">
        <v>762</v>
      </c>
      <c r="B1182" s="4">
        <v>18</v>
      </c>
      <c r="C1182" s="4">
        <v>4</v>
      </c>
      <c r="D1182" s="5">
        <f>tbl_details5[[#This Row],[Profit]]/tbl_details5[[#This Row],[Revenue]]</f>
        <v>0.22222222222222221</v>
      </c>
      <c r="E1182">
        <v>1</v>
      </c>
      <c r="F1182" t="s">
        <v>885</v>
      </c>
      <c r="G1182" t="s">
        <v>891</v>
      </c>
      <c r="H1182" s="1">
        <f>VLOOKUP(tbl_details5[[#This Row],[Order ID]],Orders!A:F,2,FALSE)</f>
        <v>43500</v>
      </c>
      <c r="I1182" s="1" t="str">
        <f>TEXT(tbl_details5[[#This Row],[Order Date]],"mmm-yy")</f>
        <v>Feb-19</v>
      </c>
      <c r="J1182" t="str">
        <f>VLOOKUP(tbl_details5[[#This Row],[Order ID]],Table1[],4,FALSE)</f>
        <v>Prashant</v>
      </c>
      <c r="K1182" t="str">
        <f>VLOOKUP(tbl_details5[[#This Row],[Order ID]],Table1[],5,FALSE)</f>
        <v>Delhi</v>
      </c>
      <c r="L1182" t="str">
        <f>VLOOKUP(tbl_details5[[#This Row],[Order ID]],Table1[],6,FALSE)</f>
        <v>Delhi</v>
      </c>
    </row>
    <row r="1183" spans="1:12" x14ac:dyDescent="0.25">
      <c r="A1183" t="s">
        <v>764</v>
      </c>
      <c r="B1183" s="4">
        <v>16</v>
      </c>
      <c r="C1183" s="4">
        <v>6</v>
      </c>
      <c r="D1183" s="5">
        <f>tbl_details5[[#This Row],[Profit]]/tbl_details5[[#This Row],[Revenue]]</f>
        <v>0.375</v>
      </c>
      <c r="E1183">
        <v>3</v>
      </c>
      <c r="F1183" t="s">
        <v>885</v>
      </c>
      <c r="G1183" t="s">
        <v>887</v>
      </c>
      <c r="H1183" s="1">
        <f>VLOOKUP(tbl_details5[[#This Row],[Order ID]],Orders!A:F,2,FALSE)</f>
        <v>43500</v>
      </c>
      <c r="I1183" s="1" t="str">
        <f>TEXT(tbl_details5[[#This Row],[Order Date]],"mmm-yy")</f>
        <v>Feb-19</v>
      </c>
      <c r="J1183" t="str">
        <f>VLOOKUP(tbl_details5[[#This Row],[Order ID]],Table1[],4,FALSE)</f>
        <v>Yogesh</v>
      </c>
      <c r="K1183" t="str">
        <f>VLOOKUP(tbl_details5[[#This Row],[Order ID]],Table1[],5,FALSE)</f>
        <v>Madhya Pradesh</v>
      </c>
      <c r="L1183" t="str">
        <f>VLOOKUP(tbl_details5[[#This Row],[Order ID]],Table1[],6,FALSE)</f>
        <v>Indore</v>
      </c>
    </row>
    <row r="1184" spans="1:12" x14ac:dyDescent="0.25">
      <c r="A1184" t="s">
        <v>764</v>
      </c>
      <c r="B1184" s="4">
        <v>231</v>
      </c>
      <c r="C1184" s="4">
        <v>99</v>
      </c>
      <c r="D1184" s="5">
        <f>tbl_details5[[#This Row],[Profit]]/tbl_details5[[#This Row],[Revenue]]</f>
        <v>0.42857142857142855</v>
      </c>
      <c r="E1184">
        <v>2</v>
      </c>
      <c r="F1184" t="s">
        <v>888</v>
      </c>
      <c r="G1184" t="s">
        <v>889</v>
      </c>
      <c r="H1184" s="1">
        <f>VLOOKUP(tbl_details5[[#This Row],[Order ID]],Orders!A:F,2,FALSE)</f>
        <v>43500</v>
      </c>
      <c r="I1184" s="1" t="str">
        <f>TEXT(tbl_details5[[#This Row],[Order Date]],"mmm-yy")</f>
        <v>Feb-19</v>
      </c>
      <c r="J1184" t="str">
        <f>VLOOKUP(tbl_details5[[#This Row],[Order ID]],Table1[],4,FALSE)</f>
        <v>Yogesh</v>
      </c>
      <c r="K1184" t="str">
        <f>VLOOKUP(tbl_details5[[#This Row],[Order ID]],Table1[],5,FALSE)</f>
        <v>Madhya Pradesh</v>
      </c>
      <c r="L1184" t="str">
        <f>VLOOKUP(tbl_details5[[#This Row],[Order ID]],Table1[],6,FALSE)</f>
        <v>Indore</v>
      </c>
    </row>
    <row r="1185" spans="1:12" x14ac:dyDescent="0.25">
      <c r="A1185" t="s">
        <v>764</v>
      </c>
      <c r="B1185" s="4">
        <v>2292</v>
      </c>
      <c r="C1185" s="4">
        <v>127</v>
      </c>
      <c r="D1185" s="5">
        <f>tbl_details5[[#This Row],[Profit]]/tbl_details5[[#This Row],[Revenue]]</f>
        <v>5.5410122164048864E-2</v>
      </c>
      <c r="E1185">
        <v>7</v>
      </c>
      <c r="F1185" t="s">
        <v>883</v>
      </c>
      <c r="G1185" t="s">
        <v>884</v>
      </c>
      <c r="H1185" s="1">
        <f>VLOOKUP(tbl_details5[[#This Row],[Order ID]],Orders!A:F,2,FALSE)</f>
        <v>43500</v>
      </c>
      <c r="I1185" s="1" t="str">
        <f>TEXT(tbl_details5[[#This Row],[Order Date]],"mmm-yy")</f>
        <v>Feb-19</v>
      </c>
      <c r="J1185" t="str">
        <f>VLOOKUP(tbl_details5[[#This Row],[Order ID]],Table1[],4,FALSE)</f>
        <v>Yogesh</v>
      </c>
      <c r="K1185" t="str">
        <f>VLOOKUP(tbl_details5[[#This Row],[Order ID]],Table1[],5,FALSE)</f>
        <v>Madhya Pradesh</v>
      </c>
      <c r="L1185" t="str">
        <f>VLOOKUP(tbl_details5[[#This Row],[Order ID]],Table1[],6,FALSE)</f>
        <v>Indore</v>
      </c>
    </row>
    <row r="1186" spans="1:12" x14ac:dyDescent="0.25">
      <c r="A1186" t="s">
        <v>764</v>
      </c>
      <c r="B1186" s="4">
        <v>48</v>
      </c>
      <c r="C1186" s="4">
        <v>15</v>
      </c>
      <c r="D1186" s="5">
        <f>tbl_details5[[#This Row],[Profit]]/tbl_details5[[#This Row],[Revenue]]</f>
        <v>0.3125</v>
      </c>
      <c r="E1186">
        <v>1</v>
      </c>
      <c r="F1186" t="s">
        <v>885</v>
      </c>
      <c r="G1186" t="s">
        <v>887</v>
      </c>
      <c r="H1186" s="1">
        <f>VLOOKUP(tbl_details5[[#This Row],[Order ID]],Orders!A:F,2,FALSE)</f>
        <v>43500</v>
      </c>
      <c r="I1186" s="1" t="str">
        <f>TEXT(tbl_details5[[#This Row],[Order Date]],"mmm-yy")</f>
        <v>Feb-19</v>
      </c>
      <c r="J1186" t="str">
        <f>VLOOKUP(tbl_details5[[#This Row],[Order ID]],Table1[],4,FALSE)</f>
        <v>Yogesh</v>
      </c>
      <c r="K1186" t="str">
        <f>VLOOKUP(tbl_details5[[#This Row],[Order ID]],Table1[],5,FALSE)</f>
        <v>Madhya Pradesh</v>
      </c>
      <c r="L1186" t="str">
        <f>VLOOKUP(tbl_details5[[#This Row],[Order ID]],Table1[],6,FALSE)</f>
        <v>Indore</v>
      </c>
    </row>
    <row r="1187" spans="1:12" x14ac:dyDescent="0.25">
      <c r="A1187" t="s">
        <v>765</v>
      </c>
      <c r="B1187" s="4">
        <v>50</v>
      </c>
      <c r="C1187" s="4">
        <v>-28</v>
      </c>
      <c r="D1187" s="5">
        <f>tbl_details5[[#This Row],[Profit]]/tbl_details5[[#This Row],[Revenue]]</f>
        <v>-0.56000000000000005</v>
      </c>
      <c r="E1187">
        <v>5</v>
      </c>
      <c r="F1187" t="s">
        <v>883</v>
      </c>
      <c r="G1187" t="s">
        <v>901</v>
      </c>
      <c r="H1187" s="1">
        <f>VLOOKUP(tbl_details5[[#This Row],[Order ID]],Orders!A:F,2,FALSE)</f>
        <v>43500</v>
      </c>
      <c r="I1187" s="1" t="str">
        <f>TEXT(tbl_details5[[#This Row],[Order Date]],"mmm-yy")</f>
        <v>Feb-19</v>
      </c>
      <c r="J1187" t="str">
        <f>VLOOKUP(tbl_details5[[#This Row],[Order ID]],Table1[],4,FALSE)</f>
        <v>Anmol</v>
      </c>
      <c r="K1187" t="str">
        <f>VLOOKUP(tbl_details5[[#This Row],[Order ID]],Table1[],5,FALSE)</f>
        <v>Rajasthan</v>
      </c>
      <c r="L1187" t="str">
        <f>VLOOKUP(tbl_details5[[#This Row],[Order ID]],Table1[],6,FALSE)</f>
        <v>Udaipur</v>
      </c>
    </row>
    <row r="1188" spans="1:12" x14ac:dyDescent="0.25">
      <c r="A1188" t="s">
        <v>767</v>
      </c>
      <c r="B1188" s="4">
        <v>26</v>
      </c>
      <c r="C1188" s="4">
        <v>-17</v>
      </c>
      <c r="D1188" s="5">
        <f>tbl_details5[[#This Row],[Profit]]/tbl_details5[[#This Row],[Revenue]]</f>
        <v>-0.65384615384615385</v>
      </c>
      <c r="E1188">
        <v>1</v>
      </c>
      <c r="F1188" t="s">
        <v>885</v>
      </c>
      <c r="G1188" t="s">
        <v>886</v>
      </c>
      <c r="H1188" s="1">
        <f>VLOOKUP(tbl_details5[[#This Row],[Order ID]],Orders!A:F,2,FALSE)</f>
        <v>43501</v>
      </c>
      <c r="I1188" s="1" t="str">
        <f>TEXT(tbl_details5[[#This Row],[Order Date]],"mmm-yy")</f>
        <v>Feb-19</v>
      </c>
      <c r="J1188" t="str">
        <f>VLOOKUP(tbl_details5[[#This Row],[Order ID]],Table1[],4,FALSE)</f>
        <v>Diwakar</v>
      </c>
      <c r="K1188" t="str">
        <f>VLOOKUP(tbl_details5[[#This Row],[Order ID]],Table1[],5,FALSE)</f>
        <v>Delhi</v>
      </c>
      <c r="L1188" t="str">
        <f>VLOOKUP(tbl_details5[[#This Row],[Order ID]],Table1[],6,FALSE)</f>
        <v>Delhi</v>
      </c>
    </row>
    <row r="1189" spans="1:12" x14ac:dyDescent="0.25">
      <c r="A1189" t="s">
        <v>767</v>
      </c>
      <c r="B1189" s="4">
        <v>93</v>
      </c>
      <c r="C1189" s="4">
        <v>-65</v>
      </c>
      <c r="D1189" s="5">
        <f>tbl_details5[[#This Row],[Profit]]/tbl_details5[[#This Row],[Revenue]]</f>
        <v>-0.69892473118279574</v>
      </c>
      <c r="E1189">
        <v>4</v>
      </c>
      <c r="F1189" t="s">
        <v>885</v>
      </c>
      <c r="G1189" t="s">
        <v>886</v>
      </c>
      <c r="H1189" s="1">
        <f>VLOOKUP(tbl_details5[[#This Row],[Order ID]],Orders!A:F,2,FALSE)</f>
        <v>43501</v>
      </c>
      <c r="I1189" s="1" t="str">
        <f>TEXT(tbl_details5[[#This Row],[Order Date]],"mmm-yy")</f>
        <v>Feb-19</v>
      </c>
      <c r="J1189" t="str">
        <f>VLOOKUP(tbl_details5[[#This Row],[Order ID]],Table1[],4,FALSE)</f>
        <v>Diwakar</v>
      </c>
      <c r="K1189" t="str">
        <f>VLOOKUP(tbl_details5[[#This Row],[Order ID]],Table1[],5,FALSE)</f>
        <v>Delhi</v>
      </c>
      <c r="L1189" t="str">
        <f>VLOOKUP(tbl_details5[[#This Row],[Order ID]],Table1[],6,FALSE)</f>
        <v>Delhi</v>
      </c>
    </row>
    <row r="1190" spans="1:12" x14ac:dyDescent="0.25">
      <c r="A1190" t="s">
        <v>767</v>
      </c>
      <c r="B1190" s="4">
        <v>152</v>
      </c>
      <c r="C1190" s="4">
        <v>-3</v>
      </c>
      <c r="D1190" s="5">
        <f>tbl_details5[[#This Row],[Profit]]/tbl_details5[[#This Row],[Revenue]]</f>
        <v>-1.9736842105263157E-2</v>
      </c>
      <c r="E1190">
        <v>5</v>
      </c>
      <c r="F1190" t="s">
        <v>885</v>
      </c>
      <c r="G1190" t="s">
        <v>891</v>
      </c>
      <c r="H1190" s="1">
        <f>VLOOKUP(tbl_details5[[#This Row],[Order ID]],Orders!A:F,2,FALSE)</f>
        <v>43501</v>
      </c>
      <c r="I1190" s="1" t="str">
        <f>TEXT(tbl_details5[[#This Row],[Order Date]],"mmm-yy")</f>
        <v>Feb-19</v>
      </c>
      <c r="J1190" t="str">
        <f>VLOOKUP(tbl_details5[[#This Row],[Order ID]],Table1[],4,FALSE)</f>
        <v>Diwakar</v>
      </c>
      <c r="K1190" t="str">
        <f>VLOOKUP(tbl_details5[[#This Row],[Order ID]],Table1[],5,FALSE)</f>
        <v>Delhi</v>
      </c>
      <c r="L1190" t="str">
        <f>VLOOKUP(tbl_details5[[#This Row],[Order ID]],Table1[],6,FALSE)</f>
        <v>Delhi</v>
      </c>
    </row>
    <row r="1191" spans="1:12" x14ac:dyDescent="0.25">
      <c r="A1191" t="s">
        <v>767</v>
      </c>
      <c r="B1191" s="4">
        <v>51</v>
      </c>
      <c r="C1191" s="4">
        <v>-49</v>
      </c>
      <c r="D1191" s="5">
        <f>tbl_details5[[#This Row],[Profit]]/tbl_details5[[#This Row],[Revenue]]</f>
        <v>-0.96078431372549022</v>
      </c>
      <c r="E1191">
        <v>2</v>
      </c>
      <c r="F1191" t="s">
        <v>888</v>
      </c>
      <c r="G1191" t="s">
        <v>889</v>
      </c>
      <c r="H1191" s="1">
        <f>VLOOKUP(tbl_details5[[#This Row],[Order ID]],Orders!A:F,2,FALSE)</f>
        <v>43501</v>
      </c>
      <c r="I1191" s="1" t="str">
        <f>TEXT(tbl_details5[[#This Row],[Order Date]],"mmm-yy")</f>
        <v>Feb-19</v>
      </c>
      <c r="J1191" t="str">
        <f>VLOOKUP(tbl_details5[[#This Row],[Order ID]],Table1[],4,FALSE)</f>
        <v>Diwakar</v>
      </c>
      <c r="K1191" t="str">
        <f>VLOOKUP(tbl_details5[[#This Row],[Order ID]],Table1[],5,FALSE)</f>
        <v>Delhi</v>
      </c>
      <c r="L1191" t="str">
        <f>VLOOKUP(tbl_details5[[#This Row],[Order ID]],Table1[],6,FALSE)</f>
        <v>Delhi</v>
      </c>
    </row>
    <row r="1192" spans="1:12" x14ac:dyDescent="0.25">
      <c r="A1192" t="s">
        <v>767</v>
      </c>
      <c r="B1192" s="4">
        <v>352</v>
      </c>
      <c r="C1192" s="4">
        <v>74</v>
      </c>
      <c r="D1192" s="5">
        <f>tbl_details5[[#This Row],[Profit]]/tbl_details5[[#This Row],[Revenue]]</f>
        <v>0.21022727272727273</v>
      </c>
      <c r="E1192">
        <v>8</v>
      </c>
      <c r="F1192" t="s">
        <v>885</v>
      </c>
      <c r="G1192" t="s">
        <v>886</v>
      </c>
      <c r="H1192" s="1">
        <f>VLOOKUP(tbl_details5[[#This Row],[Order ID]],Orders!A:F,2,FALSE)</f>
        <v>43501</v>
      </c>
      <c r="I1192" s="1" t="str">
        <f>TEXT(tbl_details5[[#This Row],[Order Date]],"mmm-yy")</f>
        <v>Feb-19</v>
      </c>
      <c r="J1192" t="str">
        <f>VLOOKUP(tbl_details5[[#This Row],[Order ID]],Table1[],4,FALSE)</f>
        <v>Diwakar</v>
      </c>
      <c r="K1192" t="str">
        <f>VLOOKUP(tbl_details5[[#This Row],[Order ID]],Table1[],5,FALSE)</f>
        <v>Delhi</v>
      </c>
      <c r="L1192" t="str">
        <f>VLOOKUP(tbl_details5[[#This Row],[Order ID]],Table1[],6,FALSE)</f>
        <v>Delhi</v>
      </c>
    </row>
    <row r="1193" spans="1:12" x14ac:dyDescent="0.25">
      <c r="A1193" t="s">
        <v>767</v>
      </c>
      <c r="B1193" s="4">
        <v>129</v>
      </c>
      <c r="C1193" s="4">
        <v>11</v>
      </c>
      <c r="D1193" s="5">
        <f>tbl_details5[[#This Row],[Profit]]/tbl_details5[[#This Row],[Revenue]]</f>
        <v>8.5271317829457363E-2</v>
      </c>
      <c r="E1193">
        <v>2</v>
      </c>
      <c r="F1193" t="s">
        <v>888</v>
      </c>
      <c r="G1193" t="s">
        <v>890</v>
      </c>
      <c r="H1193" s="1">
        <f>VLOOKUP(tbl_details5[[#This Row],[Order ID]],Orders!A:F,2,FALSE)</f>
        <v>43501</v>
      </c>
      <c r="I1193" s="1" t="str">
        <f>TEXT(tbl_details5[[#This Row],[Order Date]],"mmm-yy")</f>
        <v>Feb-19</v>
      </c>
      <c r="J1193" t="str">
        <f>VLOOKUP(tbl_details5[[#This Row],[Order ID]],Table1[],4,FALSE)</f>
        <v>Diwakar</v>
      </c>
      <c r="K1193" t="str">
        <f>VLOOKUP(tbl_details5[[#This Row],[Order ID]],Table1[],5,FALSE)</f>
        <v>Delhi</v>
      </c>
      <c r="L1193" t="str">
        <f>VLOOKUP(tbl_details5[[#This Row],[Order ID]],Table1[],6,FALSE)</f>
        <v>Delhi</v>
      </c>
    </row>
    <row r="1194" spans="1:12" x14ac:dyDescent="0.25">
      <c r="A1194" t="s">
        <v>767</v>
      </c>
      <c r="B1194" s="4">
        <v>223</v>
      </c>
      <c r="C1194" s="4">
        <v>62</v>
      </c>
      <c r="D1194" s="5">
        <f>tbl_details5[[#This Row],[Profit]]/tbl_details5[[#This Row],[Revenue]]</f>
        <v>0.27802690582959644</v>
      </c>
      <c r="E1194">
        <v>7</v>
      </c>
      <c r="F1194" t="s">
        <v>885</v>
      </c>
      <c r="G1194" t="s">
        <v>896</v>
      </c>
      <c r="H1194" s="1">
        <f>VLOOKUP(tbl_details5[[#This Row],[Order ID]],Orders!A:F,2,FALSE)</f>
        <v>43501</v>
      </c>
      <c r="I1194" s="1" t="str">
        <f>TEXT(tbl_details5[[#This Row],[Order Date]],"mmm-yy")</f>
        <v>Feb-19</v>
      </c>
      <c r="J1194" t="str">
        <f>VLOOKUP(tbl_details5[[#This Row],[Order ID]],Table1[],4,FALSE)</f>
        <v>Diwakar</v>
      </c>
      <c r="K1194" t="str">
        <f>VLOOKUP(tbl_details5[[#This Row],[Order ID]],Table1[],5,FALSE)</f>
        <v>Delhi</v>
      </c>
      <c r="L1194" t="str">
        <f>VLOOKUP(tbl_details5[[#This Row],[Order ID]],Table1[],6,FALSE)</f>
        <v>Delhi</v>
      </c>
    </row>
    <row r="1195" spans="1:12" x14ac:dyDescent="0.25">
      <c r="A1195" t="s">
        <v>767</v>
      </c>
      <c r="B1195" s="4">
        <v>770</v>
      </c>
      <c r="C1195" s="4">
        <v>323</v>
      </c>
      <c r="D1195" s="5">
        <f>tbl_details5[[#This Row],[Profit]]/tbl_details5[[#This Row],[Revenue]]</f>
        <v>0.41948051948051945</v>
      </c>
      <c r="E1195">
        <v>3</v>
      </c>
      <c r="F1195" t="s">
        <v>888</v>
      </c>
      <c r="G1195" t="s">
        <v>900</v>
      </c>
      <c r="H1195" s="1">
        <f>VLOOKUP(tbl_details5[[#This Row],[Order ID]],Orders!A:F,2,FALSE)</f>
        <v>43501</v>
      </c>
      <c r="I1195" s="1" t="str">
        <f>TEXT(tbl_details5[[#This Row],[Order Date]],"mmm-yy")</f>
        <v>Feb-19</v>
      </c>
      <c r="J1195" t="str">
        <f>VLOOKUP(tbl_details5[[#This Row],[Order ID]],Table1[],4,FALSE)</f>
        <v>Diwakar</v>
      </c>
      <c r="K1195" t="str">
        <f>VLOOKUP(tbl_details5[[#This Row],[Order ID]],Table1[],5,FALSE)</f>
        <v>Delhi</v>
      </c>
      <c r="L1195" t="str">
        <f>VLOOKUP(tbl_details5[[#This Row],[Order ID]],Table1[],6,FALSE)</f>
        <v>Delhi</v>
      </c>
    </row>
    <row r="1196" spans="1:12" x14ac:dyDescent="0.25">
      <c r="A1196" t="s">
        <v>767</v>
      </c>
      <c r="B1196" s="4">
        <v>222</v>
      </c>
      <c r="C1196" s="4">
        <v>74</v>
      </c>
      <c r="D1196" s="5">
        <f>tbl_details5[[#This Row],[Profit]]/tbl_details5[[#This Row],[Revenue]]</f>
        <v>0.33333333333333331</v>
      </c>
      <c r="E1196">
        <v>5</v>
      </c>
      <c r="F1196" t="s">
        <v>885</v>
      </c>
      <c r="G1196" t="s">
        <v>887</v>
      </c>
      <c r="H1196" s="1">
        <f>VLOOKUP(tbl_details5[[#This Row],[Order ID]],Orders!A:F,2,FALSE)</f>
        <v>43501</v>
      </c>
      <c r="I1196" s="1" t="str">
        <f>TEXT(tbl_details5[[#This Row],[Order Date]],"mmm-yy")</f>
        <v>Feb-19</v>
      </c>
      <c r="J1196" t="str">
        <f>VLOOKUP(tbl_details5[[#This Row],[Order ID]],Table1[],4,FALSE)</f>
        <v>Diwakar</v>
      </c>
      <c r="K1196" t="str">
        <f>VLOOKUP(tbl_details5[[#This Row],[Order ID]],Table1[],5,FALSE)</f>
        <v>Delhi</v>
      </c>
      <c r="L1196" t="str">
        <f>VLOOKUP(tbl_details5[[#This Row],[Order ID]],Table1[],6,FALSE)</f>
        <v>Delhi</v>
      </c>
    </row>
    <row r="1197" spans="1:12" x14ac:dyDescent="0.25">
      <c r="A1197" t="s">
        <v>767</v>
      </c>
      <c r="B1197" s="4">
        <v>215</v>
      </c>
      <c r="C1197" s="4">
        <v>-30</v>
      </c>
      <c r="D1197" s="5">
        <f>tbl_details5[[#This Row],[Profit]]/tbl_details5[[#This Row],[Revenue]]</f>
        <v>-0.13953488372093023</v>
      </c>
      <c r="E1197">
        <v>2</v>
      </c>
      <c r="F1197" t="s">
        <v>885</v>
      </c>
      <c r="G1197" t="s">
        <v>891</v>
      </c>
      <c r="H1197" s="1">
        <f>VLOOKUP(tbl_details5[[#This Row],[Order ID]],Orders!A:F,2,FALSE)</f>
        <v>43501</v>
      </c>
      <c r="I1197" s="1" t="str">
        <f>TEXT(tbl_details5[[#This Row],[Order Date]],"mmm-yy")</f>
        <v>Feb-19</v>
      </c>
      <c r="J1197" t="str">
        <f>VLOOKUP(tbl_details5[[#This Row],[Order ID]],Table1[],4,FALSE)</f>
        <v>Diwakar</v>
      </c>
      <c r="K1197" t="str">
        <f>VLOOKUP(tbl_details5[[#This Row],[Order ID]],Table1[],5,FALSE)</f>
        <v>Delhi</v>
      </c>
      <c r="L1197" t="str">
        <f>VLOOKUP(tbl_details5[[#This Row],[Order ID]],Table1[],6,FALSE)</f>
        <v>Delhi</v>
      </c>
    </row>
    <row r="1198" spans="1:12" x14ac:dyDescent="0.25">
      <c r="A1198" t="s">
        <v>767</v>
      </c>
      <c r="B1198" s="4">
        <v>109</v>
      </c>
      <c r="C1198" s="4">
        <v>40</v>
      </c>
      <c r="D1198" s="5">
        <f>tbl_details5[[#This Row],[Profit]]/tbl_details5[[#This Row],[Revenue]]</f>
        <v>0.3669724770642202</v>
      </c>
      <c r="E1198">
        <v>1</v>
      </c>
      <c r="F1198" t="s">
        <v>883</v>
      </c>
      <c r="G1198" t="s">
        <v>901</v>
      </c>
      <c r="H1198" s="1">
        <f>VLOOKUP(tbl_details5[[#This Row],[Order ID]],Orders!A:F,2,FALSE)</f>
        <v>43501</v>
      </c>
      <c r="I1198" s="1" t="str">
        <f>TEXT(tbl_details5[[#This Row],[Order Date]],"mmm-yy")</f>
        <v>Feb-19</v>
      </c>
      <c r="J1198" t="str">
        <f>VLOOKUP(tbl_details5[[#This Row],[Order ID]],Table1[],4,FALSE)</f>
        <v>Diwakar</v>
      </c>
      <c r="K1198" t="str">
        <f>VLOOKUP(tbl_details5[[#This Row],[Order ID]],Table1[],5,FALSE)</f>
        <v>Delhi</v>
      </c>
      <c r="L1198" t="str">
        <f>VLOOKUP(tbl_details5[[#This Row],[Order ID]],Table1[],6,FALSE)</f>
        <v>Delhi</v>
      </c>
    </row>
    <row r="1199" spans="1:12" x14ac:dyDescent="0.25">
      <c r="A1199" t="s">
        <v>769</v>
      </c>
      <c r="B1199" s="4">
        <v>43</v>
      </c>
      <c r="C1199" s="4">
        <v>9</v>
      </c>
      <c r="D1199" s="5">
        <f>tbl_details5[[#This Row],[Profit]]/tbl_details5[[#This Row],[Revenue]]</f>
        <v>0.20930232558139536</v>
      </c>
      <c r="E1199">
        <v>4</v>
      </c>
      <c r="F1199" t="s">
        <v>885</v>
      </c>
      <c r="G1199" t="s">
        <v>902</v>
      </c>
      <c r="H1199" s="1">
        <f>VLOOKUP(tbl_details5[[#This Row],[Order ID]],Orders!A:F,2,FALSE)</f>
        <v>43502</v>
      </c>
      <c r="I1199" s="1" t="str">
        <f>TEXT(tbl_details5[[#This Row],[Order Date]],"mmm-yy")</f>
        <v>Feb-19</v>
      </c>
      <c r="J1199" t="str">
        <f>VLOOKUP(tbl_details5[[#This Row],[Order ID]],Table1[],4,FALSE)</f>
        <v>Shubham</v>
      </c>
      <c r="K1199" t="str">
        <f>VLOOKUP(tbl_details5[[#This Row],[Order ID]],Table1[],5,FALSE)</f>
        <v>Delhi</v>
      </c>
      <c r="L1199" t="str">
        <f>VLOOKUP(tbl_details5[[#This Row],[Order ID]],Table1[],6,FALSE)</f>
        <v>Delhi</v>
      </c>
    </row>
    <row r="1200" spans="1:12" x14ac:dyDescent="0.25">
      <c r="A1200" t="s">
        <v>769</v>
      </c>
      <c r="B1200" s="4">
        <v>676</v>
      </c>
      <c r="C1200" s="4">
        <v>151</v>
      </c>
      <c r="D1200" s="5">
        <f>tbl_details5[[#This Row],[Profit]]/tbl_details5[[#This Row],[Revenue]]</f>
        <v>0.22337278106508876</v>
      </c>
      <c r="E1200">
        <v>3</v>
      </c>
      <c r="F1200" t="s">
        <v>888</v>
      </c>
      <c r="G1200" t="s">
        <v>899</v>
      </c>
      <c r="H1200" s="1">
        <f>VLOOKUP(tbl_details5[[#This Row],[Order ID]],Orders!A:F,2,FALSE)</f>
        <v>43502</v>
      </c>
      <c r="I1200" s="1" t="str">
        <f>TEXT(tbl_details5[[#This Row],[Order Date]],"mmm-yy")</f>
        <v>Feb-19</v>
      </c>
      <c r="J1200" t="str">
        <f>VLOOKUP(tbl_details5[[#This Row],[Order ID]],Table1[],4,FALSE)</f>
        <v>Shubham</v>
      </c>
      <c r="K1200" t="str">
        <f>VLOOKUP(tbl_details5[[#This Row],[Order ID]],Table1[],5,FALSE)</f>
        <v>Delhi</v>
      </c>
      <c r="L1200" t="str">
        <f>VLOOKUP(tbl_details5[[#This Row],[Order ID]],Table1[],6,FALSE)</f>
        <v>Delhi</v>
      </c>
    </row>
    <row r="1201" spans="1:12" x14ac:dyDescent="0.25">
      <c r="A1201" t="s">
        <v>769</v>
      </c>
      <c r="B1201" s="4">
        <v>597</v>
      </c>
      <c r="C1201" s="4">
        <v>93</v>
      </c>
      <c r="D1201" s="5">
        <f>tbl_details5[[#This Row],[Profit]]/tbl_details5[[#This Row],[Revenue]]</f>
        <v>0.15577889447236182</v>
      </c>
      <c r="E1201">
        <v>4</v>
      </c>
      <c r="F1201" t="s">
        <v>883</v>
      </c>
      <c r="G1201" t="s">
        <v>893</v>
      </c>
      <c r="H1201" s="1">
        <f>VLOOKUP(tbl_details5[[#This Row],[Order ID]],Orders!A:F,2,FALSE)</f>
        <v>43502</v>
      </c>
      <c r="I1201" s="1" t="str">
        <f>TEXT(tbl_details5[[#This Row],[Order Date]],"mmm-yy")</f>
        <v>Feb-19</v>
      </c>
      <c r="J1201" t="str">
        <f>VLOOKUP(tbl_details5[[#This Row],[Order ID]],Table1[],4,FALSE)</f>
        <v>Shubham</v>
      </c>
      <c r="K1201" t="str">
        <f>VLOOKUP(tbl_details5[[#This Row],[Order ID]],Table1[],5,FALSE)</f>
        <v>Delhi</v>
      </c>
      <c r="L1201" t="str">
        <f>VLOOKUP(tbl_details5[[#This Row],[Order ID]],Table1[],6,FALSE)</f>
        <v>Delhi</v>
      </c>
    </row>
    <row r="1202" spans="1:12" x14ac:dyDescent="0.25">
      <c r="A1202" t="s">
        <v>770</v>
      </c>
      <c r="B1202" s="4">
        <v>13</v>
      </c>
      <c r="C1202" s="4">
        <v>0</v>
      </c>
      <c r="D1202" s="5">
        <f>tbl_details5[[#This Row],[Profit]]/tbl_details5[[#This Row],[Revenue]]</f>
        <v>0</v>
      </c>
      <c r="E1202">
        <v>2</v>
      </c>
      <c r="F1202" t="s">
        <v>885</v>
      </c>
      <c r="G1202" t="s">
        <v>887</v>
      </c>
      <c r="H1202" s="1">
        <f>VLOOKUP(tbl_details5[[#This Row],[Order ID]],Orders!A:F,2,FALSE)</f>
        <v>43503</v>
      </c>
      <c r="I1202" s="1" t="str">
        <f>TEXT(tbl_details5[[#This Row],[Order Date]],"mmm-yy")</f>
        <v>Feb-19</v>
      </c>
      <c r="J1202" t="str">
        <f>VLOOKUP(tbl_details5[[#This Row],[Order ID]],Table1[],4,FALSE)</f>
        <v>Patil</v>
      </c>
      <c r="K1202" t="str">
        <f>VLOOKUP(tbl_details5[[#This Row],[Order ID]],Table1[],5,FALSE)</f>
        <v>Delhi</v>
      </c>
      <c r="L1202" t="str">
        <f>VLOOKUP(tbl_details5[[#This Row],[Order ID]],Table1[],6,FALSE)</f>
        <v>Delhi</v>
      </c>
    </row>
    <row r="1203" spans="1:12" x14ac:dyDescent="0.25">
      <c r="A1203" t="s">
        <v>770</v>
      </c>
      <c r="B1203" s="4">
        <v>149</v>
      </c>
      <c r="C1203" s="4">
        <v>17</v>
      </c>
      <c r="D1203" s="5">
        <f>tbl_details5[[#This Row],[Profit]]/tbl_details5[[#This Row],[Revenue]]</f>
        <v>0.11409395973154363</v>
      </c>
      <c r="E1203">
        <v>4</v>
      </c>
      <c r="F1203" t="s">
        <v>883</v>
      </c>
      <c r="G1203" t="s">
        <v>901</v>
      </c>
      <c r="H1203" s="1">
        <f>VLOOKUP(tbl_details5[[#This Row],[Order ID]],Orders!A:F,2,FALSE)</f>
        <v>43503</v>
      </c>
      <c r="I1203" s="1" t="str">
        <f>TEXT(tbl_details5[[#This Row],[Order Date]],"mmm-yy")</f>
        <v>Feb-19</v>
      </c>
      <c r="J1203" t="str">
        <f>VLOOKUP(tbl_details5[[#This Row],[Order ID]],Table1[],4,FALSE)</f>
        <v>Patil</v>
      </c>
      <c r="K1203" t="str">
        <f>VLOOKUP(tbl_details5[[#This Row],[Order ID]],Table1[],5,FALSE)</f>
        <v>Delhi</v>
      </c>
      <c r="L1203" t="str">
        <f>VLOOKUP(tbl_details5[[#This Row],[Order ID]],Table1[],6,FALSE)</f>
        <v>Delhi</v>
      </c>
    </row>
    <row r="1204" spans="1:12" x14ac:dyDescent="0.25">
      <c r="A1204" t="s">
        <v>770</v>
      </c>
      <c r="B1204" s="4">
        <v>8</v>
      </c>
      <c r="C1204" s="4">
        <v>2</v>
      </c>
      <c r="D1204" s="5">
        <f>tbl_details5[[#This Row],[Profit]]/tbl_details5[[#This Row],[Revenue]]</f>
        <v>0.25</v>
      </c>
      <c r="E1204">
        <v>2</v>
      </c>
      <c r="F1204" t="s">
        <v>885</v>
      </c>
      <c r="G1204" t="s">
        <v>902</v>
      </c>
      <c r="H1204" s="1">
        <f>VLOOKUP(tbl_details5[[#This Row],[Order ID]],Orders!A:F,2,FALSE)</f>
        <v>43503</v>
      </c>
      <c r="I1204" s="1" t="str">
        <f>TEXT(tbl_details5[[#This Row],[Order Date]],"mmm-yy")</f>
        <v>Feb-19</v>
      </c>
      <c r="J1204" t="str">
        <f>VLOOKUP(tbl_details5[[#This Row],[Order ID]],Table1[],4,FALSE)</f>
        <v>Patil</v>
      </c>
      <c r="K1204" t="str">
        <f>VLOOKUP(tbl_details5[[#This Row],[Order ID]],Table1[],5,FALSE)</f>
        <v>Delhi</v>
      </c>
      <c r="L1204" t="str">
        <f>VLOOKUP(tbl_details5[[#This Row],[Order ID]],Table1[],6,FALSE)</f>
        <v>Delhi</v>
      </c>
    </row>
    <row r="1205" spans="1:12" x14ac:dyDescent="0.25">
      <c r="A1205" t="s">
        <v>770</v>
      </c>
      <c r="B1205" s="4">
        <v>50</v>
      </c>
      <c r="C1205" s="4">
        <v>9</v>
      </c>
      <c r="D1205" s="5">
        <f>tbl_details5[[#This Row],[Profit]]/tbl_details5[[#This Row],[Revenue]]</f>
        <v>0.18</v>
      </c>
      <c r="E1205">
        <v>6</v>
      </c>
      <c r="F1205" t="s">
        <v>885</v>
      </c>
      <c r="G1205" t="s">
        <v>902</v>
      </c>
      <c r="H1205" s="1">
        <f>VLOOKUP(tbl_details5[[#This Row],[Order ID]],Orders!A:F,2,FALSE)</f>
        <v>43503</v>
      </c>
      <c r="I1205" s="1" t="str">
        <f>TEXT(tbl_details5[[#This Row],[Order Date]],"mmm-yy")</f>
        <v>Feb-19</v>
      </c>
      <c r="J1205" t="str">
        <f>VLOOKUP(tbl_details5[[#This Row],[Order ID]],Table1[],4,FALSE)</f>
        <v>Patil</v>
      </c>
      <c r="K1205" t="str">
        <f>VLOOKUP(tbl_details5[[#This Row],[Order ID]],Table1[],5,FALSE)</f>
        <v>Delhi</v>
      </c>
      <c r="L1205" t="str">
        <f>VLOOKUP(tbl_details5[[#This Row],[Order ID]],Table1[],6,FALSE)</f>
        <v>Delhi</v>
      </c>
    </row>
    <row r="1206" spans="1:12" x14ac:dyDescent="0.25">
      <c r="A1206" t="s">
        <v>772</v>
      </c>
      <c r="B1206" s="4">
        <v>80</v>
      </c>
      <c r="C1206" s="4">
        <v>22</v>
      </c>
      <c r="D1206" s="5">
        <f>tbl_details5[[#This Row],[Profit]]/tbl_details5[[#This Row],[Revenue]]</f>
        <v>0.27500000000000002</v>
      </c>
      <c r="E1206">
        <v>3</v>
      </c>
      <c r="F1206" t="s">
        <v>885</v>
      </c>
      <c r="G1206" t="s">
        <v>886</v>
      </c>
      <c r="H1206" s="1">
        <f>VLOOKUP(tbl_details5[[#This Row],[Order ID]],Orders!A:F,2,FALSE)</f>
        <v>43504</v>
      </c>
      <c r="I1206" s="1" t="str">
        <f>TEXT(tbl_details5[[#This Row],[Order Date]],"mmm-yy")</f>
        <v>Feb-19</v>
      </c>
      <c r="J1206" t="str">
        <f>VLOOKUP(tbl_details5[[#This Row],[Order ID]],Table1[],4,FALSE)</f>
        <v>Harsh</v>
      </c>
      <c r="K1206" t="str">
        <f>VLOOKUP(tbl_details5[[#This Row],[Order ID]],Table1[],5,FALSE)</f>
        <v>Delhi</v>
      </c>
      <c r="L1206" t="str">
        <f>VLOOKUP(tbl_details5[[#This Row],[Order ID]],Table1[],6,FALSE)</f>
        <v>Delhi</v>
      </c>
    </row>
    <row r="1207" spans="1:12" x14ac:dyDescent="0.25">
      <c r="A1207" t="s">
        <v>772</v>
      </c>
      <c r="B1207" s="4">
        <v>276</v>
      </c>
      <c r="C1207" s="4">
        <v>52</v>
      </c>
      <c r="D1207" s="5">
        <f>tbl_details5[[#This Row],[Profit]]/tbl_details5[[#This Row],[Revenue]]</f>
        <v>0.18840579710144928</v>
      </c>
      <c r="E1207">
        <v>5</v>
      </c>
      <c r="F1207" t="s">
        <v>885</v>
      </c>
      <c r="G1207" t="s">
        <v>891</v>
      </c>
      <c r="H1207" s="1">
        <f>VLOOKUP(tbl_details5[[#This Row],[Order ID]],Orders!A:F,2,FALSE)</f>
        <v>43504</v>
      </c>
      <c r="I1207" s="1" t="str">
        <f>TEXT(tbl_details5[[#This Row],[Order Date]],"mmm-yy")</f>
        <v>Feb-19</v>
      </c>
      <c r="J1207" t="str">
        <f>VLOOKUP(tbl_details5[[#This Row],[Order ID]],Table1[],4,FALSE)</f>
        <v>Harsh</v>
      </c>
      <c r="K1207" t="str">
        <f>VLOOKUP(tbl_details5[[#This Row],[Order ID]],Table1[],5,FALSE)</f>
        <v>Delhi</v>
      </c>
      <c r="L1207" t="str">
        <f>VLOOKUP(tbl_details5[[#This Row],[Order ID]],Table1[],6,FALSE)</f>
        <v>Delhi</v>
      </c>
    </row>
    <row r="1208" spans="1:12" x14ac:dyDescent="0.25">
      <c r="A1208" t="s">
        <v>772</v>
      </c>
      <c r="B1208" s="4">
        <v>71</v>
      </c>
      <c r="C1208" s="4">
        <v>19</v>
      </c>
      <c r="D1208" s="5">
        <f>tbl_details5[[#This Row],[Profit]]/tbl_details5[[#This Row],[Revenue]]</f>
        <v>0.26760563380281688</v>
      </c>
      <c r="E1208">
        <v>3</v>
      </c>
      <c r="F1208" t="s">
        <v>885</v>
      </c>
      <c r="G1208" t="s">
        <v>895</v>
      </c>
      <c r="H1208" s="1">
        <f>VLOOKUP(tbl_details5[[#This Row],[Order ID]],Orders!A:F,2,FALSE)</f>
        <v>43504</v>
      </c>
      <c r="I1208" s="1" t="str">
        <f>TEXT(tbl_details5[[#This Row],[Order Date]],"mmm-yy")</f>
        <v>Feb-19</v>
      </c>
      <c r="J1208" t="str">
        <f>VLOOKUP(tbl_details5[[#This Row],[Order ID]],Table1[],4,FALSE)</f>
        <v>Harsh</v>
      </c>
      <c r="K1208" t="str">
        <f>VLOOKUP(tbl_details5[[#This Row],[Order ID]],Table1[],5,FALSE)</f>
        <v>Delhi</v>
      </c>
      <c r="L1208" t="str">
        <f>VLOOKUP(tbl_details5[[#This Row],[Order ID]],Table1[],6,FALSE)</f>
        <v>Delhi</v>
      </c>
    </row>
    <row r="1209" spans="1:12" x14ac:dyDescent="0.25">
      <c r="A1209" t="s">
        <v>772</v>
      </c>
      <c r="B1209" s="4">
        <v>141</v>
      </c>
      <c r="C1209" s="4">
        <v>7</v>
      </c>
      <c r="D1209" s="5">
        <f>tbl_details5[[#This Row],[Profit]]/tbl_details5[[#This Row],[Revenue]]</f>
        <v>4.9645390070921988E-2</v>
      </c>
      <c r="E1209">
        <v>7</v>
      </c>
      <c r="F1209" t="s">
        <v>885</v>
      </c>
      <c r="G1209" t="s">
        <v>891</v>
      </c>
      <c r="H1209" s="1">
        <f>VLOOKUP(tbl_details5[[#This Row],[Order ID]],Orders!A:F,2,FALSE)</f>
        <v>43504</v>
      </c>
      <c r="I1209" s="1" t="str">
        <f>TEXT(tbl_details5[[#This Row],[Order Date]],"mmm-yy")</f>
        <v>Feb-19</v>
      </c>
      <c r="J1209" t="str">
        <f>VLOOKUP(tbl_details5[[#This Row],[Order ID]],Table1[],4,FALSE)</f>
        <v>Harsh</v>
      </c>
      <c r="K1209" t="str">
        <f>VLOOKUP(tbl_details5[[#This Row],[Order ID]],Table1[],5,FALSE)</f>
        <v>Delhi</v>
      </c>
      <c r="L1209" t="str">
        <f>VLOOKUP(tbl_details5[[#This Row],[Order ID]],Table1[],6,FALSE)</f>
        <v>Delhi</v>
      </c>
    </row>
    <row r="1210" spans="1:12" x14ac:dyDescent="0.25">
      <c r="A1210" t="s">
        <v>772</v>
      </c>
      <c r="B1210" s="4">
        <v>113</v>
      </c>
      <c r="C1210" s="4">
        <v>28</v>
      </c>
      <c r="D1210" s="5">
        <f>tbl_details5[[#This Row],[Profit]]/tbl_details5[[#This Row],[Revenue]]</f>
        <v>0.24778761061946902</v>
      </c>
      <c r="E1210">
        <v>2</v>
      </c>
      <c r="F1210" t="s">
        <v>885</v>
      </c>
      <c r="G1210" t="s">
        <v>891</v>
      </c>
      <c r="H1210" s="1">
        <f>VLOOKUP(tbl_details5[[#This Row],[Order ID]],Orders!A:F,2,FALSE)</f>
        <v>43504</v>
      </c>
      <c r="I1210" s="1" t="str">
        <f>TEXT(tbl_details5[[#This Row],[Order Date]],"mmm-yy")</f>
        <v>Feb-19</v>
      </c>
      <c r="J1210" t="str">
        <f>VLOOKUP(tbl_details5[[#This Row],[Order ID]],Table1[],4,FALSE)</f>
        <v>Harsh</v>
      </c>
      <c r="K1210" t="str">
        <f>VLOOKUP(tbl_details5[[#This Row],[Order ID]],Table1[],5,FALSE)</f>
        <v>Delhi</v>
      </c>
      <c r="L1210" t="str">
        <f>VLOOKUP(tbl_details5[[#This Row],[Order ID]],Table1[],6,FALSE)</f>
        <v>Delhi</v>
      </c>
    </row>
    <row r="1211" spans="1:12" x14ac:dyDescent="0.25">
      <c r="A1211" t="s">
        <v>773</v>
      </c>
      <c r="B1211" s="4">
        <v>315</v>
      </c>
      <c r="C1211" s="4">
        <v>-8</v>
      </c>
      <c r="D1211" s="5">
        <f>tbl_details5[[#This Row],[Profit]]/tbl_details5[[#This Row],[Revenue]]</f>
        <v>-2.5396825396825397E-2</v>
      </c>
      <c r="E1211">
        <v>3</v>
      </c>
      <c r="F1211" t="s">
        <v>883</v>
      </c>
      <c r="G1211" t="s">
        <v>893</v>
      </c>
      <c r="H1211" s="1">
        <f>VLOOKUP(tbl_details5[[#This Row],[Order ID]],Orders!A:F,2,FALSE)</f>
        <v>43504</v>
      </c>
      <c r="I1211" s="1" t="str">
        <f>TEXT(tbl_details5[[#This Row],[Order Date]],"mmm-yy")</f>
        <v>Feb-19</v>
      </c>
      <c r="J1211" t="str">
        <f>VLOOKUP(tbl_details5[[#This Row],[Order ID]],Table1[],4,FALSE)</f>
        <v>Hitesh</v>
      </c>
      <c r="K1211" t="str">
        <f>VLOOKUP(tbl_details5[[#This Row],[Order ID]],Table1[],5,FALSE)</f>
        <v>Madhya Pradesh</v>
      </c>
      <c r="L1211" t="str">
        <f>VLOOKUP(tbl_details5[[#This Row],[Order ID]],Table1[],6,FALSE)</f>
        <v>Bhopal</v>
      </c>
    </row>
    <row r="1212" spans="1:12" x14ac:dyDescent="0.25">
      <c r="A1212" t="s">
        <v>773</v>
      </c>
      <c r="B1212" s="4">
        <v>128</v>
      </c>
      <c r="C1212" s="4">
        <v>47</v>
      </c>
      <c r="D1212" s="5">
        <f>tbl_details5[[#This Row],[Profit]]/tbl_details5[[#This Row],[Revenue]]</f>
        <v>0.3671875</v>
      </c>
      <c r="E1212">
        <v>4</v>
      </c>
      <c r="F1212" t="s">
        <v>885</v>
      </c>
      <c r="G1212" t="s">
        <v>887</v>
      </c>
      <c r="H1212" s="1">
        <f>VLOOKUP(tbl_details5[[#This Row],[Order ID]],Orders!A:F,2,FALSE)</f>
        <v>43504</v>
      </c>
      <c r="I1212" s="1" t="str">
        <f>TEXT(tbl_details5[[#This Row],[Order Date]],"mmm-yy")</f>
        <v>Feb-19</v>
      </c>
      <c r="J1212" t="str">
        <f>VLOOKUP(tbl_details5[[#This Row],[Order ID]],Table1[],4,FALSE)</f>
        <v>Hitesh</v>
      </c>
      <c r="K1212" t="str">
        <f>VLOOKUP(tbl_details5[[#This Row],[Order ID]],Table1[],5,FALSE)</f>
        <v>Madhya Pradesh</v>
      </c>
      <c r="L1212" t="str">
        <f>VLOOKUP(tbl_details5[[#This Row],[Order ID]],Table1[],6,FALSE)</f>
        <v>Bhopal</v>
      </c>
    </row>
    <row r="1213" spans="1:12" x14ac:dyDescent="0.25">
      <c r="A1213" t="s">
        <v>773</v>
      </c>
      <c r="B1213" s="4">
        <v>652</v>
      </c>
      <c r="C1213" s="4">
        <v>13</v>
      </c>
      <c r="D1213" s="5">
        <f>tbl_details5[[#This Row],[Profit]]/tbl_details5[[#This Row],[Revenue]]</f>
        <v>1.9938650306748466E-2</v>
      </c>
      <c r="E1213">
        <v>6</v>
      </c>
      <c r="F1213" t="s">
        <v>883</v>
      </c>
      <c r="G1213" t="s">
        <v>901</v>
      </c>
      <c r="H1213" s="1">
        <f>VLOOKUP(tbl_details5[[#This Row],[Order ID]],Orders!A:F,2,FALSE)</f>
        <v>43504</v>
      </c>
      <c r="I1213" s="1" t="str">
        <f>TEXT(tbl_details5[[#This Row],[Order Date]],"mmm-yy")</f>
        <v>Feb-19</v>
      </c>
      <c r="J1213" t="str">
        <f>VLOOKUP(tbl_details5[[#This Row],[Order ID]],Table1[],4,FALSE)</f>
        <v>Hitesh</v>
      </c>
      <c r="K1213" t="str">
        <f>VLOOKUP(tbl_details5[[#This Row],[Order ID]],Table1[],5,FALSE)</f>
        <v>Madhya Pradesh</v>
      </c>
      <c r="L1213" t="str">
        <f>VLOOKUP(tbl_details5[[#This Row],[Order ID]],Table1[],6,FALSE)</f>
        <v>Bhopal</v>
      </c>
    </row>
    <row r="1214" spans="1:12" x14ac:dyDescent="0.25">
      <c r="A1214" t="s">
        <v>773</v>
      </c>
      <c r="B1214" s="4">
        <v>114</v>
      </c>
      <c r="C1214" s="4">
        <v>41</v>
      </c>
      <c r="D1214" s="5">
        <f>tbl_details5[[#This Row],[Profit]]/tbl_details5[[#This Row],[Revenue]]</f>
        <v>0.35964912280701755</v>
      </c>
      <c r="E1214">
        <v>6</v>
      </c>
      <c r="F1214" t="s">
        <v>883</v>
      </c>
      <c r="G1214" t="s">
        <v>901</v>
      </c>
      <c r="H1214" s="1">
        <f>VLOOKUP(tbl_details5[[#This Row],[Order ID]],Orders!A:F,2,FALSE)</f>
        <v>43504</v>
      </c>
      <c r="I1214" s="1" t="str">
        <f>TEXT(tbl_details5[[#This Row],[Order Date]],"mmm-yy")</f>
        <v>Feb-19</v>
      </c>
      <c r="J1214" t="str">
        <f>VLOOKUP(tbl_details5[[#This Row],[Order ID]],Table1[],4,FALSE)</f>
        <v>Hitesh</v>
      </c>
      <c r="K1214" t="str">
        <f>VLOOKUP(tbl_details5[[#This Row],[Order ID]],Table1[],5,FALSE)</f>
        <v>Madhya Pradesh</v>
      </c>
      <c r="L1214" t="str">
        <f>VLOOKUP(tbl_details5[[#This Row],[Order ID]],Table1[],6,FALSE)</f>
        <v>Bhopal</v>
      </c>
    </row>
    <row r="1215" spans="1:12" x14ac:dyDescent="0.25">
      <c r="A1215" t="s">
        <v>773</v>
      </c>
      <c r="B1215" s="4">
        <v>79</v>
      </c>
      <c r="C1215" s="4">
        <v>16</v>
      </c>
      <c r="D1215" s="5">
        <f>tbl_details5[[#This Row],[Profit]]/tbl_details5[[#This Row],[Revenue]]</f>
        <v>0.20253164556962025</v>
      </c>
      <c r="E1215">
        <v>3</v>
      </c>
      <c r="F1215" t="s">
        <v>885</v>
      </c>
      <c r="G1215" t="s">
        <v>895</v>
      </c>
      <c r="H1215" s="1">
        <f>VLOOKUP(tbl_details5[[#This Row],[Order ID]],Orders!A:F,2,FALSE)</f>
        <v>43504</v>
      </c>
      <c r="I1215" s="1" t="str">
        <f>TEXT(tbl_details5[[#This Row],[Order Date]],"mmm-yy")</f>
        <v>Feb-19</v>
      </c>
      <c r="J1215" t="str">
        <f>VLOOKUP(tbl_details5[[#This Row],[Order ID]],Table1[],4,FALSE)</f>
        <v>Hitesh</v>
      </c>
      <c r="K1215" t="str">
        <f>VLOOKUP(tbl_details5[[#This Row],[Order ID]],Table1[],5,FALSE)</f>
        <v>Madhya Pradesh</v>
      </c>
      <c r="L1215" t="str">
        <f>VLOOKUP(tbl_details5[[#This Row],[Order ID]],Table1[],6,FALSE)</f>
        <v>Bhopal</v>
      </c>
    </row>
    <row r="1216" spans="1:12" x14ac:dyDescent="0.25">
      <c r="A1216" t="s">
        <v>773</v>
      </c>
      <c r="B1216" s="4">
        <v>498</v>
      </c>
      <c r="C1216" s="4">
        <v>-116</v>
      </c>
      <c r="D1216" s="5">
        <f>tbl_details5[[#This Row],[Profit]]/tbl_details5[[#This Row],[Revenue]]</f>
        <v>-0.23293172690763053</v>
      </c>
      <c r="E1216">
        <v>4</v>
      </c>
      <c r="F1216" t="s">
        <v>885</v>
      </c>
      <c r="G1216" t="s">
        <v>891</v>
      </c>
      <c r="H1216" s="1">
        <f>VLOOKUP(tbl_details5[[#This Row],[Order ID]],Orders!A:F,2,FALSE)</f>
        <v>43504</v>
      </c>
      <c r="I1216" s="1" t="str">
        <f>TEXT(tbl_details5[[#This Row],[Order Date]],"mmm-yy")</f>
        <v>Feb-19</v>
      </c>
      <c r="J1216" t="str">
        <f>VLOOKUP(tbl_details5[[#This Row],[Order ID]],Table1[],4,FALSE)</f>
        <v>Hitesh</v>
      </c>
      <c r="K1216" t="str">
        <f>VLOOKUP(tbl_details5[[#This Row],[Order ID]],Table1[],5,FALSE)</f>
        <v>Madhya Pradesh</v>
      </c>
      <c r="L1216" t="str">
        <f>VLOOKUP(tbl_details5[[#This Row],[Order ID]],Table1[],6,FALSE)</f>
        <v>Bhopal</v>
      </c>
    </row>
    <row r="1217" spans="1:12" x14ac:dyDescent="0.25">
      <c r="A1217" t="s">
        <v>773</v>
      </c>
      <c r="B1217" s="4">
        <v>1745</v>
      </c>
      <c r="C1217" s="4">
        <v>122</v>
      </c>
      <c r="D1217" s="5">
        <f>tbl_details5[[#This Row],[Profit]]/tbl_details5[[#This Row],[Revenue]]</f>
        <v>6.9914040114613177E-2</v>
      </c>
      <c r="E1217">
        <v>2</v>
      </c>
      <c r="F1217" t="s">
        <v>883</v>
      </c>
      <c r="G1217" t="s">
        <v>898</v>
      </c>
      <c r="H1217" s="1">
        <f>VLOOKUP(tbl_details5[[#This Row],[Order ID]],Orders!A:F,2,FALSE)</f>
        <v>43504</v>
      </c>
      <c r="I1217" s="1" t="str">
        <f>TEXT(tbl_details5[[#This Row],[Order Date]],"mmm-yy")</f>
        <v>Feb-19</v>
      </c>
      <c r="J1217" t="str">
        <f>VLOOKUP(tbl_details5[[#This Row],[Order ID]],Table1[],4,FALSE)</f>
        <v>Hitesh</v>
      </c>
      <c r="K1217" t="str">
        <f>VLOOKUP(tbl_details5[[#This Row],[Order ID]],Table1[],5,FALSE)</f>
        <v>Madhya Pradesh</v>
      </c>
      <c r="L1217" t="str">
        <f>VLOOKUP(tbl_details5[[#This Row],[Order ID]],Table1[],6,FALSE)</f>
        <v>Bhopal</v>
      </c>
    </row>
    <row r="1218" spans="1:12" x14ac:dyDescent="0.25">
      <c r="A1218" t="s">
        <v>773</v>
      </c>
      <c r="B1218" s="4">
        <v>17</v>
      </c>
      <c r="C1218" s="4">
        <v>2</v>
      </c>
      <c r="D1218" s="5">
        <f>tbl_details5[[#This Row],[Profit]]/tbl_details5[[#This Row],[Revenue]]</f>
        <v>0.11764705882352941</v>
      </c>
      <c r="E1218">
        <v>2</v>
      </c>
      <c r="F1218" t="s">
        <v>885</v>
      </c>
      <c r="G1218" t="s">
        <v>902</v>
      </c>
      <c r="H1218" s="1">
        <f>VLOOKUP(tbl_details5[[#This Row],[Order ID]],Orders!A:F,2,FALSE)</f>
        <v>43504</v>
      </c>
      <c r="I1218" s="1" t="str">
        <f>TEXT(tbl_details5[[#This Row],[Order Date]],"mmm-yy")</f>
        <v>Feb-19</v>
      </c>
      <c r="J1218" t="str">
        <f>VLOOKUP(tbl_details5[[#This Row],[Order ID]],Table1[],4,FALSE)</f>
        <v>Hitesh</v>
      </c>
      <c r="K1218" t="str">
        <f>VLOOKUP(tbl_details5[[#This Row],[Order ID]],Table1[],5,FALSE)</f>
        <v>Madhya Pradesh</v>
      </c>
      <c r="L1218" t="str">
        <f>VLOOKUP(tbl_details5[[#This Row],[Order ID]],Table1[],6,FALSE)</f>
        <v>Bhopal</v>
      </c>
    </row>
    <row r="1219" spans="1:12" x14ac:dyDescent="0.25">
      <c r="A1219" t="s">
        <v>775</v>
      </c>
      <c r="B1219" s="4">
        <v>147</v>
      </c>
      <c r="C1219" s="4">
        <v>44</v>
      </c>
      <c r="D1219" s="5">
        <f>tbl_details5[[#This Row],[Profit]]/tbl_details5[[#This Row],[Revenue]]</f>
        <v>0.29931972789115646</v>
      </c>
      <c r="E1219">
        <v>3</v>
      </c>
      <c r="F1219" t="s">
        <v>885</v>
      </c>
      <c r="G1219" t="s">
        <v>891</v>
      </c>
      <c r="H1219" s="1">
        <f>VLOOKUP(tbl_details5[[#This Row],[Order ID]],Orders!A:F,2,FALSE)</f>
        <v>43504</v>
      </c>
      <c r="I1219" s="1" t="str">
        <f>TEXT(tbl_details5[[#This Row],[Order Date]],"mmm-yy")</f>
        <v>Feb-19</v>
      </c>
      <c r="J1219" t="str">
        <f>VLOOKUP(tbl_details5[[#This Row],[Order ID]],Table1[],4,FALSE)</f>
        <v>Nandita</v>
      </c>
      <c r="K1219" t="str">
        <f>VLOOKUP(tbl_details5[[#This Row],[Order ID]],Table1[],5,FALSE)</f>
        <v>Rajasthan</v>
      </c>
      <c r="L1219" t="str">
        <f>VLOOKUP(tbl_details5[[#This Row],[Order ID]],Table1[],6,FALSE)</f>
        <v>Jaipur</v>
      </c>
    </row>
    <row r="1220" spans="1:12" x14ac:dyDescent="0.25">
      <c r="A1220" t="s">
        <v>775</v>
      </c>
      <c r="B1220" s="4">
        <v>162</v>
      </c>
      <c r="C1220" s="4">
        <v>73</v>
      </c>
      <c r="D1220" s="5">
        <f>tbl_details5[[#This Row],[Profit]]/tbl_details5[[#This Row],[Revenue]]</f>
        <v>0.45061728395061729</v>
      </c>
      <c r="E1220">
        <v>2</v>
      </c>
      <c r="F1220" t="s">
        <v>888</v>
      </c>
      <c r="G1220" t="s">
        <v>889</v>
      </c>
      <c r="H1220" s="1">
        <f>VLOOKUP(tbl_details5[[#This Row],[Order ID]],Orders!A:F,2,FALSE)</f>
        <v>43504</v>
      </c>
      <c r="I1220" s="1" t="str">
        <f>TEXT(tbl_details5[[#This Row],[Order Date]],"mmm-yy")</f>
        <v>Feb-19</v>
      </c>
      <c r="J1220" t="str">
        <f>VLOOKUP(tbl_details5[[#This Row],[Order ID]],Table1[],4,FALSE)</f>
        <v>Nandita</v>
      </c>
      <c r="K1220" t="str">
        <f>VLOOKUP(tbl_details5[[#This Row],[Order ID]],Table1[],5,FALSE)</f>
        <v>Rajasthan</v>
      </c>
      <c r="L1220" t="str">
        <f>VLOOKUP(tbl_details5[[#This Row],[Order ID]],Table1[],6,FALSE)</f>
        <v>Jaipur</v>
      </c>
    </row>
    <row r="1221" spans="1:12" x14ac:dyDescent="0.25">
      <c r="A1221" t="s">
        <v>777</v>
      </c>
      <c r="B1221" s="4">
        <v>87</v>
      </c>
      <c r="C1221" s="4">
        <v>10</v>
      </c>
      <c r="D1221" s="5">
        <f>tbl_details5[[#This Row],[Profit]]/tbl_details5[[#This Row],[Revenue]]</f>
        <v>0.11494252873563218</v>
      </c>
      <c r="E1221">
        <v>3</v>
      </c>
      <c r="F1221" t="s">
        <v>885</v>
      </c>
      <c r="G1221" t="s">
        <v>886</v>
      </c>
      <c r="H1221" s="1">
        <f>VLOOKUP(tbl_details5[[#This Row],[Order ID]],Orders!A:F,2,FALSE)</f>
        <v>43504</v>
      </c>
      <c r="I1221" s="1" t="str">
        <f>TEXT(tbl_details5[[#This Row],[Order Date]],"mmm-yy")</f>
        <v>Feb-19</v>
      </c>
      <c r="J1221" t="str">
        <f>VLOOKUP(tbl_details5[[#This Row],[Order ID]],Table1[],4,FALSE)</f>
        <v>Parnavi</v>
      </c>
      <c r="K1221" t="str">
        <f>VLOOKUP(tbl_details5[[#This Row],[Order ID]],Table1[],5,FALSE)</f>
        <v>West Bengal</v>
      </c>
      <c r="L1221" t="str">
        <f>VLOOKUP(tbl_details5[[#This Row],[Order ID]],Table1[],6,FALSE)</f>
        <v>Kolkata</v>
      </c>
    </row>
    <row r="1222" spans="1:12" x14ac:dyDescent="0.25">
      <c r="A1222" t="s">
        <v>779</v>
      </c>
      <c r="B1222" s="4">
        <v>1301</v>
      </c>
      <c r="C1222" s="4">
        <v>573</v>
      </c>
      <c r="D1222" s="5">
        <f>tbl_details5[[#This Row],[Profit]]/tbl_details5[[#This Row],[Revenue]]</f>
        <v>0.4404304381245196</v>
      </c>
      <c r="E1222">
        <v>5</v>
      </c>
      <c r="F1222" t="s">
        <v>888</v>
      </c>
      <c r="G1222" t="s">
        <v>900</v>
      </c>
      <c r="H1222" s="1">
        <f>VLOOKUP(tbl_details5[[#This Row],[Order ID]],Orders!A:F,2,FALSE)</f>
        <v>43505</v>
      </c>
      <c r="I1222" s="1" t="str">
        <f>TEXT(tbl_details5[[#This Row],[Order Date]],"mmm-yy")</f>
        <v>Feb-19</v>
      </c>
      <c r="J1222" t="str">
        <f>VLOOKUP(tbl_details5[[#This Row],[Order ID]],Table1[],4,FALSE)</f>
        <v>Arpita</v>
      </c>
      <c r="K1222" t="str">
        <f>VLOOKUP(tbl_details5[[#This Row],[Order ID]],Table1[],5,FALSE)</f>
        <v>Karnataka</v>
      </c>
      <c r="L1222" t="str">
        <f>VLOOKUP(tbl_details5[[#This Row],[Order ID]],Table1[],6,FALSE)</f>
        <v>Bangalore</v>
      </c>
    </row>
    <row r="1223" spans="1:12" x14ac:dyDescent="0.25">
      <c r="A1223" t="s">
        <v>781</v>
      </c>
      <c r="B1223" s="4">
        <v>311</v>
      </c>
      <c r="C1223" s="4">
        <v>72</v>
      </c>
      <c r="D1223" s="5">
        <f>tbl_details5[[#This Row],[Profit]]/tbl_details5[[#This Row],[Revenue]]</f>
        <v>0.23151125401929259</v>
      </c>
      <c r="E1223">
        <v>2</v>
      </c>
      <c r="F1223" t="s">
        <v>883</v>
      </c>
      <c r="G1223" t="s">
        <v>884</v>
      </c>
      <c r="H1223" s="1">
        <f>VLOOKUP(tbl_details5[[#This Row],[Order ID]],Orders!A:F,2,FALSE)</f>
        <v>43505</v>
      </c>
      <c r="I1223" s="1" t="str">
        <f>TEXT(tbl_details5[[#This Row],[Order Date]],"mmm-yy")</f>
        <v>Feb-19</v>
      </c>
      <c r="J1223" t="str">
        <f>VLOOKUP(tbl_details5[[#This Row],[Order ID]],Table1[],4,FALSE)</f>
        <v>Shubham</v>
      </c>
      <c r="K1223" t="str">
        <f>VLOOKUP(tbl_details5[[#This Row],[Order ID]],Table1[],5,FALSE)</f>
        <v>Jammu and Kashmir</v>
      </c>
      <c r="L1223" t="str">
        <f>VLOOKUP(tbl_details5[[#This Row],[Order ID]],Table1[],6,FALSE)</f>
        <v>Kashmir</v>
      </c>
    </row>
    <row r="1224" spans="1:12" x14ac:dyDescent="0.25">
      <c r="A1224" t="s">
        <v>782</v>
      </c>
      <c r="B1224" s="4">
        <v>22</v>
      </c>
      <c r="C1224" s="4">
        <v>4</v>
      </c>
      <c r="D1224" s="5">
        <f>tbl_details5[[#This Row],[Profit]]/tbl_details5[[#This Row],[Revenue]]</f>
        <v>0.18181818181818182</v>
      </c>
      <c r="E1224">
        <v>1</v>
      </c>
      <c r="F1224" t="s">
        <v>885</v>
      </c>
      <c r="G1224" t="s">
        <v>886</v>
      </c>
      <c r="H1224" s="1">
        <f>VLOOKUP(tbl_details5[[#This Row],[Order ID]],Orders!A:F,2,FALSE)</f>
        <v>43505</v>
      </c>
      <c r="I1224" s="1" t="str">
        <f>TEXT(tbl_details5[[#This Row],[Order Date]],"mmm-yy")</f>
        <v>Feb-19</v>
      </c>
      <c r="J1224" t="str">
        <f>VLOOKUP(tbl_details5[[#This Row],[Order ID]],Table1[],4,FALSE)</f>
        <v>Kalyani</v>
      </c>
      <c r="K1224" t="str">
        <f>VLOOKUP(tbl_details5[[#This Row],[Order ID]],Table1[],5,FALSE)</f>
        <v>Tamil Nadu</v>
      </c>
      <c r="L1224" t="str">
        <f>VLOOKUP(tbl_details5[[#This Row],[Order ID]],Table1[],6,FALSE)</f>
        <v>Chennai</v>
      </c>
    </row>
    <row r="1225" spans="1:12" x14ac:dyDescent="0.25">
      <c r="A1225" t="s">
        <v>782</v>
      </c>
      <c r="B1225" s="4">
        <v>206</v>
      </c>
      <c r="C1225" s="4">
        <v>51</v>
      </c>
      <c r="D1225" s="5">
        <f>tbl_details5[[#This Row],[Profit]]/tbl_details5[[#This Row],[Revenue]]</f>
        <v>0.24757281553398058</v>
      </c>
      <c r="E1225">
        <v>4</v>
      </c>
      <c r="F1225" t="s">
        <v>885</v>
      </c>
      <c r="G1225" t="s">
        <v>887</v>
      </c>
      <c r="H1225" s="1">
        <f>VLOOKUP(tbl_details5[[#This Row],[Order ID]],Orders!A:F,2,FALSE)</f>
        <v>43505</v>
      </c>
      <c r="I1225" s="1" t="str">
        <f>TEXT(tbl_details5[[#This Row],[Order Date]],"mmm-yy")</f>
        <v>Feb-19</v>
      </c>
      <c r="J1225" t="str">
        <f>VLOOKUP(tbl_details5[[#This Row],[Order ID]],Table1[],4,FALSE)</f>
        <v>Kalyani</v>
      </c>
      <c r="K1225" t="str">
        <f>VLOOKUP(tbl_details5[[#This Row],[Order ID]],Table1[],5,FALSE)</f>
        <v>Tamil Nadu</v>
      </c>
      <c r="L1225" t="str">
        <f>VLOOKUP(tbl_details5[[#This Row],[Order ID]],Table1[],6,FALSE)</f>
        <v>Chennai</v>
      </c>
    </row>
    <row r="1226" spans="1:12" x14ac:dyDescent="0.25">
      <c r="A1226" t="s">
        <v>782</v>
      </c>
      <c r="B1226" s="4">
        <v>57</v>
      </c>
      <c r="C1226" s="4">
        <v>24</v>
      </c>
      <c r="D1226" s="5">
        <f>tbl_details5[[#This Row],[Profit]]/tbl_details5[[#This Row],[Revenue]]</f>
        <v>0.42105263157894735</v>
      </c>
      <c r="E1226">
        <v>5</v>
      </c>
      <c r="F1226" t="s">
        <v>885</v>
      </c>
      <c r="G1226" t="s">
        <v>897</v>
      </c>
      <c r="H1226" s="1">
        <f>VLOOKUP(tbl_details5[[#This Row],[Order ID]],Orders!A:F,2,FALSE)</f>
        <v>43505</v>
      </c>
      <c r="I1226" s="1" t="str">
        <f>TEXT(tbl_details5[[#This Row],[Order Date]],"mmm-yy")</f>
        <v>Feb-19</v>
      </c>
      <c r="J1226" t="str">
        <f>VLOOKUP(tbl_details5[[#This Row],[Order ID]],Table1[],4,FALSE)</f>
        <v>Kalyani</v>
      </c>
      <c r="K1226" t="str">
        <f>VLOOKUP(tbl_details5[[#This Row],[Order ID]],Table1[],5,FALSE)</f>
        <v>Tamil Nadu</v>
      </c>
      <c r="L1226" t="str">
        <f>VLOOKUP(tbl_details5[[#This Row],[Order ID]],Table1[],6,FALSE)</f>
        <v>Chennai</v>
      </c>
    </row>
    <row r="1227" spans="1:12" x14ac:dyDescent="0.25">
      <c r="A1227" t="s">
        <v>782</v>
      </c>
      <c r="B1227" s="4">
        <v>10</v>
      </c>
      <c r="C1227" s="4">
        <v>-1</v>
      </c>
      <c r="D1227" s="5">
        <f>tbl_details5[[#This Row],[Profit]]/tbl_details5[[#This Row],[Revenue]]</f>
        <v>-0.1</v>
      </c>
      <c r="E1227">
        <v>1</v>
      </c>
      <c r="F1227" t="s">
        <v>885</v>
      </c>
      <c r="G1227" t="s">
        <v>891</v>
      </c>
      <c r="H1227" s="1">
        <f>VLOOKUP(tbl_details5[[#This Row],[Order ID]],Orders!A:F,2,FALSE)</f>
        <v>43505</v>
      </c>
      <c r="I1227" s="1" t="str">
        <f>TEXT(tbl_details5[[#This Row],[Order Date]],"mmm-yy")</f>
        <v>Feb-19</v>
      </c>
      <c r="J1227" t="str">
        <f>VLOOKUP(tbl_details5[[#This Row],[Order ID]],Table1[],4,FALSE)</f>
        <v>Kalyani</v>
      </c>
      <c r="K1227" t="str">
        <f>VLOOKUP(tbl_details5[[#This Row],[Order ID]],Table1[],5,FALSE)</f>
        <v>Tamil Nadu</v>
      </c>
      <c r="L1227" t="str">
        <f>VLOOKUP(tbl_details5[[#This Row],[Order ID]],Table1[],6,FALSE)</f>
        <v>Chennai</v>
      </c>
    </row>
    <row r="1228" spans="1:12" x14ac:dyDescent="0.25">
      <c r="A1228" t="s">
        <v>784</v>
      </c>
      <c r="B1228" s="4">
        <v>285</v>
      </c>
      <c r="C1228" s="4">
        <v>128</v>
      </c>
      <c r="D1228" s="5">
        <f>tbl_details5[[#This Row],[Profit]]/tbl_details5[[#This Row],[Revenue]]</f>
        <v>0.44912280701754387</v>
      </c>
      <c r="E1228">
        <v>2</v>
      </c>
      <c r="F1228" t="s">
        <v>888</v>
      </c>
      <c r="G1228" t="s">
        <v>899</v>
      </c>
      <c r="H1228" s="1">
        <f>VLOOKUP(tbl_details5[[#This Row],[Order ID]],Orders!A:F,2,FALSE)</f>
        <v>43506</v>
      </c>
      <c r="I1228" s="1" t="str">
        <f>TEXT(tbl_details5[[#This Row],[Order Date]],"mmm-yy")</f>
        <v>Feb-19</v>
      </c>
      <c r="J1228" t="str">
        <f>VLOOKUP(tbl_details5[[#This Row],[Order ID]],Table1[],4,FALSE)</f>
        <v>Komal</v>
      </c>
      <c r="K1228" t="str">
        <f>VLOOKUP(tbl_details5[[#This Row],[Order ID]],Table1[],5,FALSE)</f>
        <v>Uttar Pradesh</v>
      </c>
      <c r="L1228" t="str">
        <f>VLOOKUP(tbl_details5[[#This Row],[Order ID]],Table1[],6,FALSE)</f>
        <v>Lucknow</v>
      </c>
    </row>
    <row r="1229" spans="1:12" x14ac:dyDescent="0.25">
      <c r="A1229" t="s">
        <v>784</v>
      </c>
      <c r="B1229" s="4">
        <v>195</v>
      </c>
      <c r="C1229" s="4">
        <v>12</v>
      </c>
      <c r="D1229" s="5">
        <f>tbl_details5[[#This Row],[Profit]]/tbl_details5[[#This Row],[Revenue]]</f>
        <v>6.1538461538461542E-2</v>
      </c>
      <c r="E1229">
        <v>9</v>
      </c>
      <c r="F1229" t="s">
        <v>885</v>
      </c>
      <c r="G1229" t="s">
        <v>896</v>
      </c>
      <c r="H1229" s="1">
        <f>VLOOKUP(tbl_details5[[#This Row],[Order ID]],Orders!A:F,2,FALSE)</f>
        <v>43506</v>
      </c>
      <c r="I1229" s="1" t="str">
        <f>TEXT(tbl_details5[[#This Row],[Order Date]],"mmm-yy")</f>
        <v>Feb-19</v>
      </c>
      <c r="J1229" t="str">
        <f>VLOOKUP(tbl_details5[[#This Row],[Order ID]],Table1[],4,FALSE)</f>
        <v>Komal</v>
      </c>
      <c r="K1229" t="str">
        <f>VLOOKUP(tbl_details5[[#This Row],[Order ID]],Table1[],5,FALSE)</f>
        <v>Uttar Pradesh</v>
      </c>
      <c r="L1229" t="str">
        <f>VLOOKUP(tbl_details5[[#This Row],[Order ID]],Table1[],6,FALSE)</f>
        <v>Lucknow</v>
      </c>
    </row>
    <row r="1230" spans="1:12" x14ac:dyDescent="0.25">
      <c r="A1230" t="s">
        <v>785</v>
      </c>
      <c r="B1230" s="4">
        <v>527</v>
      </c>
      <c r="C1230" s="4">
        <v>26</v>
      </c>
      <c r="D1230" s="5">
        <f>tbl_details5[[#This Row],[Profit]]/tbl_details5[[#This Row],[Revenue]]</f>
        <v>4.9335863377609111E-2</v>
      </c>
      <c r="E1230">
        <v>3</v>
      </c>
      <c r="F1230" t="s">
        <v>888</v>
      </c>
      <c r="G1230" t="s">
        <v>889</v>
      </c>
      <c r="H1230" s="1">
        <f>VLOOKUP(tbl_details5[[#This Row],[Order ID]],Orders!A:F,2,FALSE)</f>
        <v>43507</v>
      </c>
      <c r="I1230" s="1" t="str">
        <f>TEXT(tbl_details5[[#This Row],[Order Date]],"mmm-yy")</f>
        <v>Feb-19</v>
      </c>
      <c r="J1230" t="str">
        <f>VLOOKUP(tbl_details5[[#This Row],[Order ID]],Table1[],4,FALSE)</f>
        <v>Kartikay</v>
      </c>
      <c r="K1230" t="str">
        <f>VLOOKUP(tbl_details5[[#This Row],[Order ID]],Table1[],5,FALSE)</f>
        <v>Bihar</v>
      </c>
      <c r="L1230" t="str">
        <f>VLOOKUP(tbl_details5[[#This Row],[Order ID]],Table1[],6,FALSE)</f>
        <v>Patna</v>
      </c>
    </row>
    <row r="1231" spans="1:12" x14ac:dyDescent="0.25">
      <c r="A1231" t="s">
        <v>785</v>
      </c>
      <c r="B1231" s="4">
        <v>29</v>
      </c>
      <c r="C1231" s="4">
        <v>3</v>
      </c>
      <c r="D1231" s="5">
        <f>tbl_details5[[#This Row],[Profit]]/tbl_details5[[#This Row],[Revenue]]</f>
        <v>0.10344827586206896</v>
      </c>
      <c r="E1231">
        <v>2</v>
      </c>
      <c r="F1231" t="s">
        <v>885</v>
      </c>
      <c r="G1231" t="s">
        <v>886</v>
      </c>
      <c r="H1231" s="1">
        <f>VLOOKUP(tbl_details5[[#This Row],[Order ID]],Orders!A:F,2,FALSE)</f>
        <v>43507</v>
      </c>
      <c r="I1231" s="1" t="str">
        <f>TEXT(tbl_details5[[#This Row],[Order Date]],"mmm-yy")</f>
        <v>Feb-19</v>
      </c>
      <c r="J1231" t="str">
        <f>VLOOKUP(tbl_details5[[#This Row],[Order ID]],Table1[],4,FALSE)</f>
        <v>Kartikay</v>
      </c>
      <c r="K1231" t="str">
        <f>VLOOKUP(tbl_details5[[#This Row],[Order ID]],Table1[],5,FALSE)</f>
        <v>Bihar</v>
      </c>
      <c r="L1231" t="str">
        <f>VLOOKUP(tbl_details5[[#This Row],[Order ID]],Table1[],6,FALSE)</f>
        <v>Patna</v>
      </c>
    </row>
    <row r="1232" spans="1:12" x14ac:dyDescent="0.25">
      <c r="A1232" t="s">
        <v>785</v>
      </c>
      <c r="B1232" s="4">
        <v>85</v>
      </c>
      <c r="C1232" s="4">
        <v>13</v>
      </c>
      <c r="D1232" s="5">
        <f>tbl_details5[[#This Row],[Profit]]/tbl_details5[[#This Row],[Revenue]]</f>
        <v>0.15294117647058825</v>
      </c>
      <c r="E1232">
        <v>2</v>
      </c>
      <c r="F1232" t="s">
        <v>885</v>
      </c>
      <c r="G1232" t="s">
        <v>896</v>
      </c>
      <c r="H1232" s="1">
        <f>VLOOKUP(tbl_details5[[#This Row],[Order ID]],Orders!A:F,2,FALSE)</f>
        <v>43507</v>
      </c>
      <c r="I1232" s="1" t="str">
        <f>TEXT(tbl_details5[[#This Row],[Order Date]],"mmm-yy")</f>
        <v>Feb-19</v>
      </c>
      <c r="J1232" t="str">
        <f>VLOOKUP(tbl_details5[[#This Row],[Order ID]],Table1[],4,FALSE)</f>
        <v>Kartikay</v>
      </c>
      <c r="K1232" t="str">
        <f>VLOOKUP(tbl_details5[[#This Row],[Order ID]],Table1[],5,FALSE)</f>
        <v>Bihar</v>
      </c>
      <c r="L1232" t="str">
        <f>VLOOKUP(tbl_details5[[#This Row],[Order ID]],Table1[],6,FALSE)</f>
        <v>Patna</v>
      </c>
    </row>
    <row r="1233" spans="1:12" x14ac:dyDescent="0.25">
      <c r="A1233" t="s">
        <v>785</v>
      </c>
      <c r="B1233" s="4">
        <v>18</v>
      </c>
      <c r="C1233" s="4">
        <v>2</v>
      </c>
      <c r="D1233" s="5">
        <f>tbl_details5[[#This Row],[Profit]]/tbl_details5[[#This Row],[Revenue]]</f>
        <v>0.1111111111111111</v>
      </c>
      <c r="E1233">
        <v>3</v>
      </c>
      <c r="F1233" t="s">
        <v>885</v>
      </c>
      <c r="G1233" t="s">
        <v>887</v>
      </c>
      <c r="H1233" s="1">
        <f>VLOOKUP(tbl_details5[[#This Row],[Order ID]],Orders!A:F,2,FALSE)</f>
        <v>43507</v>
      </c>
      <c r="I1233" s="1" t="str">
        <f>TEXT(tbl_details5[[#This Row],[Order Date]],"mmm-yy")</f>
        <v>Feb-19</v>
      </c>
      <c r="J1233" t="str">
        <f>VLOOKUP(tbl_details5[[#This Row],[Order ID]],Table1[],4,FALSE)</f>
        <v>Kartikay</v>
      </c>
      <c r="K1233" t="str">
        <f>VLOOKUP(tbl_details5[[#This Row],[Order ID]],Table1[],5,FALSE)</f>
        <v>Bihar</v>
      </c>
      <c r="L1233" t="str">
        <f>VLOOKUP(tbl_details5[[#This Row],[Order ID]],Table1[],6,FALSE)</f>
        <v>Patna</v>
      </c>
    </row>
    <row r="1234" spans="1:12" x14ac:dyDescent="0.25">
      <c r="A1234" t="s">
        <v>785</v>
      </c>
      <c r="B1234" s="4">
        <v>176</v>
      </c>
      <c r="C1234" s="4">
        <v>-13</v>
      </c>
      <c r="D1234" s="5">
        <f>tbl_details5[[#This Row],[Profit]]/tbl_details5[[#This Row],[Revenue]]</f>
        <v>-7.3863636363636367E-2</v>
      </c>
      <c r="E1234">
        <v>5</v>
      </c>
      <c r="F1234" t="s">
        <v>883</v>
      </c>
      <c r="G1234" t="s">
        <v>901</v>
      </c>
      <c r="H1234" s="1">
        <f>VLOOKUP(tbl_details5[[#This Row],[Order ID]],Orders!A:F,2,FALSE)</f>
        <v>43507</v>
      </c>
      <c r="I1234" s="1" t="str">
        <f>TEXT(tbl_details5[[#This Row],[Order Date]],"mmm-yy")</f>
        <v>Feb-19</v>
      </c>
      <c r="J1234" t="str">
        <f>VLOOKUP(tbl_details5[[#This Row],[Order ID]],Table1[],4,FALSE)</f>
        <v>Kartikay</v>
      </c>
      <c r="K1234" t="str">
        <f>VLOOKUP(tbl_details5[[#This Row],[Order ID]],Table1[],5,FALSE)</f>
        <v>Bihar</v>
      </c>
      <c r="L1234" t="str">
        <f>VLOOKUP(tbl_details5[[#This Row],[Order ID]],Table1[],6,FALSE)</f>
        <v>Patna</v>
      </c>
    </row>
    <row r="1235" spans="1:12" x14ac:dyDescent="0.25">
      <c r="A1235" t="s">
        <v>785</v>
      </c>
      <c r="B1235" s="4">
        <v>55</v>
      </c>
      <c r="C1235" s="4">
        <v>3</v>
      </c>
      <c r="D1235" s="5">
        <f>tbl_details5[[#This Row],[Profit]]/tbl_details5[[#This Row],[Revenue]]</f>
        <v>5.4545454545454543E-2</v>
      </c>
      <c r="E1235">
        <v>3</v>
      </c>
      <c r="F1235" t="s">
        <v>885</v>
      </c>
      <c r="G1235" t="s">
        <v>895</v>
      </c>
      <c r="H1235" s="1">
        <f>VLOOKUP(tbl_details5[[#This Row],[Order ID]],Orders!A:F,2,FALSE)</f>
        <v>43507</v>
      </c>
      <c r="I1235" s="1" t="str">
        <f>TEXT(tbl_details5[[#This Row],[Order Date]],"mmm-yy")</f>
        <v>Feb-19</v>
      </c>
      <c r="J1235" t="str">
        <f>VLOOKUP(tbl_details5[[#This Row],[Order ID]],Table1[],4,FALSE)</f>
        <v>Kartikay</v>
      </c>
      <c r="K1235" t="str">
        <f>VLOOKUP(tbl_details5[[#This Row],[Order ID]],Table1[],5,FALSE)</f>
        <v>Bihar</v>
      </c>
      <c r="L1235" t="str">
        <f>VLOOKUP(tbl_details5[[#This Row],[Order ID]],Table1[],6,FALSE)</f>
        <v>Patna</v>
      </c>
    </row>
    <row r="1236" spans="1:12" x14ac:dyDescent="0.25">
      <c r="A1236" t="s">
        <v>787</v>
      </c>
      <c r="B1236" s="4">
        <v>93</v>
      </c>
      <c r="C1236" s="4">
        <v>44</v>
      </c>
      <c r="D1236" s="5">
        <f>tbl_details5[[#This Row],[Profit]]/tbl_details5[[#This Row],[Revenue]]</f>
        <v>0.4731182795698925</v>
      </c>
      <c r="E1236">
        <v>2</v>
      </c>
      <c r="F1236" t="s">
        <v>885</v>
      </c>
      <c r="G1236" t="s">
        <v>886</v>
      </c>
      <c r="H1236" s="1">
        <f>VLOOKUP(tbl_details5[[#This Row],[Order ID]],Orders!A:F,2,FALSE)</f>
        <v>43508</v>
      </c>
      <c r="I1236" s="1" t="str">
        <f>TEXT(tbl_details5[[#This Row],[Order Date]],"mmm-yy")</f>
        <v>Feb-19</v>
      </c>
      <c r="J1236" t="str">
        <f>VLOOKUP(tbl_details5[[#This Row],[Order ID]],Table1[],4,FALSE)</f>
        <v>Bharat</v>
      </c>
      <c r="K1236" t="str">
        <f>VLOOKUP(tbl_details5[[#This Row],[Order ID]],Table1[],5,FALSE)</f>
        <v>Gujarat</v>
      </c>
      <c r="L1236" t="str">
        <f>VLOOKUP(tbl_details5[[#This Row],[Order ID]],Table1[],6,FALSE)</f>
        <v>Ahmedabad</v>
      </c>
    </row>
    <row r="1237" spans="1:12" x14ac:dyDescent="0.25">
      <c r="A1237" t="s">
        <v>788</v>
      </c>
      <c r="B1237" s="4">
        <v>21</v>
      </c>
      <c r="C1237" s="4">
        <v>8</v>
      </c>
      <c r="D1237" s="5">
        <f>tbl_details5[[#This Row],[Profit]]/tbl_details5[[#This Row],[Revenue]]</f>
        <v>0.38095238095238093</v>
      </c>
      <c r="E1237">
        <v>2</v>
      </c>
      <c r="F1237" t="s">
        <v>885</v>
      </c>
      <c r="G1237" t="s">
        <v>891</v>
      </c>
      <c r="H1237" s="1">
        <f>VLOOKUP(tbl_details5[[#This Row],[Order ID]],Orders!A:F,2,FALSE)</f>
        <v>43509</v>
      </c>
      <c r="I1237" s="1" t="str">
        <f>TEXT(tbl_details5[[#This Row],[Order Date]],"mmm-yy")</f>
        <v>Feb-19</v>
      </c>
      <c r="J1237" t="str">
        <f>VLOOKUP(tbl_details5[[#This Row],[Order ID]],Table1[],4,FALSE)</f>
        <v>Pearl</v>
      </c>
      <c r="K1237" t="str">
        <f>VLOOKUP(tbl_details5[[#This Row],[Order ID]],Table1[],5,FALSE)</f>
        <v>Maharashtra</v>
      </c>
      <c r="L1237" t="str">
        <f>VLOOKUP(tbl_details5[[#This Row],[Order ID]],Table1[],6,FALSE)</f>
        <v>Pune</v>
      </c>
    </row>
    <row r="1238" spans="1:12" x14ac:dyDescent="0.25">
      <c r="A1238" t="s">
        <v>789</v>
      </c>
      <c r="B1238" s="4">
        <v>29</v>
      </c>
      <c r="C1238" s="4">
        <v>10</v>
      </c>
      <c r="D1238" s="5">
        <f>tbl_details5[[#This Row],[Profit]]/tbl_details5[[#This Row],[Revenue]]</f>
        <v>0.34482758620689657</v>
      </c>
      <c r="E1238">
        <v>3</v>
      </c>
      <c r="F1238" t="s">
        <v>885</v>
      </c>
      <c r="G1238" t="s">
        <v>902</v>
      </c>
      <c r="H1238" s="1">
        <f>VLOOKUP(tbl_details5[[#This Row],[Order ID]],Orders!A:F,2,FALSE)</f>
        <v>43509</v>
      </c>
      <c r="I1238" s="1" t="str">
        <f>TEXT(tbl_details5[[#This Row],[Order Date]],"mmm-yy")</f>
        <v>Feb-19</v>
      </c>
      <c r="J1238" t="str">
        <f>VLOOKUP(tbl_details5[[#This Row],[Order ID]],Table1[],4,FALSE)</f>
        <v>Jahan</v>
      </c>
      <c r="K1238" t="str">
        <f>VLOOKUP(tbl_details5[[#This Row],[Order ID]],Table1[],5,FALSE)</f>
        <v>Madhya Pradesh</v>
      </c>
      <c r="L1238" t="str">
        <f>VLOOKUP(tbl_details5[[#This Row],[Order ID]],Table1[],6,FALSE)</f>
        <v>Bhopal</v>
      </c>
    </row>
    <row r="1239" spans="1:12" x14ac:dyDescent="0.25">
      <c r="A1239" t="s">
        <v>790</v>
      </c>
      <c r="B1239" s="4">
        <v>406</v>
      </c>
      <c r="C1239" s="4">
        <v>97</v>
      </c>
      <c r="D1239" s="5">
        <f>tbl_details5[[#This Row],[Profit]]/tbl_details5[[#This Row],[Revenue]]</f>
        <v>0.23891625615763548</v>
      </c>
      <c r="E1239">
        <v>7</v>
      </c>
      <c r="F1239" t="s">
        <v>883</v>
      </c>
      <c r="G1239" t="s">
        <v>893</v>
      </c>
      <c r="H1239" s="1">
        <f>VLOOKUP(tbl_details5[[#This Row],[Order ID]],Orders!A:F,2,FALSE)</f>
        <v>43509</v>
      </c>
      <c r="I1239" s="1" t="str">
        <f>TEXT(tbl_details5[[#This Row],[Order Date]],"mmm-yy")</f>
        <v>Feb-19</v>
      </c>
      <c r="J1239" t="str">
        <f>VLOOKUP(tbl_details5[[#This Row],[Order ID]],Table1[],4,FALSE)</f>
        <v>Divsha</v>
      </c>
      <c r="K1239" t="str">
        <f>VLOOKUP(tbl_details5[[#This Row],[Order ID]],Table1[],5,FALSE)</f>
        <v>Rajasthan</v>
      </c>
      <c r="L1239" t="str">
        <f>VLOOKUP(tbl_details5[[#This Row],[Order ID]],Table1[],6,FALSE)</f>
        <v>Jaipur</v>
      </c>
    </row>
    <row r="1240" spans="1:12" x14ac:dyDescent="0.25">
      <c r="A1240" t="s">
        <v>790</v>
      </c>
      <c r="B1240" s="4">
        <v>278</v>
      </c>
      <c r="C1240" s="4">
        <v>39</v>
      </c>
      <c r="D1240" s="5">
        <f>tbl_details5[[#This Row],[Profit]]/tbl_details5[[#This Row],[Revenue]]</f>
        <v>0.14028776978417265</v>
      </c>
      <c r="E1240">
        <v>5</v>
      </c>
      <c r="F1240" t="s">
        <v>883</v>
      </c>
      <c r="G1240" t="s">
        <v>893</v>
      </c>
      <c r="H1240" s="1">
        <f>VLOOKUP(tbl_details5[[#This Row],[Order ID]],Orders!A:F,2,FALSE)</f>
        <v>43509</v>
      </c>
      <c r="I1240" s="1" t="str">
        <f>TEXT(tbl_details5[[#This Row],[Order Date]],"mmm-yy")</f>
        <v>Feb-19</v>
      </c>
      <c r="J1240" t="str">
        <f>VLOOKUP(tbl_details5[[#This Row],[Order ID]],Table1[],4,FALSE)</f>
        <v>Divsha</v>
      </c>
      <c r="K1240" t="str">
        <f>VLOOKUP(tbl_details5[[#This Row],[Order ID]],Table1[],5,FALSE)</f>
        <v>Rajasthan</v>
      </c>
      <c r="L1240" t="str">
        <f>VLOOKUP(tbl_details5[[#This Row],[Order ID]],Table1[],6,FALSE)</f>
        <v>Jaipur</v>
      </c>
    </row>
    <row r="1241" spans="1:12" x14ac:dyDescent="0.25">
      <c r="A1241" t="s">
        <v>791</v>
      </c>
      <c r="B1241" s="4">
        <v>128</v>
      </c>
      <c r="C1241" s="4">
        <v>55</v>
      </c>
      <c r="D1241" s="5">
        <f>tbl_details5[[#This Row],[Profit]]/tbl_details5[[#This Row],[Revenue]]</f>
        <v>0.4296875</v>
      </c>
      <c r="E1241">
        <v>1</v>
      </c>
      <c r="F1241" t="s">
        <v>885</v>
      </c>
      <c r="G1241" t="s">
        <v>891</v>
      </c>
      <c r="H1241" s="1">
        <f>VLOOKUP(tbl_details5[[#This Row],[Order ID]],Orders!A:F,2,FALSE)</f>
        <v>43510</v>
      </c>
      <c r="I1241" s="1" t="str">
        <f>TEXT(tbl_details5[[#This Row],[Order Date]],"mmm-yy")</f>
        <v>Feb-19</v>
      </c>
      <c r="J1241" t="str">
        <f>VLOOKUP(tbl_details5[[#This Row],[Order ID]],Table1[],4,FALSE)</f>
        <v>Kasheen</v>
      </c>
      <c r="K1241" t="str">
        <f>VLOOKUP(tbl_details5[[#This Row],[Order ID]],Table1[],5,FALSE)</f>
        <v>West Bengal</v>
      </c>
      <c r="L1241" t="str">
        <f>VLOOKUP(tbl_details5[[#This Row],[Order ID]],Table1[],6,FALSE)</f>
        <v>Kolkata</v>
      </c>
    </row>
    <row r="1242" spans="1:12" x14ac:dyDescent="0.25">
      <c r="A1242" t="s">
        <v>792</v>
      </c>
      <c r="B1242" s="4">
        <v>74</v>
      </c>
      <c r="C1242" s="4">
        <v>9</v>
      </c>
      <c r="D1242" s="5">
        <f>tbl_details5[[#This Row],[Profit]]/tbl_details5[[#This Row],[Revenue]]</f>
        <v>0.12162162162162163</v>
      </c>
      <c r="E1242">
        <v>3</v>
      </c>
      <c r="F1242" t="s">
        <v>885</v>
      </c>
      <c r="G1242" t="s">
        <v>896</v>
      </c>
      <c r="H1242" s="1">
        <f>VLOOKUP(tbl_details5[[#This Row],[Order ID]],Orders!A:F,2,FALSE)</f>
        <v>43510</v>
      </c>
      <c r="I1242" s="1" t="str">
        <f>TEXT(tbl_details5[[#This Row],[Order Date]],"mmm-yy")</f>
        <v>Feb-19</v>
      </c>
      <c r="J1242" t="str">
        <f>VLOOKUP(tbl_details5[[#This Row],[Order ID]],Table1[],4,FALSE)</f>
        <v>Hazel</v>
      </c>
      <c r="K1242" t="str">
        <f>VLOOKUP(tbl_details5[[#This Row],[Order ID]],Table1[],5,FALSE)</f>
        <v>Karnataka</v>
      </c>
      <c r="L1242" t="str">
        <f>VLOOKUP(tbl_details5[[#This Row],[Order ID]],Table1[],6,FALSE)</f>
        <v>Bangalore</v>
      </c>
    </row>
    <row r="1243" spans="1:12" x14ac:dyDescent="0.25">
      <c r="A1243" t="s">
        <v>792</v>
      </c>
      <c r="B1243" s="4">
        <v>202</v>
      </c>
      <c r="C1243" s="4">
        <v>4</v>
      </c>
      <c r="D1243" s="5">
        <f>tbl_details5[[#This Row],[Profit]]/tbl_details5[[#This Row],[Revenue]]</f>
        <v>1.9801980198019802E-2</v>
      </c>
      <c r="E1243">
        <v>4</v>
      </c>
      <c r="F1243" t="s">
        <v>885</v>
      </c>
      <c r="G1243" t="s">
        <v>887</v>
      </c>
      <c r="H1243" s="1">
        <f>VLOOKUP(tbl_details5[[#This Row],[Order ID]],Orders!A:F,2,FALSE)</f>
        <v>43510</v>
      </c>
      <c r="I1243" s="1" t="str">
        <f>TEXT(tbl_details5[[#This Row],[Order Date]],"mmm-yy")</f>
        <v>Feb-19</v>
      </c>
      <c r="J1243" t="str">
        <f>VLOOKUP(tbl_details5[[#This Row],[Order ID]],Table1[],4,FALSE)</f>
        <v>Hazel</v>
      </c>
      <c r="K1243" t="str">
        <f>VLOOKUP(tbl_details5[[#This Row],[Order ID]],Table1[],5,FALSE)</f>
        <v>Karnataka</v>
      </c>
      <c r="L1243" t="str">
        <f>VLOOKUP(tbl_details5[[#This Row],[Order ID]],Table1[],6,FALSE)</f>
        <v>Bangalore</v>
      </c>
    </row>
    <row r="1244" spans="1:12" x14ac:dyDescent="0.25">
      <c r="A1244" t="s">
        <v>792</v>
      </c>
      <c r="B1244" s="4">
        <v>429</v>
      </c>
      <c r="C1244" s="4">
        <v>61</v>
      </c>
      <c r="D1244" s="5">
        <f>tbl_details5[[#This Row],[Profit]]/tbl_details5[[#This Row],[Revenue]]</f>
        <v>0.14219114219114218</v>
      </c>
      <c r="E1244">
        <v>3</v>
      </c>
      <c r="F1244" t="s">
        <v>888</v>
      </c>
      <c r="G1244" t="s">
        <v>889</v>
      </c>
      <c r="H1244" s="1">
        <f>VLOOKUP(tbl_details5[[#This Row],[Order ID]],Orders!A:F,2,FALSE)</f>
        <v>43510</v>
      </c>
      <c r="I1244" s="1" t="str">
        <f>TEXT(tbl_details5[[#This Row],[Order Date]],"mmm-yy")</f>
        <v>Feb-19</v>
      </c>
      <c r="J1244" t="str">
        <f>VLOOKUP(tbl_details5[[#This Row],[Order ID]],Table1[],4,FALSE)</f>
        <v>Hazel</v>
      </c>
      <c r="K1244" t="str">
        <f>VLOOKUP(tbl_details5[[#This Row],[Order ID]],Table1[],5,FALSE)</f>
        <v>Karnataka</v>
      </c>
      <c r="L1244" t="str">
        <f>VLOOKUP(tbl_details5[[#This Row],[Order ID]],Table1[],6,FALSE)</f>
        <v>Bangalore</v>
      </c>
    </row>
    <row r="1245" spans="1:12" x14ac:dyDescent="0.25">
      <c r="A1245" t="s">
        <v>792</v>
      </c>
      <c r="B1245" s="4">
        <v>134</v>
      </c>
      <c r="C1245" s="4">
        <v>-13</v>
      </c>
      <c r="D1245" s="5">
        <f>tbl_details5[[#This Row],[Profit]]/tbl_details5[[#This Row],[Revenue]]</f>
        <v>-9.7014925373134331E-2</v>
      </c>
      <c r="E1245">
        <v>3</v>
      </c>
      <c r="F1245" t="s">
        <v>888</v>
      </c>
      <c r="G1245" t="s">
        <v>889</v>
      </c>
      <c r="H1245" s="1">
        <f>VLOOKUP(tbl_details5[[#This Row],[Order ID]],Orders!A:F,2,FALSE)</f>
        <v>43510</v>
      </c>
      <c r="I1245" s="1" t="str">
        <f>TEXT(tbl_details5[[#This Row],[Order Date]],"mmm-yy")</f>
        <v>Feb-19</v>
      </c>
      <c r="J1245" t="str">
        <f>VLOOKUP(tbl_details5[[#This Row],[Order ID]],Table1[],4,FALSE)</f>
        <v>Hazel</v>
      </c>
      <c r="K1245" t="str">
        <f>VLOOKUP(tbl_details5[[#This Row],[Order ID]],Table1[],5,FALSE)</f>
        <v>Karnataka</v>
      </c>
      <c r="L1245" t="str">
        <f>VLOOKUP(tbl_details5[[#This Row],[Order ID]],Table1[],6,FALSE)</f>
        <v>Bangalore</v>
      </c>
    </row>
    <row r="1246" spans="1:12" x14ac:dyDescent="0.25">
      <c r="A1246" t="s">
        <v>793</v>
      </c>
      <c r="B1246" s="4">
        <v>78</v>
      </c>
      <c r="C1246" s="4">
        <v>7</v>
      </c>
      <c r="D1246" s="5">
        <f>tbl_details5[[#This Row],[Profit]]/tbl_details5[[#This Row],[Revenue]]</f>
        <v>8.9743589743589744E-2</v>
      </c>
      <c r="E1246">
        <v>1</v>
      </c>
      <c r="F1246" t="s">
        <v>883</v>
      </c>
      <c r="G1246" t="s">
        <v>893</v>
      </c>
      <c r="H1246" s="1">
        <f>VLOOKUP(tbl_details5[[#This Row],[Order ID]],Orders!A:F,2,FALSE)</f>
        <v>43510</v>
      </c>
      <c r="I1246" s="1" t="str">
        <f>TEXT(tbl_details5[[#This Row],[Order Date]],"mmm-yy")</f>
        <v>Feb-19</v>
      </c>
      <c r="J1246" t="str">
        <f>VLOOKUP(tbl_details5[[#This Row],[Order ID]],Table1[],4,FALSE)</f>
        <v>Sonakshi</v>
      </c>
      <c r="K1246" t="str">
        <f>VLOOKUP(tbl_details5[[#This Row],[Order ID]],Table1[],5,FALSE)</f>
        <v>Jammu and Kashmir</v>
      </c>
      <c r="L1246" t="str">
        <f>VLOOKUP(tbl_details5[[#This Row],[Order ID]],Table1[],6,FALSE)</f>
        <v>Kashmir</v>
      </c>
    </row>
    <row r="1247" spans="1:12" x14ac:dyDescent="0.25">
      <c r="A1247" t="s">
        <v>794</v>
      </c>
      <c r="B1247" s="4">
        <v>326</v>
      </c>
      <c r="C1247" s="4">
        <v>107</v>
      </c>
      <c r="D1247" s="5">
        <f>tbl_details5[[#This Row],[Profit]]/tbl_details5[[#This Row],[Revenue]]</f>
        <v>0.32822085889570551</v>
      </c>
      <c r="E1247">
        <v>3</v>
      </c>
      <c r="F1247" t="s">
        <v>883</v>
      </c>
      <c r="G1247" t="s">
        <v>901</v>
      </c>
      <c r="H1247" s="1">
        <f>VLOOKUP(tbl_details5[[#This Row],[Order ID]],Orders!A:F,2,FALSE)</f>
        <v>43510</v>
      </c>
      <c r="I1247" s="1" t="str">
        <f>TEXT(tbl_details5[[#This Row],[Order Date]],"mmm-yy")</f>
        <v>Feb-19</v>
      </c>
      <c r="J1247" t="str">
        <f>VLOOKUP(tbl_details5[[#This Row],[Order ID]],Table1[],4,FALSE)</f>
        <v>Aarushi</v>
      </c>
      <c r="K1247" t="str">
        <f>VLOOKUP(tbl_details5[[#This Row],[Order ID]],Table1[],5,FALSE)</f>
        <v>Tamil Nadu</v>
      </c>
      <c r="L1247" t="str">
        <f>VLOOKUP(tbl_details5[[#This Row],[Order ID]],Table1[],6,FALSE)</f>
        <v>Chennai</v>
      </c>
    </row>
    <row r="1248" spans="1:12" x14ac:dyDescent="0.25">
      <c r="A1248" t="s">
        <v>794</v>
      </c>
      <c r="B1248" s="4">
        <v>61</v>
      </c>
      <c r="C1248" s="4">
        <v>8</v>
      </c>
      <c r="D1248" s="5">
        <f>tbl_details5[[#This Row],[Profit]]/tbl_details5[[#This Row],[Revenue]]</f>
        <v>0.13114754098360656</v>
      </c>
      <c r="E1248">
        <v>4</v>
      </c>
      <c r="F1248" t="s">
        <v>885</v>
      </c>
      <c r="G1248" t="s">
        <v>887</v>
      </c>
      <c r="H1248" s="1">
        <f>VLOOKUP(tbl_details5[[#This Row],[Order ID]],Orders!A:F,2,FALSE)</f>
        <v>43510</v>
      </c>
      <c r="I1248" s="1" t="str">
        <f>TEXT(tbl_details5[[#This Row],[Order Date]],"mmm-yy")</f>
        <v>Feb-19</v>
      </c>
      <c r="J1248" t="str">
        <f>VLOOKUP(tbl_details5[[#This Row],[Order ID]],Table1[],4,FALSE)</f>
        <v>Aarushi</v>
      </c>
      <c r="K1248" t="str">
        <f>VLOOKUP(tbl_details5[[#This Row],[Order ID]],Table1[],5,FALSE)</f>
        <v>Tamil Nadu</v>
      </c>
      <c r="L1248" t="str">
        <f>VLOOKUP(tbl_details5[[#This Row],[Order ID]],Table1[],6,FALSE)</f>
        <v>Chennai</v>
      </c>
    </row>
    <row r="1249" spans="1:12" x14ac:dyDescent="0.25">
      <c r="A1249" t="s">
        <v>795</v>
      </c>
      <c r="B1249" s="4">
        <v>585</v>
      </c>
      <c r="C1249" s="4">
        <v>175</v>
      </c>
      <c r="D1249" s="5">
        <f>tbl_details5[[#This Row],[Profit]]/tbl_details5[[#This Row],[Revenue]]</f>
        <v>0.29914529914529914</v>
      </c>
      <c r="E1249">
        <v>13</v>
      </c>
      <c r="F1249" t="s">
        <v>885</v>
      </c>
      <c r="G1249" t="s">
        <v>895</v>
      </c>
      <c r="H1249" s="1">
        <f>VLOOKUP(tbl_details5[[#This Row],[Order ID]],Orders!A:F,2,FALSE)</f>
        <v>43511</v>
      </c>
      <c r="I1249" s="1" t="str">
        <f>TEXT(tbl_details5[[#This Row],[Order Date]],"mmm-yy")</f>
        <v>Feb-19</v>
      </c>
      <c r="J1249" t="str">
        <f>VLOOKUP(tbl_details5[[#This Row],[Order ID]],Table1[],4,FALSE)</f>
        <v>Jitesh</v>
      </c>
      <c r="K1249" t="str">
        <f>VLOOKUP(tbl_details5[[#This Row],[Order ID]],Table1[],5,FALSE)</f>
        <v>Uttar Pradesh</v>
      </c>
      <c r="L1249" t="str">
        <f>VLOOKUP(tbl_details5[[#This Row],[Order ID]],Table1[],6,FALSE)</f>
        <v>Lucknow</v>
      </c>
    </row>
    <row r="1250" spans="1:12" x14ac:dyDescent="0.25">
      <c r="A1250" t="s">
        <v>796</v>
      </c>
      <c r="B1250" s="4">
        <v>319</v>
      </c>
      <c r="C1250" s="4">
        <v>102</v>
      </c>
      <c r="D1250" s="5">
        <f>tbl_details5[[#This Row],[Profit]]/tbl_details5[[#This Row],[Revenue]]</f>
        <v>0.31974921630094044</v>
      </c>
      <c r="E1250">
        <v>6</v>
      </c>
      <c r="F1250" t="s">
        <v>888</v>
      </c>
      <c r="G1250" t="s">
        <v>900</v>
      </c>
      <c r="H1250" s="1">
        <f>VLOOKUP(tbl_details5[[#This Row],[Order ID]],Orders!A:F,2,FALSE)</f>
        <v>43512</v>
      </c>
      <c r="I1250" s="1" t="str">
        <f>TEXT(tbl_details5[[#This Row],[Order Date]],"mmm-yy")</f>
        <v>Feb-19</v>
      </c>
      <c r="J1250" t="str">
        <f>VLOOKUP(tbl_details5[[#This Row],[Order ID]],Table1[],4,FALSE)</f>
        <v>Yogesh</v>
      </c>
      <c r="K1250" t="str">
        <f>VLOOKUP(tbl_details5[[#This Row],[Order ID]],Table1[],5,FALSE)</f>
        <v>Bihar</v>
      </c>
      <c r="L1250" t="str">
        <f>VLOOKUP(tbl_details5[[#This Row],[Order ID]],Table1[],6,FALSE)</f>
        <v>Patna</v>
      </c>
    </row>
    <row r="1251" spans="1:12" x14ac:dyDescent="0.25">
      <c r="A1251" t="s">
        <v>797</v>
      </c>
      <c r="B1251" s="4">
        <v>122</v>
      </c>
      <c r="C1251" s="4">
        <v>59</v>
      </c>
      <c r="D1251" s="5">
        <f>tbl_details5[[#This Row],[Profit]]/tbl_details5[[#This Row],[Revenue]]</f>
        <v>0.48360655737704916</v>
      </c>
      <c r="E1251">
        <v>7</v>
      </c>
      <c r="F1251" t="s">
        <v>883</v>
      </c>
      <c r="G1251" t="s">
        <v>901</v>
      </c>
      <c r="H1251" s="1">
        <f>VLOOKUP(tbl_details5[[#This Row],[Order ID]],Orders!A:F,2,FALSE)</f>
        <v>43513</v>
      </c>
      <c r="I1251" s="1" t="str">
        <f>TEXT(tbl_details5[[#This Row],[Order Date]],"mmm-yy")</f>
        <v>Feb-19</v>
      </c>
      <c r="J1251" t="str">
        <f>VLOOKUP(tbl_details5[[#This Row],[Order ID]],Table1[],4,FALSE)</f>
        <v>Anita</v>
      </c>
      <c r="K1251" t="str">
        <f>VLOOKUP(tbl_details5[[#This Row],[Order ID]],Table1[],5,FALSE)</f>
        <v xml:space="preserve">Kerala </v>
      </c>
      <c r="L1251" t="str">
        <f>VLOOKUP(tbl_details5[[#This Row],[Order ID]],Table1[],6,FALSE)</f>
        <v>Thiruvananthapuram</v>
      </c>
    </row>
    <row r="1252" spans="1:12" x14ac:dyDescent="0.25">
      <c r="A1252" t="s">
        <v>797</v>
      </c>
      <c r="B1252" s="4">
        <v>49</v>
      </c>
      <c r="C1252" s="4">
        <v>21</v>
      </c>
      <c r="D1252" s="5">
        <f>tbl_details5[[#This Row],[Profit]]/tbl_details5[[#This Row],[Revenue]]</f>
        <v>0.42857142857142855</v>
      </c>
      <c r="E1252">
        <v>1</v>
      </c>
      <c r="F1252" t="s">
        <v>885</v>
      </c>
      <c r="G1252" t="s">
        <v>886</v>
      </c>
      <c r="H1252" s="1">
        <f>VLOOKUP(tbl_details5[[#This Row],[Order ID]],Orders!A:F,2,FALSE)</f>
        <v>43513</v>
      </c>
      <c r="I1252" s="1" t="str">
        <f>TEXT(tbl_details5[[#This Row],[Order Date]],"mmm-yy")</f>
        <v>Feb-19</v>
      </c>
      <c r="J1252" t="str">
        <f>VLOOKUP(tbl_details5[[#This Row],[Order ID]],Table1[],4,FALSE)</f>
        <v>Anita</v>
      </c>
      <c r="K1252" t="str">
        <f>VLOOKUP(tbl_details5[[#This Row],[Order ID]],Table1[],5,FALSE)</f>
        <v xml:space="preserve">Kerala </v>
      </c>
      <c r="L1252" t="str">
        <f>VLOOKUP(tbl_details5[[#This Row],[Order ID]],Table1[],6,FALSE)</f>
        <v>Thiruvananthapuram</v>
      </c>
    </row>
    <row r="1253" spans="1:12" x14ac:dyDescent="0.25">
      <c r="A1253" t="s">
        <v>797</v>
      </c>
      <c r="B1253" s="4">
        <v>21</v>
      </c>
      <c r="C1253" s="4">
        <v>-12</v>
      </c>
      <c r="D1253" s="5">
        <f>tbl_details5[[#This Row],[Profit]]/tbl_details5[[#This Row],[Revenue]]</f>
        <v>-0.5714285714285714</v>
      </c>
      <c r="E1253">
        <v>3</v>
      </c>
      <c r="F1253" t="s">
        <v>885</v>
      </c>
      <c r="G1253" t="s">
        <v>887</v>
      </c>
      <c r="H1253" s="1">
        <f>VLOOKUP(tbl_details5[[#This Row],[Order ID]],Orders!A:F,2,FALSE)</f>
        <v>43513</v>
      </c>
      <c r="I1253" s="1" t="str">
        <f>TEXT(tbl_details5[[#This Row],[Order Date]],"mmm-yy")</f>
        <v>Feb-19</v>
      </c>
      <c r="J1253" t="str">
        <f>VLOOKUP(tbl_details5[[#This Row],[Order ID]],Table1[],4,FALSE)</f>
        <v>Anita</v>
      </c>
      <c r="K1253" t="str">
        <f>VLOOKUP(tbl_details5[[#This Row],[Order ID]],Table1[],5,FALSE)</f>
        <v xml:space="preserve">Kerala </v>
      </c>
      <c r="L1253" t="str">
        <f>VLOOKUP(tbl_details5[[#This Row],[Order ID]],Table1[],6,FALSE)</f>
        <v>Thiruvananthapuram</v>
      </c>
    </row>
    <row r="1254" spans="1:12" x14ac:dyDescent="0.25">
      <c r="A1254" t="s">
        <v>798</v>
      </c>
      <c r="B1254" s="4">
        <v>1824</v>
      </c>
      <c r="C1254" s="4">
        <v>-1303</v>
      </c>
      <c r="D1254" s="5">
        <f>tbl_details5[[#This Row],[Profit]]/tbl_details5[[#This Row],[Revenue]]</f>
        <v>-0.71436403508771928</v>
      </c>
      <c r="E1254">
        <v>8</v>
      </c>
      <c r="F1254" t="s">
        <v>888</v>
      </c>
      <c r="G1254" t="s">
        <v>890</v>
      </c>
      <c r="H1254" s="1">
        <f>VLOOKUP(tbl_details5[[#This Row],[Order ID]],Orders!A:F,2,FALSE)</f>
        <v>43514</v>
      </c>
      <c r="I1254" s="1" t="str">
        <f>TEXT(tbl_details5[[#This Row],[Order Date]],"mmm-yy")</f>
        <v>Feb-19</v>
      </c>
      <c r="J1254" t="str">
        <f>VLOOKUP(tbl_details5[[#This Row],[Order ID]],Table1[],4,FALSE)</f>
        <v>Shrichand</v>
      </c>
      <c r="K1254" t="str">
        <f>VLOOKUP(tbl_details5[[#This Row],[Order ID]],Table1[],5,FALSE)</f>
        <v>Punjab</v>
      </c>
      <c r="L1254" t="str">
        <f>VLOOKUP(tbl_details5[[#This Row],[Order ID]],Table1[],6,FALSE)</f>
        <v>Chandigarh</v>
      </c>
    </row>
    <row r="1255" spans="1:12" x14ac:dyDescent="0.25">
      <c r="A1255" t="s">
        <v>799</v>
      </c>
      <c r="B1255" s="4">
        <v>1117</v>
      </c>
      <c r="C1255" s="4">
        <v>447</v>
      </c>
      <c r="D1255" s="5">
        <f>tbl_details5[[#This Row],[Profit]]/tbl_details5[[#This Row],[Revenue]]</f>
        <v>0.40017905102954343</v>
      </c>
      <c r="E1255">
        <v>10</v>
      </c>
      <c r="F1255" t="s">
        <v>883</v>
      </c>
      <c r="G1255" t="s">
        <v>884</v>
      </c>
      <c r="H1255" s="1">
        <f>VLOOKUP(tbl_details5[[#This Row],[Order ID]],Orders!A:F,2,FALSE)</f>
        <v>43515</v>
      </c>
      <c r="I1255" s="1" t="str">
        <f>TEXT(tbl_details5[[#This Row],[Order Date]],"mmm-yy")</f>
        <v>Feb-19</v>
      </c>
      <c r="J1255" t="str">
        <f>VLOOKUP(tbl_details5[[#This Row],[Order ID]],Table1[],4,FALSE)</f>
        <v>Mukesh</v>
      </c>
      <c r="K1255" t="str">
        <f>VLOOKUP(tbl_details5[[#This Row],[Order ID]],Table1[],5,FALSE)</f>
        <v>Haryana</v>
      </c>
      <c r="L1255" t="str">
        <f>VLOOKUP(tbl_details5[[#This Row],[Order ID]],Table1[],6,FALSE)</f>
        <v>Chandigarh</v>
      </c>
    </row>
    <row r="1256" spans="1:12" x14ac:dyDescent="0.25">
      <c r="A1256" t="s">
        <v>799</v>
      </c>
      <c r="B1256" s="4">
        <v>29</v>
      </c>
      <c r="C1256" s="4">
        <v>0</v>
      </c>
      <c r="D1256" s="5">
        <f>tbl_details5[[#This Row],[Profit]]/tbl_details5[[#This Row],[Revenue]]</f>
        <v>0</v>
      </c>
      <c r="E1256">
        <v>3</v>
      </c>
      <c r="F1256" t="s">
        <v>883</v>
      </c>
      <c r="G1256" t="s">
        <v>901</v>
      </c>
      <c r="H1256" s="1">
        <f>VLOOKUP(tbl_details5[[#This Row],[Order ID]],Orders!A:F,2,FALSE)</f>
        <v>43515</v>
      </c>
      <c r="I1256" s="1" t="str">
        <f>TEXT(tbl_details5[[#This Row],[Order Date]],"mmm-yy")</f>
        <v>Feb-19</v>
      </c>
      <c r="J1256" t="str">
        <f>VLOOKUP(tbl_details5[[#This Row],[Order ID]],Table1[],4,FALSE)</f>
        <v>Mukesh</v>
      </c>
      <c r="K1256" t="str">
        <f>VLOOKUP(tbl_details5[[#This Row],[Order ID]],Table1[],5,FALSE)</f>
        <v>Haryana</v>
      </c>
      <c r="L1256" t="str">
        <f>VLOOKUP(tbl_details5[[#This Row],[Order ID]],Table1[],6,FALSE)</f>
        <v>Chandigarh</v>
      </c>
    </row>
    <row r="1257" spans="1:12" x14ac:dyDescent="0.25">
      <c r="A1257" t="s">
        <v>799</v>
      </c>
      <c r="B1257" s="4">
        <v>66</v>
      </c>
      <c r="C1257" s="4">
        <v>22</v>
      </c>
      <c r="D1257" s="5">
        <f>tbl_details5[[#This Row],[Profit]]/tbl_details5[[#This Row],[Revenue]]</f>
        <v>0.33333333333333331</v>
      </c>
      <c r="E1257">
        <v>3</v>
      </c>
      <c r="F1257" t="s">
        <v>885</v>
      </c>
      <c r="G1257" t="s">
        <v>886</v>
      </c>
      <c r="H1257" s="1">
        <f>VLOOKUP(tbl_details5[[#This Row],[Order ID]],Orders!A:F,2,FALSE)</f>
        <v>43515</v>
      </c>
      <c r="I1257" s="1" t="str">
        <f>TEXT(tbl_details5[[#This Row],[Order Date]],"mmm-yy")</f>
        <v>Feb-19</v>
      </c>
      <c r="J1257" t="str">
        <f>VLOOKUP(tbl_details5[[#This Row],[Order ID]],Table1[],4,FALSE)</f>
        <v>Mukesh</v>
      </c>
      <c r="K1257" t="str">
        <f>VLOOKUP(tbl_details5[[#This Row],[Order ID]],Table1[],5,FALSE)</f>
        <v>Haryana</v>
      </c>
      <c r="L1257" t="str">
        <f>VLOOKUP(tbl_details5[[#This Row],[Order ID]],Table1[],6,FALSE)</f>
        <v>Chandigarh</v>
      </c>
    </row>
    <row r="1258" spans="1:12" x14ac:dyDescent="0.25">
      <c r="A1258" t="s">
        <v>799</v>
      </c>
      <c r="B1258" s="4">
        <v>59</v>
      </c>
      <c r="C1258" s="4">
        <v>21</v>
      </c>
      <c r="D1258" s="5">
        <f>tbl_details5[[#This Row],[Profit]]/tbl_details5[[#This Row],[Revenue]]</f>
        <v>0.3559322033898305</v>
      </c>
      <c r="E1258">
        <v>2</v>
      </c>
      <c r="F1258" t="s">
        <v>885</v>
      </c>
      <c r="G1258" t="s">
        <v>886</v>
      </c>
      <c r="H1258" s="1">
        <f>VLOOKUP(tbl_details5[[#This Row],[Order ID]],Orders!A:F,2,FALSE)</f>
        <v>43515</v>
      </c>
      <c r="I1258" s="1" t="str">
        <f>TEXT(tbl_details5[[#This Row],[Order Date]],"mmm-yy")</f>
        <v>Feb-19</v>
      </c>
      <c r="J1258" t="str">
        <f>VLOOKUP(tbl_details5[[#This Row],[Order ID]],Table1[],4,FALSE)</f>
        <v>Mukesh</v>
      </c>
      <c r="K1258" t="str">
        <f>VLOOKUP(tbl_details5[[#This Row],[Order ID]],Table1[],5,FALSE)</f>
        <v>Haryana</v>
      </c>
      <c r="L1258" t="str">
        <f>VLOOKUP(tbl_details5[[#This Row],[Order ID]],Table1[],6,FALSE)</f>
        <v>Chandigarh</v>
      </c>
    </row>
    <row r="1259" spans="1:12" x14ac:dyDescent="0.25">
      <c r="A1259" t="s">
        <v>800</v>
      </c>
      <c r="B1259" s="4">
        <v>168</v>
      </c>
      <c r="C1259" s="4">
        <v>18</v>
      </c>
      <c r="D1259" s="5">
        <f>tbl_details5[[#This Row],[Profit]]/tbl_details5[[#This Row],[Revenue]]</f>
        <v>0.10714285714285714</v>
      </c>
      <c r="E1259">
        <v>6</v>
      </c>
      <c r="F1259" t="s">
        <v>885</v>
      </c>
      <c r="G1259" t="s">
        <v>886</v>
      </c>
      <c r="H1259" s="1">
        <f>VLOOKUP(tbl_details5[[#This Row],[Order ID]],Orders!A:F,2,FALSE)</f>
        <v>43515</v>
      </c>
      <c r="I1259" s="1" t="str">
        <f>TEXT(tbl_details5[[#This Row],[Order Date]],"mmm-yy")</f>
        <v>Feb-19</v>
      </c>
      <c r="J1259" t="str">
        <f>VLOOKUP(tbl_details5[[#This Row],[Order ID]],Table1[],4,FALSE)</f>
        <v>Vandana</v>
      </c>
      <c r="K1259" t="str">
        <f>VLOOKUP(tbl_details5[[#This Row],[Order ID]],Table1[],5,FALSE)</f>
        <v>Himachal Pradesh</v>
      </c>
      <c r="L1259" t="str">
        <f>VLOOKUP(tbl_details5[[#This Row],[Order ID]],Table1[],6,FALSE)</f>
        <v>Simla</v>
      </c>
    </row>
    <row r="1260" spans="1:12" x14ac:dyDescent="0.25">
      <c r="A1260" t="s">
        <v>801</v>
      </c>
      <c r="B1260" s="4">
        <v>155</v>
      </c>
      <c r="C1260" s="4">
        <v>5</v>
      </c>
      <c r="D1260" s="5">
        <f>tbl_details5[[#This Row],[Profit]]/tbl_details5[[#This Row],[Revenue]]</f>
        <v>3.2258064516129031E-2</v>
      </c>
      <c r="E1260">
        <v>3</v>
      </c>
      <c r="F1260" t="s">
        <v>885</v>
      </c>
      <c r="G1260" t="s">
        <v>886</v>
      </c>
      <c r="H1260" s="1">
        <f>VLOOKUP(tbl_details5[[#This Row],[Order ID]],Orders!A:F,2,FALSE)</f>
        <v>43515</v>
      </c>
      <c r="I1260" s="1" t="str">
        <f>TEXT(tbl_details5[[#This Row],[Order Date]],"mmm-yy")</f>
        <v>Feb-19</v>
      </c>
      <c r="J1260" t="str">
        <f>VLOOKUP(tbl_details5[[#This Row],[Order ID]],Table1[],4,FALSE)</f>
        <v>Bhavna</v>
      </c>
      <c r="K1260" t="str">
        <f>VLOOKUP(tbl_details5[[#This Row],[Order ID]],Table1[],5,FALSE)</f>
        <v>Sikkim</v>
      </c>
      <c r="L1260" t="str">
        <f>VLOOKUP(tbl_details5[[#This Row],[Order ID]],Table1[],6,FALSE)</f>
        <v>Gangtok</v>
      </c>
    </row>
    <row r="1261" spans="1:12" x14ac:dyDescent="0.25">
      <c r="A1261" t="s">
        <v>801</v>
      </c>
      <c r="B1261" s="4">
        <v>32</v>
      </c>
      <c r="C1261" s="4">
        <v>1</v>
      </c>
      <c r="D1261" s="5">
        <f>tbl_details5[[#This Row],[Profit]]/tbl_details5[[#This Row],[Revenue]]</f>
        <v>3.125E-2</v>
      </c>
      <c r="E1261">
        <v>2</v>
      </c>
      <c r="F1261" t="s">
        <v>885</v>
      </c>
      <c r="G1261" t="s">
        <v>886</v>
      </c>
      <c r="H1261" s="1">
        <f>VLOOKUP(tbl_details5[[#This Row],[Order ID]],Orders!A:F,2,FALSE)</f>
        <v>43515</v>
      </c>
      <c r="I1261" s="1" t="str">
        <f>TEXT(tbl_details5[[#This Row],[Order Date]],"mmm-yy")</f>
        <v>Feb-19</v>
      </c>
      <c r="J1261" t="str">
        <f>VLOOKUP(tbl_details5[[#This Row],[Order ID]],Table1[],4,FALSE)</f>
        <v>Bhavna</v>
      </c>
      <c r="K1261" t="str">
        <f>VLOOKUP(tbl_details5[[#This Row],[Order ID]],Table1[],5,FALSE)</f>
        <v>Sikkim</v>
      </c>
      <c r="L1261" t="str">
        <f>VLOOKUP(tbl_details5[[#This Row],[Order ID]],Table1[],6,FALSE)</f>
        <v>Gangtok</v>
      </c>
    </row>
    <row r="1262" spans="1:12" x14ac:dyDescent="0.25">
      <c r="A1262" t="s">
        <v>801</v>
      </c>
      <c r="B1262" s="4">
        <v>41</v>
      </c>
      <c r="C1262" s="4">
        <v>19</v>
      </c>
      <c r="D1262" s="5">
        <f>tbl_details5[[#This Row],[Profit]]/tbl_details5[[#This Row],[Revenue]]</f>
        <v>0.46341463414634149</v>
      </c>
      <c r="E1262">
        <v>5</v>
      </c>
      <c r="F1262" t="s">
        <v>885</v>
      </c>
      <c r="G1262" t="s">
        <v>887</v>
      </c>
      <c r="H1262" s="1">
        <f>VLOOKUP(tbl_details5[[#This Row],[Order ID]],Orders!A:F,2,FALSE)</f>
        <v>43515</v>
      </c>
      <c r="I1262" s="1" t="str">
        <f>TEXT(tbl_details5[[#This Row],[Order Date]],"mmm-yy")</f>
        <v>Feb-19</v>
      </c>
      <c r="J1262" t="str">
        <f>VLOOKUP(tbl_details5[[#This Row],[Order ID]],Table1[],4,FALSE)</f>
        <v>Bhavna</v>
      </c>
      <c r="K1262" t="str">
        <f>VLOOKUP(tbl_details5[[#This Row],[Order ID]],Table1[],5,FALSE)</f>
        <v>Sikkim</v>
      </c>
      <c r="L1262" t="str">
        <f>VLOOKUP(tbl_details5[[#This Row],[Order ID]],Table1[],6,FALSE)</f>
        <v>Gangtok</v>
      </c>
    </row>
    <row r="1263" spans="1:12" x14ac:dyDescent="0.25">
      <c r="A1263" t="s">
        <v>802</v>
      </c>
      <c r="B1263" s="4">
        <v>255</v>
      </c>
      <c r="C1263" s="4">
        <v>76</v>
      </c>
      <c r="D1263" s="5">
        <f>tbl_details5[[#This Row],[Profit]]/tbl_details5[[#This Row],[Revenue]]</f>
        <v>0.29803921568627451</v>
      </c>
      <c r="E1263">
        <v>9</v>
      </c>
      <c r="F1263" t="s">
        <v>885</v>
      </c>
      <c r="G1263" t="s">
        <v>887</v>
      </c>
      <c r="H1263" s="1">
        <f>VLOOKUP(tbl_details5[[#This Row],[Order ID]],Orders!A:F,2,FALSE)</f>
        <v>43515</v>
      </c>
      <c r="I1263" s="1" t="str">
        <f>TEXT(tbl_details5[[#This Row],[Order Date]],"mmm-yy")</f>
        <v>Feb-19</v>
      </c>
      <c r="J1263" t="str">
        <f>VLOOKUP(tbl_details5[[#This Row],[Order ID]],Table1[],4,FALSE)</f>
        <v>Kanak</v>
      </c>
      <c r="K1263" t="str">
        <f>VLOOKUP(tbl_details5[[#This Row],[Order ID]],Table1[],5,FALSE)</f>
        <v>Goa</v>
      </c>
      <c r="L1263" t="str">
        <f>VLOOKUP(tbl_details5[[#This Row],[Order ID]],Table1[],6,FALSE)</f>
        <v>Goa</v>
      </c>
    </row>
    <row r="1264" spans="1:12" x14ac:dyDescent="0.25">
      <c r="A1264" t="s">
        <v>802</v>
      </c>
      <c r="B1264" s="4">
        <v>25</v>
      </c>
      <c r="C1264" s="4">
        <v>2</v>
      </c>
      <c r="D1264" s="5">
        <f>tbl_details5[[#This Row],[Profit]]/tbl_details5[[#This Row],[Revenue]]</f>
        <v>0.08</v>
      </c>
      <c r="E1264">
        <v>3</v>
      </c>
      <c r="F1264" t="s">
        <v>885</v>
      </c>
      <c r="G1264" t="s">
        <v>894</v>
      </c>
      <c r="H1264" s="1">
        <f>VLOOKUP(tbl_details5[[#This Row],[Order ID]],Orders!A:F,2,FALSE)</f>
        <v>43515</v>
      </c>
      <c r="I1264" s="1" t="str">
        <f>TEXT(tbl_details5[[#This Row],[Order Date]],"mmm-yy")</f>
        <v>Feb-19</v>
      </c>
      <c r="J1264" t="str">
        <f>VLOOKUP(tbl_details5[[#This Row],[Order ID]],Table1[],4,FALSE)</f>
        <v>Kanak</v>
      </c>
      <c r="K1264" t="str">
        <f>VLOOKUP(tbl_details5[[#This Row],[Order ID]],Table1[],5,FALSE)</f>
        <v>Goa</v>
      </c>
      <c r="L1264" t="str">
        <f>VLOOKUP(tbl_details5[[#This Row],[Order ID]],Table1[],6,FALSE)</f>
        <v>Goa</v>
      </c>
    </row>
    <row r="1265" spans="1:12" x14ac:dyDescent="0.25">
      <c r="A1265" t="s">
        <v>803</v>
      </c>
      <c r="B1265" s="4">
        <v>54</v>
      </c>
      <c r="C1265" s="4">
        <v>8</v>
      </c>
      <c r="D1265" s="5">
        <f>tbl_details5[[#This Row],[Profit]]/tbl_details5[[#This Row],[Revenue]]</f>
        <v>0.14814814814814814</v>
      </c>
      <c r="E1265">
        <v>4</v>
      </c>
      <c r="F1265" t="s">
        <v>885</v>
      </c>
      <c r="G1265" t="s">
        <v>895</v>
      </c>
      <c r="H1265" s="1">
        <f>VLOOKUP(tbl_details5[[#This Row],[Order ID]],Orders!A:F,2,FALSE)</f>
        <v>43516</v>
      </c>
      <c r="I1265" s="1" t="str">
        <f>TEXT(tbl_details5[[#This Row],[Order Date]],"mmm-yy")</f>
        <v>Feb-19</v>
      </c>
      <c r="J1265" t="str">
        <f>VLOOKUP(tbl_details5[[#This Row],[Order ID]],Table1[],4,FALSE)</f>
        <v>Sagar</v>
      </c>
      <c r="K1265" t="str">
        <f>VLOOKUP(tbl_details5[[#This Row],[Order ID]],Table1[],5,FALSE)</f>
        <v>Nagaland</v>
      </c>
      <c r="L1265" t="str">
        <f>VLOOKUP(tbl_details5[[#This Row],[Order ID]],Table1[],6,FALSE)</f>
        <v>Kohima</v>
      </c>
    </row>
    <row r="1266" spans="1:12" x14ac:dyDescent="0.25">
      <c r="A1266" t="s">
        <v>804</v>
      </c>
      <c r="B1266" s="4">
        <v>77</v>
      </c>
      <c r="C1266" s="4">
        <v>36</v>
      </c>
      <c r="D1266" s="5">
        <f>tbl_details5[[#This Row],[Profit]]/tbl_details5[[#This Row],[Revenue]]</f>
        <v>0.46753246753246752</v>
      </c>
      <c r="E1266">
        <v>2</v>
      </c>
      <c r="F1266" t="s">
        <v>885</v>
      </c>
      <c r="G1266" t="s">
        <v>896</v>
      </c>
      <c r="H1266" s="1">
        <f>VLOOKUP(tbl_details5[[#This Row],[Order ID]],Orders!A:F,2,FALSE)</f>
        <v>43516</v>
      </c>
      <c r="I1266" s="1" t="str">
        <f>TEXT(tbl_details5[[#This Row],[Order Date]],"mmm-yy")</f>
        <v>Feb-19</v>
      </c>
      <c r="J1266" t="str">
        <f>VLOOKUP(tbl_details5[[#This Row],[Order ID]],Table1[],4,FALSE)</f>
        <v>Manju</v>
      </c>
      <c r="K1266" t="str">
        <f>VLOOKUP(tbl_details5[[#This Row],[Order ID]],Table1[],5,FALSE)</f>
        <v>Andhra Pradesh</v>
      </c>
      <c r="L1266" t="str">
        <f>VLOOKUP(tbl_details5[[#This Row],[Order ID]],Table1[],6,FALSE)</f>
        <v>Hyderabad</v>
      </c>
    </row>
    <row r="1267" spans="1:12" x14ac:dyDescent="0.25">
      <c r="A1267" t="s">
        <v>804</v>
      </c>
      <c r="B1267" s="4">
        <v>115</v>
      </c>
      <c r="C1267" s="4">
        <v>0</v>
      </c>
      <c r="D1267" s="5">
        <f>tbl_details5[[#This Row],[Profit]]/tbl_details5[[#This Row],[Revenue]]</f>
        <v>0</v>
      </c>
      <c r="E1267">
        <v>1</v>
      </c>
      <c r="F1267" t="s">
        <v>888</v>
      </c>
      <c r="G1267" t="s">
        <v>900</v>
      </c>
      <c r="H1267" s="1">
        <f>VLOOKUP(tbl_details5[[#This Row],[Order ID]],Orders!A:F,2,FALSE)</f>
        <v>43516</v>
      </c>
      <c r="I1267" s="1" t="str">
        <f>TEXT(tbl_details5[[#This Row],[Order Date]],"mmm-yy")</f>
        <v>Feb-19</v>
      </c>
      <c r="J1267" t="str">
        <f>VLOOKUP(tbl_details5[[#This Row],[Order ID]],Table1[],4,FALSE)</f>
        <v>Manju</v>
      </c>
      <c r="K1267" t="str">
        <f>VLOOKUP(tbl_details5[[#This Row],[Order ID]],Table1[],5,FALSE)</f>
        <v>Andhra Pradesh</v>
      </c>
      <c r="L1267" t="str">
        <f>VLOOKUP(tbl_details5[[#This Row],[Order ID]],Table1[],6,FALSE)</f>
        <v>Hyderabad</v>
      </c>
    </row>
    <row r="1268" spans="1:12" x14ac:dyDescent="0.25">
      <c r="A1268" t="s">
        <v>804</v>
      </c>
      <c r="B1268" s="4">
        <v>1272</v>
      </c>
      <c r="C1268" s="4">
        <v>547</v>
      </c>
      <c r="D1268" s="5">
        <f>tbl_details5[[#This Row],[Profit]]/tbl_details5[[#This Row],[Revenue]]</f>
        <v>0.43003144654088049</v>
      </c>
      <c r="E1268">
        <v>2</v>
      </c>
      <c r="F1268" t="s">
        <v>888</v>
      </c>
      <c r="G1268" t="s">
        <v>890</v>
      </c>
      <c r="H1268" s="1">
        <f>VLOOKUP(tbl_details5[[#This Row],[Order ID]],Orders!A:F,2,FALSE)</f>
        <v>43516</v>
      </c>
      <c r="I1268" s="1" t="str">
        <f>TEXT(tbl_details5[[#This Row],[Order Date]],"mmm-yy")</f>
        <v>Feb-19</v>
      </c>
      <c r="J1268" t="str">
        <f>VLOOKUP(tbl_details5[[#This Row],[Order ID]],Table1[],4,FALSE)</f>
        <v>Manju</v>
      </c>
      <c r="K1268" t="str">
        <f>VLOOKUP(tbl_details5[[#This Row],[Order ID]],Table1[],5,FALSE)</f>
        <v>Andhra Pradesh</v>
      </c>
      <c r="L1268" t="str">
        <f>VLOOKUP(tbl_details5[[#This Row],[Order ID]],Table1[],6,FALSE)</f>
        <v>Hyderabad</v>
      </c>
    </row>
    <row r="1269" spans="1:12" x14ac:dyDescent="0.25">
      <c r="A1269" t="s">
        <v>805</v>
      </c>
      <c r="B1269" s="4">
        <v>21</v>
      </c>
      <c r="C1269" s="4">
        <v>10</v>
      </c>
      <c r="D1269" s="5">
        <f>tbl_details5[[#This Row],[Profit]]/tbl_details5[[#This Row],[Revenue]]</f>
        <v>0.47619047619047616</v>
      </c>
      <c r="E1269">
        <v>1</v>
      </c>
      <c r="F1269" t="s">
        <v>885</v>
      </c>
      <c r="G1269" t="s">
        <v>895</v>
      </c>
      <c r="H1269" s="1">
        <f>VLOOKUP(tbl_details5[[#This Row],[Order ID]],Orders!A:F,2,FALSE)</f>
        <v>43516</v>
      </c>
      <c r="I1269" s="1" t="str">
        <f>TEXT(tbl_details5[[#This Row],[Order Date]],"mmm-yy")</f>
        <v>Feb-19</v>
      </c>
      <c r="J1269" t="str">
        <f>VLOOKUP(tbl_details5[[#This Row],[Order ID]],Table1[],4,FALSE)</f>
        <v>Ramesh</v>
      </c>
      <c r="K1269" t="str">
        <f>VLOOKUP(tbl_details5[[#This Row],[Order ID]],Table1[],5,FALSE)</f>
        <v>Gujarat</v>
      </c>
      <c r="L1269" t="str">
        <f>VLOOKUP(tbl_details5[[#This Row],[Order ID]],Table1[],6,FALSE)</f>
        <v>Ahmedabad</v>
      </c>
    </row>
    <row r="1270" spans="1:12" x14ac:dyDescent="0.25">
      <c r="A1270" t="s">
        <v>806</v>
      </c>
      <c r="B1270" s="4">
        <v>92</v>
      </c>
      <c r="C1270" s="4">
        <v>5</v>
      </c>
      <c r="D1270" s="5">
        <f>tbl_details5[[#This Row],[Profit]]/tbl_details5[[#This Row],[Revenue]]</f>
        <v>5.434782608695652E-2</v>
      </c>
      <c r="E1270">
        <v>6</v>
      </c>
      <c r="F1270" t="s">
        <v>885</v>
      </c>
      <c r="G1270" t="s">
        <v>887</v>
      </c>
      <c r="H1270" s="1">
        <f>VLOOKUP(tbl_details5[[#This Row],[Order ID]],Orders!A:F,2,FALSE)</f>
        <v>43517</v>
      </c>
      <c r="I1270" s="1" t="str">
        <f>TEXT(tbl_details5[[#This Row],[Order Date]],"mmm-yy")</f>
        <v>Feb-19</v>
      </c>
      <c r="J1270" t="str">
        <f>VLOOKUP(tbl_details5[[#This Row],[Order ID]],Table1[],4,FALSE)</f>
        <v>Sarita</v>
      </c>
      <c r="K1270" t="str">
        <f>VLOOKUP(tbl_details5[[#This Row],[Order ID]],Table1[],5,FALSE)</f>
        <v>Maharashtra</v>
      </c>
      <c r="L1270" t="str">
        <f>VLOOKUP(tbl_details5[[#This Row],[Order ID]],Table1[],6,FALSE)</f>
        <v>Pune</v>
      </c>
    </row>
    <row r="1271" spans="1:12" x14ac:dyDescent="0.25">
      <c r="A1271" t="s">
        <v>806</v>
      </c>
      <c r="B1271" s="4">
        <v>11</v>
      </c>
      <c r="C1271" s="4">
        <v>5</v>
      </c>
      <c r="D1271" s="5">
        <f>tbl_details5[[#This Row],[Profit]]/tbl_details5[[#This Row],[Revenue]]</f>
        <v>0.45454545454545453</v>
      </c>
      <c r="E1271">
        <v>1</v>
      </c>
      <c r="F1271" t="s">
        <v>885</v>
      </c>
      <c r="G1271" t="s">
        <v>902</v>
      </c>
      <c r="H1271" s="1">
        <f>VLOOKUP(tbl_details5[[#This Row],[Order ID]],Orders!A:F,2,FALSE)</f>
        <v>43517</v>
      </c>
      <c r="I1271" s="1" t="str">
        <f>TEXT(tbl_details5[[#This Row],[Order Date]],"mmm-yy")</f>
        <v>Feb-19</v>
      </c>
      <c r="J1271" t="str">
        <f>VLOOKUP(tbl_details5[[#This Row],[Order ID]],Table1[],4,FALSE)</f>
        <v>Sarita</v>
      </c>
      <c r="K1271" t="str">
        <f>VLOOKUP(tbl_details5[[#This Row],[Order ID]],Table1[],5,FALSE)</f>
        <v>Maharashtra</v>
      </c>
      <c r="L1271" t="str">
        <f>VLOOKUP(tbl_details5[[#This Row],[Order ID]],Table1[],6,FALSE)</f>
        <v>Pune</v>
      </c>
    </row>
    <row r="1272" spans="1:12" x14ac:dyDescent="0.25">
      <c r="A1272" t="s">
        <v>806</v>
      </c>
      <c r="B1272" s="4">
        <v>221</v>
      </c>
      <c r="C1272" s="4">
        <v>35</v>
      </c>
      <c r="D1272" s="5">
        <f>tbl_details5[[#This Row],[Profit]]/tbl_details5[[#This Row],[Revenue]]</f>
        <v>0.15837104072398189</v>
      </c>
      <c r="E1272">
        <v>4</v>
      </c>
      <c r="F1272" t="s">
        <v>888</v>
      </c>
      <c r="G1272" t="s">
        <v>900</v>
      </c>
      <c r="H1272" s="1">
        <f>VLOOKUP(tbl_details5[[#This Row],[Order ID]],Orders!A:F,2,FALSE)</f>
        <v>43517</v>
      </c>
      <c r="I1272" s="1" t="str">
        <f>TEXT(tbl_details5[[#This Row],[Order Date]],"mmm-yy")</f>
        <v>Feb-19</v>
      </c>
      <c r="J1272" t="str">
        <f>VLOOKUP(tbl_details5[[#This Row],[Order ID]],Table1[],4,FALSE)</f>
        <v>Sarita</v>
      </c>
      <c r="K1272" t="str">
        <f>VLOOKUP(tbl_details5[[#This Row],[Order ID]],Table1[],5,FALSE)</f>
        <v>Maharashtra</v>
      </c>
      <c r="L1272" t="str">
        <f>VLOOKUP(tbl_details5[[#This Row],[Order ID]],Table1[],6,FALSE)</f>
        <v>Pune</v>
      </c>
    </row>
    <row r="1273" spans="1:12" x14ac:dyDescent="0.25">
      <c r="A1273" t="s">
        <v>806</v>
      </c>
      <c r="B1273" s="4">
        <v>50</v>
      </c>
      <c r="C1273" s="4">
        <v>25</v>
      </c>
      <c r="D1273" s="5">
        <f>tbl_details5[[#This Row],[Profit]]/tbl_details5[[#This Row],[Revenue]]</f>
        <v>0.5</v>
      </c>
      <c r="E1273">
        <v>5</v>
      </c>
      <c r="F1273" t="s">
        <v>885</v>
      </c>
      <c r="G1273" t="s">
        <v>886</v>
      </c>
      <c r="H1273" s="1">
        <f>VLOOKUP(tbl_details5[[#This Row],[Order ID]],Orders!A:F,2,FALSE)</f>
        <v>43517</v>
      </c>
      <c r="I1273" s="1" t="str">
        <f>TEXT(tbl_details5[[#This Row],[Order Date]],"mmm-yy")</f>
        <v>Feb-19</v>
      </c>
      <c r="J1273" t="str">
        <f>VLOOKUP(tbl_details5[[#This Row],[Order ID]],Table1[],4,FALSE)</f>
        <v>Sarita</v>
      </c>
      <c r="K1273" t="str">
        <f>VLOOKUP(tbl_details5[[#This Row],[Order ID]],Table1[],5,FALSE)</f>
        <v>Maharashtra</v>
      </c>
      <c r="L1273" t="str">
        <f>VLOOKUP(tbl_details5[[#This Row],[Order ID]],Table1[],6,FALSE)</f>
        <v>Pune</v>
      </c>
    </row>
    <row r="1274" spans="1:12" x14ac:dyDescent="0.25">
      <c r="A1274" t="s">
        <v>806</v>
      </c>
      <c r="B1274" s="4">
        <v>89</v>
      </c>
      <c r="C1274" s="4">
        <v>36</v>
      </c>
      <c r="D1274" s="5">
        <f>tbl_details5[[#This Row],[Profit]]/tbl_details5[[#This Row],[Revenue]]</f>
        <v>0.4044943820224719</v>
      </c>
      <c r="E1274">
        <v>3</v>
      </c>
      <c r="F1274" t="s">
        <v>885</v>
      </c>
      <c r="G1274" t="s">
        <v>896</v>
      </c>
      <c r="H1274" s="1">
        <f>VLOOKUP(tbl_details5[[#This Row],[Order ID]],Orders!A:F,2,FALSE)</f>
        <v>43517</v>
      </c>
      <c r="I1274" s="1" t="str">
        <f>TEXT(tbl_details5[[#This Row],[Order Date]],"mmm-yy")</f>
        <v>Feb-19</v>
      </c>
      <c r="J1274" t="str">
        <f>VLOOKUP(tbl_details5[[#This Row],[Order ID]],Table1[],4,FALSE)</f>
        <v>Sarita</v>
      </c>
      <c r="K1274" t="str">
        <f>VLOOKUP(tbl_details5[[#This Row],[Order ID]],Table1[],5,FALSE)</f>
        <v>Maharashtra</v>
      </c>
      <c r="L1274" t="str">
        <f>VLOOKUP(tbl_details5[[#This Row],[Order ID]],Table1[],6,FALSE)</f>
        <v>Pune</v>
      </c>
    </row>
    <row r="1275" spans="1:12" x14ac:dyDescent="0.25">
      <c r="A1275" t="s">
        <v>806</v>
      </c>
      <c r="B1275" s="4">
        <v>291</v>
      </c>
      <c r="C1275" s="4">
        <v>93</v>
      </c>
      <c r="D1275" s="5">
        <f>tbl_details5[[#This Row],[Profit]]/tbl_details5[[#This Row],[Revenue]]</f>
        <v>0.31958762886597936</v>
      </c>
      <c r="E1275">
        <v>2</v>
      </c>
      <c r="F1275" t="s">
        <v>888</v>
      </c>
      <c r="G1275" t="s">
        <v>899</v>
      </c>
      <c r="H1275" s="1">
        <f>VLOOKUP(tbl_details5[[#This Row],[Order ID]],Orders!A:F,2,FALSE)</f>
        <v>43517</v>
      </c>
      <c r="I1275" s="1" t="str">
        <f>TEXT(tbl_details5[[#This Row],[Order Date]],"mmm-yy")</f>
        <v>Feb-19</v>
      </c>
      <c r="J1275" t="str">
        <f>VLOOKUP(tbl_details5[[#This Row],[Order ID]],Table1[],4,FALSE)</f>
        <v>Sarita</v>
      </c>
      <c r="K1275" t="str">
        <f>VLOOKUP(tbl_details5[[#This Row],[Order ID]],Table1[],5,FALSE)</f>
        <v>Maharashtra</v>
      </c>
      <c r="L1275" t="str">
        <f>VLOOKUP(tbl_details5[[#This Row],[Order ID]],Table1[],6,FALSE)</f>
        <v>Pune</v>
      </c>
    </row>
    <row r="1276" spans="1:12" x14ac:dyDescent="0.25">
      <c r="A1276" t="s">
        <v>807</v>
      </c>
      <c r="B1276" s="4">
        <v>67</v>
      </c>
      <c r="C1276" s="4">
        <v>9</v>
      </c>
      <c r="D1276" s="5">
        <f>tbl_details5[[#This Row],[Profit]]/tbl_details5[[#This Row],[Revenue]]</f>
        <v>0.13432835820895522</v>
      </c>
      <c r="E1276">
        <v>4</v>
      </c>
      <c r="F1276" t="s">
        <v>885</v>
      </c>
      <c r="G1276" t="s">
        <v>897</v>
      </c>
      <c r="H1276" s="1">
        <f>VLOOKUP(tbl_details5[[#This Row],[Order ID]],Orders!A:F,2,FALSE)</f>
        <v>43518</v>
      </c>
      <c r="I1276" s="1" t="str">
        <f>TEXT(tbl_details5[[#This Row],[Order Date]],"mmm-yy")</f>
        <v>Feb-19</v>
      </c>
      <c r="J1276" t="str">
        <f>VLOOKUP(tbl_details5[[#This Row],[Order ID]],Table1[],4,FALSE)</f>
        <v>Deepak</v>
      </c>
      <c r="K1276" t="str">
        <f>VLOOKUP(tbl_details5[[#This Row],[Order ID]],Table1[],5,FALSE)</f>
        <v>Madhya Pradesh</v>
      </c>
      <c r="L1276" t="str">
        <f>VLOOKUP(tbl_details5[[#This Row],[Order ID]],Table1[],6,FALSE)</f>
        <v>Bhopal</v>
      </c>
    </row>
    <row r="1277" spans="1:12" x14ac:dyDescent="0.25">
      <c r="A1277" t="s">
        <v>808</v>
      </c>
      <c r="B1277" s="4">
        <v>47</v>
      </c>
      <c r="C1277" s="4">
        <v>15</v>
      </c>
      <c r="D1277" s="5">
        <f>tbl_details5[[#This Row],[Profit]]/tbl_details5[[#This Row],[Revenue]]</f>
        <v>0.31914893617021278</v>
      </c>
      <c r="E1277">
        <v>5</v>
      </c>
      <c r="F1277" t="s">
        <v>885</v>
      </c>
      <c r="G1277" t="s">
        <v>891</v>
      </c>
      <c r="H1277" s="1">
        <f>VLOOKUP(tbl_details5[[#This Row],[Order ID]],Orders!A:F,2,FALSE)</f>
        <v>43518</v>
      </c>
      <c r="I1277" s="1" t="str">
        <f>TEXT(tbl_details5[[#This Row],[Order Date]],"mmm-yy")</f>
        <v>Feb-19</v>
      </c>
      <c r="J1277" t="str">
        <f>VLOOKUP(tbl_details5[[#This Row],[Order ID]],Table1[],4,FALSE)</f>
        <v>Monisha</v>
      </c>
      <c r="K1277" t="str">
        <f>VLOOKUP(tbl_details5[[#This Row],[Order ID]],Table1[],5,FALSE)</f>
        <v>Rajasthan</v>
      </c>
      <c r="L1277" t="str">
        <f>VLOOKUP(tbl_details5[[#This Row],[Order ID]],Table1[],6,FALSE)</f>
        <v>Jaipur</v>
      </c>
    </row>
    <row r="1278" spans="1:12" x14ac:dyDescent="0.25">
      <c r="A1278" t="s">
        <v>809</v>
      </c>
      <c r="B1278" s="4">
        <v>774</v>
      </c>
      <c r="C1278" s="4">
        <v>170</v>
      </c>
      <c r="D1278" s="5">
        <f>tbl_details5[[#This Row],[Profit]]/tbl_details5[[#This Row],[Revenue]]</f>
        <v>0.21963824289405684</v>
      </c>
      <c r="E1278">
        <v>3</v>
      </c>
      <c r="F1278" t="s">
        <v>888</v>
      </c>
      <c r="G1278" t="s">
        <v>900</v>
      </c>
      <c r="H1278" s="1">
        <f>VLOOKUP(tbl_details5[[#This Row],[Order ID]],Orders!A:F,2,FALSE)</f>
        <v>43518</v>
      </c>
      <c r="I1278" s="1" t="str">
        <f>TEXT(tbl_details5[[#This Row],[Order Date]],"mmm-yy")</f>
        <v>Feb-19</v>
      </c>
      <c r="J1278" t="str">
        <f>VLOOKUP(tbl_details5[[#This Row],[Order ID]],Table1[],4,FALSE)</f>
        <v>Atharv</v>
      </c>
      <c r="K1278" t="str">
        <f>VLOOKUP(tbl_details5[[#This Row],[Order ID]],Table1[],5,FALSE)</f>
        <v>West Bengal</v>
      </c>
      <c r="L1278" t="str">
        <f>VLOOKUP(tbl_details5[[#This Row],[Order ID]],Table1[],6,FALSE)</f>
        <v>Kolkata</v>
      </c>
    </row>
    <row r="1279" spans="1:12" x14ac:dyDescent="0.25">
      <c r="A1279" t="s">
        <v>809</v>
      </c>
      <c r="B1279" s="4">
        <v>143</v>
      </c>
      <c r="C1279" s="4">
        <v>32</v>
      </c>
      <c r="D1279" s="5">
        <f>tbl_details5[[#This Row],[Profit]]/tbl_details5[[#This Row],[Revenue]]</f>
        <v>0.22377622377622378</v>
      </c>
      <c r="E1279">
        <v>1</v>
      </c>
      <c r="F1279" t="s">
        <v>883</v>
      </c>
      <c r="G1279" t="s">
        <v>884</v>
      </c>
      <c r="H1279" s="1">
        <f>VLOOKUP(tbl_details5[[#This Row],[Order ID]],Orders!A:F,2,FALSE)</f>
        <v>43518</v>
      </c>
      <c r="I1279" s="1" t="str">
        <f>TEXT(tbl_details5[[#This Row],[Order Date]],"mmm-yy")</f>
        <v>Feb-19</v>
      </c>
      <c r="J1279" t="str">
        <f>VLOOKUP(tbl_details5[[#This Row],[Order ID]],Table1[],4,FALSE)</f>
        <v>Atharv</v>
      </c>
      <c r="K1279" t="str">
        <f>VLOOKUP(tbl_details5[[#This Row],[Order ID]],Table1[],5,FALSE)</f>
        <v>West Bengal</v>
      </c>
      <c r="L1279" t="str">
        <f>VLOOKUP(tbl_details5[[#This Row],[Order ID]],Table1[],6,FALSE)</f>
        <v>Kolkata</v>
      </c>
    </row>
    <row r="1280" spans="1:12" x14ac:dyDescent="0.25">
      <c r="A1280" t="s">
        <v>809</v>
      </c>
      <c r="B1280" s="4">
        <v>111</v>
      </c>
      <c r="C1280" s="4">
        <v>35</v>
      </c>
      <c r="D1280" s="5">
        <f>tbl_details5[[#This Row],[Profit]]/tbl_details5[[#This Row],[Revenue]]</f>
        <v>0.31531531531531531</v>
      </c>
      <c r="E1280">
        <v>5</v>
      </c>
      <c r="F1280" t="s">
        <v>885</v>
      </c>
      <c r="G1280" t="s">
        <v>896</v>
      </c>
      <c r="H1280" s="1">
        <f>VLOOKUP(tbl_details5[[#This Row],[Order ID]],Orders!A:F,2,FALSE)</f>
        <v>43518</v>
      </c>
      <c r="I1280" s="1" t="str">
        <f>TEXT(tbl_details5[[#This Row],[Order Date]],"mmm-yy")</f>
        <v>Feb-19</v>
      </c>
      <c r="J1280" t="str">
        <f>VLOOKUP(tbl_details5[[#This Row],[Order ID]],Table1[],4,FALSE)</f>
        <v>Atharv</v>
      </c>
      <c r="K1280" t="str">
        <f>VLOOKUP(tbl_details5[[#This Row],[Order ID]],Table1[],5,FALSE)</f>
        <v>West Bengal</v>
      </c>
      <c r="L1280" t="str">
        <f>VLOOKUP(tbl_details5[[#This Row],[Order ID]],Table1[],6,FALSE)</f>
        <v>Kolkata</v>
      </c>
    </row>
    <row r="1281" spans="1:12" x14ac:dyDescent="0.25">
      <c r="A1281" t="s">
        <v>810</v>
      </c>
      <c r="B1281" s="4">
        <v>425</v>
      </c>
      <c r="C1281" s="4">
        <v>183</v>
      </c>
      <c r="D1281" s="5">
        <f>tbl_details5[[#This Row],[Profit]]/tbl_details5[[#This Row],[Revenue]]</f>
        <v>0.43058823529411766</v>
      </c>
      <c r="E1281">
        <v>5</v>
      </c>
      <c r="F1281" t="s">
        <v>888</v>
      </c>
      <c r="G1281" t="s">
        <v>900</v>
      </c>
      <c r="H1281" s="1">
        <f>VLOOKUP(tbl_details5[[#This Row],[Order ID]],Orders!A:F,2,FALSE)</f>
        <v>43519</v>
      </c>
      <c r="I1281" s="1" t="str">
        <f>TEXT(tbl_details5[[#This Row],[Order Date]],"mmm-yy")</f>
        <v>Feb-19</v>
      </c>
      <c r="J1281" t="str">
        <f>VLOOKUP(tbl_details5[[#This Row],[Order ID]],Table1[],4,FALSE)</f>
        <v>Vini</v>
      </c>
      <c r="K1281" t="str">
        <f>VLOOKUP(tbl_details5[[#This Row],[Order ID]],Table1[],5,FALSE)</f>
        <v>Karnataka</v>
      </c>
      <c r="L1281" t="str">
        <f>VLOOKUP(tbl_details5[[#This Row],[Order ID]],Table1[],6,FALSE)</f>
        <v>Bangalore</v>
      </c>
    </row>
    <row r="1282" spans="1:12" x14ac:dyDescent="0.25">
      <c r="A1282" t="s">
        <v>811</v>
      </c>
      <c r="B1282" s="4">
        <v>291</v>
      </c>
      <c r="C1282" s="4">
        <v>119</v>
      </c>
      <c r="D1282" s="5">
        <f>tbl_details5[[#This Row],[Profit]]/tbl_details5[[#This Row],[Revenue]]</f>
        <v>0.40893470790378006</v>
      </c>
      <c r="E1282">
        <v>11</v>
      </c>
      <c r="F1282" t="s">
        <v>885</v>
      </c>
      <c r="G1282" t="s">
        <v>891</v>
      </c>
      <c r="H1282" s="1">
        <f>VLOOKUP(tbl_details5[[#This Row],[Order ID]],Orders!A:F,2,FALSE)</f>
        <v>43519</v>
      </c>
      <c r="I1282" s="1" t="str">
        <f>TEXT(tbl_details5[[#This Row],[Order Date]],"mmm-yy")</f>
        <v>Feb-19</v>
      </c>
      <c r="J1282" t="str">
        <f>VLOOKUP(tbl_details5[[#This Row],[Order ID]],Table1[],4,FALSE)</f>
        <v>Pinky</v>
      </c>
      <c r="K1282" t="str">
        <f>VLOOKUP(tbl_details5[[#This Row],[Order ID]],Table1[],5,FALSE)</f>
        <v>Jammu and Kashmir</v>
      </c>
      <c r="L1282" t="str">
        <f>VLOOKUP(tbl_details5[[#This Row],[Order ID]],Table1[],6,FALSE)</f>
        <v>Kashmir</v>
      </c>
    </row>
    <row r="1283" spans="1:12" x14ac:dyDescent="0.25">
      <c r="A1283" t="s">
        <v>811</v>
      </c>
      <c r="B1283" s="4">
        <v>520</v>
      </c>
      <c r="C1283" s="4">
        <v>151</v>
      </c>
      <c r="D1283" s="5">
        <f>tbl_details5[[#This Row],[Profit]]/tbl_details5[[#This Row],[Revenue]]</f>
        <v>0.29038461538461541</v>
      </c>
      <c r="E1283">
        <v>3</v>
      </c>
      <c r="F1283" t="s">
        <v>888</v>
      </c>
      <c r="G1283" t="s">
        <v>890</v>
      </c>
      <c r="H1283" s="1">
        <f>VLOOKUP(tbl_details5[[#This Row],[Order ID]],Orders!A:F,2,FALSE)</f>
        <v>43519</v>
      </c>
      <c r="I1283" s="1" t="str">
        <f>TEXT(tbl_details5[[#This Row],[Order Date]],"mmm-yy")</f>
        <v>Feb-19</v>
      </c>
      <c r="J1283" t="str">
        <f>VLOOKUP(tbl_details5[[#This Row],[Order ID]],Table1[],4,FALSE)</f>
        <v>Pinky</v>
      </c>
      <c r="K1283" t="str">
        <f>VLOOKUP(tbl_details5[[#This Row],[Order ID]],Table1[],5,FALSE)</f>
        <v>Jammu and Kashmir</v>
      </c>
      <c r="L1283" t="str">
        <f>VLOOKUP(tbl_details5[[#This Row],[Order ID]],Table1[],6,FALSE)</f>
        <v>Kashmir</v>
      </c>
    </row>
    <row r="1284" spans="1:12" x14ac:dyDescent="0.25">
      <c r="A1284" t="s">
        <v>811</v>
      </c>
      <c r="B1284" s="4">
        <v>369</v>
      </c>
      <c r="C1284" s="4">
        <v>15</v>
      </c>
      <c r="D1284" s="5">
        <f>tbl_details5[[#This Row],[Profit]]/tbl_details5[[#This Row],[Revenue]]</f>
        <v>4.065040650406504E-2</v>
      </c>
      <c r="E1284">
        <v>3</v>
      </c>
      <c r="F1284" t="s">
        <v>888</v>
      </c>
      <c r="G1284" t="s">
        <v>889</v>
      </c>
      <c r="H1284" s="1">
        <f>VLOOKUP(tbl_details5[[#This Row],[Order ID]],Orders!A:F,2,FALSE)</f>
        <v>43519</v>
      </c>
      <c r="I1284" s="1" t="str">
        <f>TEXT(tbl_details5[[#This Row],[Order Date]],"mmm-yy")</f>
        <v>Feb-19</v>
      </c>
      <c r="J1284" t="str">
        <f>VLOOKUP(tbl_details5[[#This Row],[Order ID]],Table1[],4,FALSE)</f>
        <v>Pinky</v>
      </c>
      <c r="K1284" t="str">
        <f>VLOOKUP(tbl_details5[[#This Row],[Order ID]],Table1[],5,FALSE)</f>
        <v>Jammu and Kashmir</v>
      </c>
      <c r="L1284" t="str">
        <f>VLOOKUP(tbl_details5[[#This Row],[Order ID]],Table1[],6,FALSE)</f>
        <v>Kashmir</v>
      </c>
    </row>
    <row r="1285" spans="1:12" x14ac:dyDescent="0.25">
      <c r="A1285" t="s">
        <v>812</v>
      </c>
      <c r="B1285" s="4">
        <v>341</v>
      </c>
      <c r="C1285" s="4">
        <v>44</v>
      </c>
      <c r="D1285" s="5">
        <f>tbl_details5[[#This Row],[Profit]]/tbl_details5[[#This Row],[Revenue]]</f>
        <v>0.12903225806451613</v>
      </c>
      <c r="E1285">
        <v>7</v>
      </c>
      <c r="F1285" t="s">
        <v>883</v>
      </c>
      <c r="G1285" t="s">
        <v>901</v>
      </c>
      <c r="H1285" s="1">
        <f>VLOOKUP(tbl_details5[[#This Row],[Order ID]],Orders!A:F,2,FALSE)</f>
        <v>43519</v>
      </c>
      <c r="I1285" s="1" t="str">
        <f>TEXT(tbl_details5[[#This Row],[Order Date]],"mmm-yy")</f>
        <v>Feb-19</v>
      </c>
      <c r="J1285" t="str">
        <f>VLOOKUP(tbl_details5[[#This Row],[Order ID]],Table1[],4,FALSE)</f>
        <v>Bhishm</v>
      </c>
      <c r="K1285" t="str">
        <f>VLOOKUP(tbl_details5[[#This Row],[Order ID]],Table1[],5,FALSE)</f>
        <v>Maharashtra</v>
      </c>
      <c r="L1285" t="str">
        <f>VLOOKUP(tbl_details5[[#This Row],[Order ID]],Table1[],6,FALSE)</f>
        <v>Mumbai</v>
      </c>
    </row>
    <row r="1286" spans="1:12" x14ac:dyDescent="0.25">
      <c r="A1286" t="s">
        <v>813</v>
      </c>
      <c r="B1286" s="4">
        <v>171</v>
      </c>
      <c r="C1286" s="4">
        <v>68</v>
      </c>
      <c r="D1286" s="5">
        <f>tbl_details5[[#This Row],[Profit]]/tbl_details5[[#This Row],[Revenue]]</f>
        <v>0.39766081871345027</v>
      </c>
      <c r="E1286">
        <v>7</v>
      </c>
      <c r="F1286" t="s">
        <v>885</v>
      </c>
      <c r="G1286" t="s">
        <v>886</v>
      </c>
      <c r="H1286" s="1">
        <f>VLOOKUP(tbl_details5[[#This Row],[Order ID]],Orders!A:F,2,FALSE)</f>
        <v>43519</v>
      </c>
      <c r="I1286" s="1" t="str">
        <f>TEXT(tbl_details5[[#This Row],[Order Date]],"mmm-yy")</f>
        <v>Feb-19</v>
      </c>
      <c r="J1286" t="str">
        <f>VLOOKUP(tbl_details5[[#This Row],[Order ID]],Table1[],4,FALSE)</f>
        <v>Hitika</v>
      </c>
      <c r="K1286" t="str">
        <f>VLOOKUP(tbl_details5[[#This Row],[Order ID]],Table1[],5,FALSE)</f>
        <v>Madhya Pradesh</v>
      </c>
      <c r="L1286" t="str">
        <f>VLOOKUP(tbl_details5[[#This Row],[Order ID]],Table1[],6,FALSE)</f>
        <v>Indore</v>
      </c>
    </row>
    <row r="1287" spans="1:12" x14ac:dyDescent="0.25">
      <c r="A1287" t="s">
        <v>814</v>
      </c>
      <c r="B1287" s="4">
        <v>41</v>
      </c>
      <c r="C1287" s="4">
        <v>19</v>
      </c>
      <c r="D1287" s="5">
        <f>tbl_details5[[#This Row],[Profit]]/tbl_details5[[#This Row],[Revenue]]</f>
        <v>0.46341463414634149</v>
      </c>
      <c r="E1287">
        <v>2</v>
      </c>
      <c r="F1287" t="s">
        <v>885</v>
      </c>
      <c r="G1287" t="s">
        <v>895</v>
      </c>
      <c r="H1287" s="1">
        <f>VLOOKUP(tbl_details5[[#This Row],[Order ID]],Orders!A:F,2,FALSE)</f>
        <v>43520</v>
      </c>
      <c r="I1287" s="1" t="str">
        <f>TEXT(tbl_details5[[#This Row],[Order Date]],"mmm-yy")</f>
        <v>Feb-19</v>
      </c>
      <c r="J1287" t="str">
        <f>VLOOKUP(tbl_details5[[#This Row],[Order ID]],Table1[],4,FALSE)</f>
        <v>Pooja</v>
      </c>
      <c r="K1287" t="str">
        <f>VLOOKUP(tbl_details5[[#This Row],[Order ID]],Table1[],5,FALSE)</f>
        <v>Bihar</v>
      </c>
      <c r="L1287" t="str">
        <f>VLOOKUP(tbl_details5[[#This Row],[Order ID]],Table1[],6,FALSE)</f>
        <v>Patna</v>
      </c>
    </row>
    <row r="1288" spans="1:12" x14ac:dyDescent="0.25">
      <c r="A1288" t="s">
        <v>814</v>
      </c>
      <c r="B1288" s="4">
        <v>130</v>
      </c>
      <c r="C1288" s="4">
        <v>61</v>
      </c>
      <c r="D1288" s="5">
        <f>tbl_details5[[#This Row],[Profit]]/tbl_details5[[#This Row],[Revenue]]</f>
        <v>0.46923076923076923</v>
      </c>
      <c r="E1288">
        <v>3</v>
      </c>
      <c r="F1288" t="s">
        <v>885</v>
      </c>
      <c r="G1288" t="s">
        <v>896</v>
      </c>
      <c r="H1288" s="1">
        <f>VLOOKUP(tbl_details5[[#This Row],[Order ID]],Orders!A:F,2,FALSE)</f>
        <v>43520</v>
      </c>
      <c r="I1288" s="1" t="str">
        <f>TEXT(tbl_details5[[#This Row],[Order Date]],"mmm-yy")</f>
        <v>Feb-19</v>
      </c>
      <c r="J1288" t="str">
        <f>VLOOKUP(tbl_details5[[#This Row],[Order ID]],Table1[],4,FALSE)</f>
        <v>Pooja</v>
      </c>
      <c r="K1288" t="str">
        <f>VLOOKUP(tbl_details5[[#This Row],[Order ID]],Table1[],5,FALSE)</f>
        <v>Bihar</v>
      </c>
      <c r="L1288" t="str">
        <f>VLOOKUP(tbl_details5[[#This Row],[Order ID]],Table1[],6,FALSE)</f>
        <v>Patna</v>
      </c>
    </row>
    <row r="1289" spans="1:12" x14ac:dyDescent="0.25">
      <c r="A1289" t="s">
        <v>814</v>
      </c>
      <c r="B1289" s="4">
        <v>52</v>
      </c>
      <c r="C1289" s="4">
        <v>14</v>
      </c>
      <c r="D1289" s="5">
        <f>tbl_details5[[#This Row],[Profit]]/tbl_details5[[#This Row],[Revenue]]</f>
        <v>0.26923076923076922</v>
      </c>
      <c r="E1289">
        <v>2</v>
      </c>
      <c r="F1289" t="s">
        <v>885</v>
      </c>
      <c r="G1289" t="s">
        <v>886</v>
      </c>
      <c r="H1289" s="1">
        <f>VLOOKUP(tbl_details5[[#This Row],[Order ID]],Orders!A:F,2,FALSE)</f>
        <v>43520</v>
      </c>
      <c r="I1289" s="1" t="str">
        <f>TEXT(tbl_details5[[#This Row],[Order Date]],"mmm-yy")</f>
        <v>Feb-19</v>
      </c>
      <c r="J1289" t="str">
        <f>VLOOKUP(tbl_details5[[#This Row],[Order ID]],Table1[],4,FALSE)</f>
        <v>Pooja</v>
      </c>
      <c r="K1289" t="str">
        <f>VLOOKUP(tbl_details5[[#This Row],[Order ID]],Table1[],5,FALSE)</f>
        <v>Bihar</v>
      </c>
      <c r="L1289" t="str">
        <f>VLOOKUP(tbl_details5[[#This Row],[Order ID]],Table1[],6,FALSE)</f>
        <v>Patna</v>
      </c>
    </row>
    <row r="1290" spans="1:12" x14ac:dyDescent="0.25">
      <c r="A1290" t="s">
        <v>814</v>
      </c>
      <c r="B1290" s="4">
        <v>30</v>
      </c>
      <c r="C1290" s="4">
        <v>6</v>
      </c>
      <c r="D1290" s="5">
        <f>tbl_details5[[#This Row],[Profit]]/tbl_details5[[#This Row],[Revenue]]</f>
        <v>0.2</v>
      </c>
      <c r="E1290">
        <v>1</v>
      </c>
      <c r="F1290" t="s">
        <v>885</v>
      </c>
      <c r="G1290" t="s">
        <v>895</v>
      </c>
      <c r="H1290" s="1">
        <f>VLOOKUP(tbl_details5[[#This Row],[Order ID]],Orders!A:F,2,FALSE)</f>
        <v>43520</v>
      </c>
      <c r="I1290" s="1" t="str">
        <f>TEXT(tbl_details5[[#This Row],[Order Date]],"mmm-yy")</f>
        <v>Feb-19</v>
      </c>
      <c r="J1290" t="str">
        <f>VLOOKUP(tbl_details5[[#This Row],[Order ID]],Table1[],4,FALSE)</f>
        <v>Pooja</v>
      </c>
      <c r="K1290" t="str">
        <f>VLOOKUP(tbl_details5[[#This Row],[Order ID]],Table1[],5,FALSE)</f>
        <v>Bihar</v>
      </c>
      <c r="L1290" t="str">
        <f>VLOOKUP(tbl_details5[[#This Row],[Order ID]],Table1[],6,FALSE)</f>
        <v>Patna</v>
      </c>
    </row>
    <row r="1291" spans="1:12" x14ac:dyDescent="0.25">
      <c r="A1291" t="s">
        <v>815</v>
      </c>
      <c r="B1291" s="4">
        <v>83</v>
      </c>
      <c r="C1291" s="4">
        <v>34</v>
      </c>
      <c r="D1291" s="5">
        <f>tbl_details5[[#This Row],[Profit]]/tbl_details5[[#This Row],[Revenue]]</f>
        <v>0.40963855421686746</v>
      </c>
      <c r="E1291">
        <v>5</v>
      </c>
      <c r="F1291" t="s">
        <v>885</v>
      </c>
      <c r="G1291" t="s">
        <v>896</v>
      </c>
      <c r="H1291" s="1">
        <f>VLOOKUP(tbl_details5[[#This Row],[Order ID]],Orders!A:F,2,FALSE)</f>
        <v>43521</v>
      </c>
      <c r="I1291" s="1" t="str">
        <f>TEXT(tbl_details5[[#This Row],[Order Date]],"mmm-yy")</f>
        <v>Feb-19</v>
      </c>
      <c r="J1291" t="str">
        <f>VLOOKUP(tbl_details5[[#This Row],[Order ID]],Table1[],4,FALSE)</f>
        <v>Hemant</v>
      </c>
      <c r="K1291" t="str">
        <f>VLOOKUP(tbl_details5[[#This Row],[Order ID]],Table1[],5,FALSE)</f>
        <v xml:space="preserve">Kerala </v>
      </c>
      <c r="L1291" t="str">
        <f>VLOOKUP(tbl_details5[[#This Row],[Order ID]],Table1[],6,FALSE)</f>
        <v>Thiruvananthapuram</v>
      </c>
    </row>
    <row r="1292" spans="1:12" x14ac:dyDescent="0.25">
      <c r="A1292" t="s">
        <v>816</v>
      </c>
      <c r="B1292" s="4">
        <v>38</v>
      </c>
      <c r="C1292" s="4">
        <v>9</v>
      </c>
      <c r="D1292" s="5">
        <f>tbl_details5[[#This Row],[Profit]]/tbl_details5[[#This Row],[Revenue]]</f>
        <v>0.23684210526315788</v>
      </c>
      <c r="E1292">
        <v>2</v>
      </c>
      <c r="F1292" t="s">
        <v>885</v>
      </c>
      <c r="G1292" t="s">
        <v>886</v>
      </c>
      <c r="H1292" s="1">
        <f>VLOOKUP(tbl_details5[[#This Row],[Order ID]],Orders!A:F,2,FALSE)</f>
        <v>43522</v>
      </c>
      <c r="I1292" s="1" t="str">
        <f>TEXT(tbl_details5[[#This Row],[Order Date]],"mmm-yy")</f>
        <v>Feb-19</v>
      </c>
      <c r="J1292" t="str">
        <f>VLOOKUP(tbl_details5[[#This Row],[Order ID]],Table1[],4,FALSE)</f>
        <v>Sahil</v>
      </c>
      <c r="K1292" t="str">
        <f>VLOOKUP(tbl_details5[[#This Row],[Order ID]],Table1[],5,FALSE)</f>
        <v>Punjab</v>
      </c>
      <c r="L1292" t="str">
        <f>VLOOKUP(tbl_details5[[#This Row],[Order ID]],Table1[],6,FALSE)</f>
        <v>Chandigarh</v>
      </c>
    </row>
    <row r="1293" spans="1:12" x14ac:dyDescent="0.25">
      <c r="A1293" t="s">
        <v>816</v>
      </c>
      <c r="B1293" s="4">
        <v>113</v>
      </c>
      <c r="C1293" s="4">
        <v>24</v>
      </c>
      <c r="D1293" s="5">
        <f>tbl_details5[[#This Row],[Profit]]/tbl_details5[[#This Row],[Revenue]]</f>
        <v>0.21238938053097345</v>
      </c>
      <c r="E1293">
        <v>4</v>
      </c>
      <c r="F1293" t="s">
        <v>885</v>
      </c>
      <c r="G1293" t="s">
        <v>887</v>
      </c>
      <c r="H1293" s="1">
        <f>VLOOKUP(tbl_details5[[#This Row],[Order ID]],Orders!A:F,2,FALSE)</f>
        <v>43522</v>
      </c>
      <c r="I1293" s="1" t="str">
        <f>TEXT(tbl_details5[[#This Row],[Order Date]],"mmm-yy")</f>
        <v>Feb-19</v>
      </c>
      <c r="J1293" t="str">
        <f>VLOOKUP(tbl_details5[[#This Row],[Order ID]],Table1[],4,FALSE)</f>
        <v>Sahil</v>
      </c>
      <c r="K1293" t="str">
        <f>VLOOKUP(tbl_details5[[#This Row],[Order ID]],Table1[],5,FALSE)</f>
        <v>Punjab</v>
      </c>
      <c r="L1293" t="str">
        <f>VLOOKUP(tbl_details5[[#This Row],[Order ID]],Table1[],6,FALSE)</f>
        <v>Chandigarh</v>
      </c>
    </row>
    <row r="1294" spans="1:12" x14ac:dyDescent="0.25">
      <c r="A1294" t="s">
        <v>816</v>
      </c>
      <c r="B1294" s="4">
        <v>833</v>
      </c>
      <c r="C1294" s="4">
        <v>93</v>
      </c>
      <c r="D1294" s="5">
        <f>tbl_details5[[#This Row],[Profit]]/tbl_details5[[#This Row],[Revenue]]</f>
        <v>0.11164465786314526</v>
      </c>
      <c r="E1294">
        <v>3</v>
      </c>
      <c r="F1294" t="s">
        <v>885</v>
      </c>
      <c r="G1294" t="s">
        <v>892</v>
      </c>
      <c r="H1294" s="1">
        <f>VLOOKUP(tbl_details5[[#This Row],[Order ID]],Orders!A:F,2,FALSE)</f>
        <v>43522</v>
      </c>
      <c r="I1294" s="1" t="str">
        <f>TEXT(tbl_details5[[#This Row],[Order Date]],"mmm-yy")</f>
        <v>Feb-19</v>
      </c>
      <c r="J1294" t="str">
        <f>VLOOKUP(tbl_details5[[#This Row],[Order ID]],Table1[],4,FALSE)</f>
        <v>Sahil</v>
      </c>
      <c r="K1294" t="str">
        <f>VLOOKUP(tbl_details5[[#This Row],[Order ID]],Table1[],5,FALSE)</f>
        <v>Punjab</v>
      </c>
      <c r="L1294" t="str">
        <f>VLOOKUP(tbl_details5[[#This Row],[Order ID]],Table1[],6,FALSE)</f>
        <v>Chandigarh</v>
      </c>
    </row>
    <row r="1295" spans="1:12" x14ac:dyDescent="0.25">
      <c r="A1295" t="s">
        <v>817</v>
      </c>
      <c r="B1295" s="4">
        <v>176</v>
      </c>
      <c r="C1295" s="4">
        <v>-28</v>
      </c>
      <c r="D1295" s="5">
        <f>tbl_details5[[#This Row],[Profit]]/tbl_details5[[#This Row],[Revenue]]</f>
        <v>-0.15909090909090909</v>
      </c>
      <c r="E1295">
        <v>5</v>
      </c>
      <c r="F1295" t="s">
        <v>883</v>
      </c>
      <c r="G1295" t="s">
        <v>901</v>
      </c>
      <c r="H1295" s="1">
        <f>VLOOKUP(tbl_details5[[#This Row],[Order ID]],Orders!A:F,2,FALSE)</f>
        <v>43523</v>
      </c>
      <c r="I1295" s="1" t="str">
        <f>TEXT(tbl_details5[[#This Row],[Order Date]],"mmm-yy")</f>
        <v>Feb-19</v>
      </c>
      <c r="J1295" t="str">
        <f>VLOOKUP(tbl_details5[[#This Row],[Order ID]],Table1[],4,FALSE)</f>
        <v>Ritu</v>
      </c>
      <c r="K1295" t="str">
        <f>VLOOKUP(tbl_details5[[#This Row],[Order ID]],Table1[],5,FALSE)</f>
        <v>Haryana</v>
      </c>
      <c r="L1295" t="str">
        <f>VLOOKUP(tbl_details5[[#This Row],[Order ID]],Table1[],6,FALSE)</f>
        <v>Chandigarh</v>
      </c>
    </row>
    <row r="1296" spans="1:12" x14ac:dyDescent="0.25">
      <c r="A1296" t="s">
        <v>818</v>
      </c>
      <c r="B1296" s="4">
        <v>36</v>
      </c>
      <c r="C1296" s="4">
        <v>15</v>
      </c>
      <c r="D1296" s="5">
        <f>tbl_details5[[#This Row],[Profit]]/tbl_details5[[#This Row],[Revenue]]</f>
        <v>0.41666666666666669</v>
      </c>
      <c r="E1296">
        <v>3</v>
      </c>
      <c r="F1296" t="s">
        <v>885</v>
      </c>
      <c r="G1296" t="s">
        <v>886</v>
      </c>
      <c r="H1296" s="1">
        <f>VLOOKUP(tbl_details5[[#This Row],[Order ID]],Orders!A:F,2,FALSE)</f>
        <v>43524</v>
      </c>
      <c r="I1296" s="1" t="str">
        <f>TEXT(tbl_details5[[#This Row],[Order Date]],"mmm-yy")</f>
        <v>Feb-19</v>
      </c>
      <c r="J1296" t="str">
        <f>VLOOKUP(tbl_details5[[#This Row],[Order ID]],Table1[],4,FALSE)</f>
        <v>Manish</v>
      </c>
      <c r="K1296" t="str">
        <f>VLOOKUP(tbl_details5[[#This Row],[Order ID]],Table1[],5,FALSE)</f>
        <v>Himachal Pradesh</v>
      </c>
      <c r="L1296" t="str">
        <f>VLOOKUP(tbl_details5[[#This Row],[Order ID]],Table1[],6,FALSE)</f>
        <v>Simla</v>
      </c>
    </row>
    <row r="1297" spans="1:12" x14ac:dyDescent="0.25">
      <c r="A1297" t="s">
        <v>819</v>
      </c>
      <c r="B1297" s="4">
        <v>185</v>
      </c>
      <c r="C1297" s="4">
        <v>48</v>
      </c>
      <c r="D1297" s="5">
        <f>tbl_details5[[#This Row],[Profit]]/tbl_details5[[#This Row],[Revenue]]</f>
        <v>0.25945945945945947</v>
      </c>
      <c r="E1297">
        <v>4</v>
      </c>
      <c r="F1297" t="s">
        <v>885</v>
      </c>
      <c r="G1297" t="s">
        <v>886</v>
      </c>
      <c r="H1297" s="1">
        <f>VLOOKUP(tbl_details5[[#This Row],[Order ID]],Orders!A:F,2,FALSE)</f>
        <v>43525</v>
      </c>
      <c r="I1297" s="1" t="str">
        <f>TEXT(tbl_details5[[#This Row],[Order Date]],"mmm-yy")</f>
        <v>Mar-19</v>
      </c>
      <c r="J1297" t="str">
        <f>VLOOKUP(tbl_details5[[#This Row],[Order ID]],Table1[],4,FALSE)</f>
        <v>Amit</v>
      </c>
      <c r="K1297" t="str">
        <f>VLOOKUP(tbl_details5[[#This Row],[Order ID]],Table1[],5,FALSE)</f>
        <v>Sikkim</v>
      </c>
      <c r="L1297" t="str">
        <f>VLOOKUP(tbl_details5[[#This Row],[Order ID]],Table1[],6,FALSE)</f>
        <v>Gangtok</v>
      </c>
    </row>
    <row r="1298" spans="1:12" x14ac:dyDescent="0.25">
      <c r="A1298" t="s">
        <v>819</v>
      </c>
      <c r="B1298" s="4">
        <v>62</v>
      </c>
      <c r="C1298" s="4">
        <v>28</v>
      </c>
      <c r="D1298" s="5">
        <f>tbl_details5[[#This Row],[Profit]]/tbl_details5[[#This Row],[Revenue]]</f>
        <v>0.45161290322580644</v>
      </c>
      <c r="E1298">
        <v>5</v>
      </c>
      <c r="F1298" t="s">
        <v>885</v>
      </c>
      <c r="G1298" t="s">
        <v>887</v>
      </c>
      <c r="H1298" s="1">
        <f>VLOOKUP(tbl_details5[[#This Row],[Order ID]],Orders!A:F,2,FALSE)</f>
        <v>43525</v>
      </c>
      <c r="I1298" s="1" t="str">
        <f>TEXT(tbl_details5[[#This Row],[Order Date]],"mmm-yy")</f>
        <v>Mar-19</v>
      </c>
      <c r="J1298" t="str">
        <f>VLOOKUP(tbl_details5[[#This Row],[Order ID]],Table1[],4,FALSE)</f>
        <v>Amit</v>
      </c>
      <c r="K1298" t="str">
        <f>VLOOKUP(tbl_details5[[#This Row],[Order ID]],Table1[],5,FALSE)</f>
        <v>Sikkim</v>
      </c>
      <c r="L1298" t="str">
        <f>VLOOKUP(tbl_details5[[#This Row],[Order ID]],Table1[],6,FALSE)</f>
        <v>Gangtok</v>
      </c>
    </row>
    <row r="1299" spans="1:12" x14ac:dyDescent="0.25">
      <c r="A1299" t="s">
        <v>819</v>
      </c>
      <c r="B1299" s="4">
        <v>79</v>
      </c>
      <c r="C1299" s="4">
        <v>5</v>
      </c>
      <c r="D1299" s="5">
        <f>tbl_details5[[#This Row],[Profit]]/tbl_details5[[#This Row],[Revenue]]</f>
        <v>6.3291139240506333E-2</v>
      </c>
      <c r="E1299">
        <v>6</v>
      </c>
      <c r="F1299" t="s">
        <v>885</v>
      </c>
      <c r="G1299" t="s">
        <v>887</v>
      </c>
      <c r="H1299" s="1">
        <f>VLOOKUP(tbl_details5[[#This Row],[Order ID]],Orders!A:F,2,FALSE)</f>
        <v>43525</v>
      </c>
      <c r="I1299" s="1" t="str">
        <f>TEXT(tbl_details5[[#This Row],[Order Date]],"mmm-yy")</f>
        <v>Mar-19</v>
      </c>
      <c r="J1299" t="str">
        <f>VLOOKUP(tbl_details5[[#This Row],[Order ID]],Table1[],4,FALSE)</f>
        <v>Amit</v>
      </c>
      <c r="K1299" t="str">
        <f>VLOOKUP(tbl_details5[[#This Row],[Order ID]],Table1[],5,FALSE)</f>
        <v>Sikkim</v>
      </c>
      <c r="L1299" t="str">
        <f>VLOOKUP(tbl_details5[[#This Row],[Order ID]],Table1[],6,FALSE)</f>
        <v>Gangtok</v>
      </c>
    </row>
    <row r="1300" spans="1:12" x14ac:dyDescent="0.25">
      <c r="A1300" t="s">
        <v>819</v>
      </c>
      <c r="B1300" s="4">
        <v>30</v>
      </c>
      <c r="C1300" s="4">
        <v>12</v>
      </c>
      <c r="D1300" s="5">
        <f>tbl_details5[[#This Row],[Profit]]/tbl_details5[[#This Row],[Revenue]]</f>
        <v>0.4</v>
      </c>
      <c r="E1300">
        <v>3</v>
      </c>
      <c r="F1300" t="s">
        <v>885</v>
      </c>
      <c r="G1300" t="s">
        <v>902</v>
      </c>
      <c r="H1300" s="1">
        <f>VLOOKUP(tbl_details5[[#This Row],[Order ID]],Orders!A:F,2,FALSE)</f>
        <v>43525</v>
      </c>
      <c r="I1300" s="1" t="str">
        <f>TEXT(tbl_details5[[#This Row],[Order Date]],"mmm-yy")</f>
        <v>Mar-19</v>
      </c>
      <c r="J1300" t="str">
        <f>VLOOKUP(tbl_details5[[#This Row],[Order ID]],Table1[],4,FALSE)</f>
        <v>Amit</v>
      </c>
      <c r="K1300" t="str">
        <f>VLOOKUP(tbl_details5[[#This Row],[Order ID]],Table1[],5,FALSE)</f>
        <v>Sikkim</v>
      </c>
      <c r="L1300" t="str">
        <f>VLOOKUP(tbl_details5[[#This Row],[Order ID]],Table1[],6,FALSE)</f>
        <v>Gangtok</v>
      </c>
    </row>
    <row r="1301" spans="1:12" x14ac:dyDescent="0.25">
      <c r="A1301" t="s">
        <v>819</v>
      </c>
      <c r="B1301" s="4">
        <v>122</v>
      </c>
      <c r="C1301" s="4">
        <v>50</v>
      </c>
      <c r="D1301" s="5">
        <f>tbl_details5[[#This Row],[Profit]]/tbl_details5[[#This Row],[Revenue]]</f>
        <v>0.4098360655737705</v>
      </c>
      <c r="E1301">
        <v>7</v>
      </c>
      <c r="F1301" t="s">
        <v>885</v>
      </c>
      <c r="G1301" t="s">
        <v>886</v>
      </c>
      <c r="H1301" s="1">
        <f>VLOOKUP(tbl_details5[[#This Row],[Order ID]],Orders!A:F,2,FALSE)</f>
        <v>43525</v>
      </c>
      <c r="I1301" s="1" t="str">
        <f>TEXT(tbl_details5[[#This Row],[Order Date]],"mmm-yy")</f>
        <v>Mar-19</v>
      </c>
      <c r="J1301" t="str">
        <f>VLOOKUP(tbl_details5[[#This Row],[Order ID]],Table1[],4,FALSE)</f>
        <v>Amit</v>
      </c>
      <c r="K1301" t="str">
        <f>VLOOKUP(tbl_details5[[#This Row],[Order ID]],Table1[],5,FALSE)</f>
        <v>Sikkim</v>
      </c>
      <c r="L1301" t="str">
        <f>VLOOKUP(tbl_details5[[#This Row],[Order ID]],Table1[],6,FALSE)</f>
        <v>Gangtok</v>
      </c>
    </row>
    <row r="1302" spans="1:12" x14ac:dyDescent="0.25">
      <c r="A1302" t="s">
        <v>820</v>
      </c>
      <c r="B1302" s="4">
        <v>28</v>
      </c>
      <c r="C1302" s="4">
        <v>10</v>
      </c>
      <c r="D1302" s="5">
        <f>tbl_details5[[#This Row],[Profit]]/tbl_details5[[#This Row],[Revenue]]</f>
        <v>0.35714285714285715</v>
      </c>
      <c r="E1302">
        <v>3</v>
      </c>
      <c r="F1302" t="s">
        <v>885</v>
      </c>
      <c r="G1302" t="s">
        <v>902</v>
      </c>
      <c r="H1302" s="1">
        <f>VLOOKUP(tbl_details5[[#This Row],[Order ID]],Orders!A:F,2,FALSE)</f>
        <v>43526</v>
      </c>
      <c r="I1302" s="1" t="str">
        <f>TEXT(tbl_details5[[#This Row],[Order Date]],"mmm-yy")</f>
        <v>Mar-19</v>
      </c>
      <c r="J1302" t="str">
        <f>VLOOKUP(tbl_details5[[#This Row],[Order ID]],Table1[],4,FALSE)</f>
        <v>Sanjay</v>
      </c>
      <c r="K1302" t="str">
        <f>VLOOKUP(tbl_details5[[#This Row],[Order ID]],Table1[],5,FALSE)</f>
        <v>Goa</v>
      </c>
      <c r="L1302" t="str">
        <f>VLOOKUP(tbl_details5[[#This Row],[Order ID]],Table1[],6,FALSE)</f>
        <v>Goa</v>
      </c>
    </row>
    <row r="1303" spans="1:12" x14ac:dyDescent="0.25">
      <c r="A1303" t="s">
        <v>821</v>
      </c>
      <c r="B1303" s="4">
        <v>302</v>
      </c>
      <c r="C1303" s="4">
        <v>75</v>
      </c>
      <c r="D1303" s="5">
        <f>tbl_details5[[#This Row],[Profit]]/tbl_details5[[#This Row],[Revenue]]</f>
        <v>0.24834437086092714</v>
      </c>
      <c r="E1303">
        <v>6</v>
      </c>
      <c r="F1303" t="s">
        <v>883</v>
      </c>
      <c r="G1303" t="s">
        <v>901</v>
      </c>
      <c r="H1303" s="1">
        <f>VLOOKUP(tbl_details5[[#This Row],[Order ID]],Orders!A:F,2,FALSE)</f>
        <v>43527</v>
      </c>
      <c r="I1303" s="1" t="str">
        <f>TEXT(tbl_details5[[#This Row],[Order Date]],"mmm-yy")</f>
        <v>Mar-19</v>
      </c>
      <c r="J1303" t="str">
        <f>VLOOKUP(tbl_details5[[#This Row],[Order ID]],Table1[],4,FALSE)</f>
        <v>Nidhi</v>
      </c>
      <c r="K1303" t="str">
        <f>VLOOKUP(tbl_details5[[#This Row],[Order ID]],Table1[],5,FALSE)</f>
        <v>Nagaland</v>
      </c>
      <c r="L1303" t="str">
        <f>VLOOKUP(tbl_details5[[#This Row],[Order ID]],Table1[],6,FALSE)</f>
        <v>Kohima</v>
      </c>
    </row>
    <row r="1304" spans="1:12" x14ac:dyDescent="0.25">
      <c r="A1304" t="s">
        <v>821</v>
      </c>
      <c r="B1304" s="4">
        <v>376</v>
      </c>
      <c r="C1304" s="4">
        <v>0</v>
      </c>
      <c r="D1304" s="5">
        <f>tbl_details5[[#This Row],[Profit]]/tbl_details5[[#This Row],[Revenue]]</f>
        <v>0</v>
      </c>
      <c r="E1304">
        <v>7</v>
      </c>
      <c r="F1304" t="s">
        <v>885</v>
      </c>
      <c r="G1304" t="s">
        <v>886</v>
      </c>
      <c r="H1304" s="1">
        <f>VLOOKUP(tbl_details5[[#This Row],[Order ID]],Orders!A:F,2,FALSE)</f>
        <v>43527</v>
      </c>
      <c r="I1304" s="1" t="str">
        <f>TEXT(tbl_details5[[#This Row],[Order Date]],"mmm-yy")</f>
        <v>Mar-19</v>
      </c>
      <c r="J1304" t="str">
        <f>VLOOKUP(tbl_details5[[#This Row],[Order ID]],Table1[],4,FALSE)</f>
        <v>Nidhi</v>
      </c>
      <c r="K1304" t="str">
        <f>VLOOKUP(tbl_details5[[#This Row],[Order ID]],Table1[],5,FALSE)</f>
        <v>Nagaland</v>
      </c>
      <c r="L1304" t="str">
        <f>VLOOKUP(tbl_details5[[#This Row],[Order ID]],Table1[],6,FALSE)</f>
        <v>Kohima</v>
      </c>
    </row>
    <row r="1305" spans="1:12" x14ac:dyDescent="0.25">
      <c r="A1305" t="s">
        <v>821</v>
      </c>
      <c r="B1305" s="4">
        <v>179</v>
      </c>
      <c r="C1305" s="4">
        <v>77</v>
      </c>
      <c r="D1305" s="5">
        <f>tbl_details5[[#This Row],[Profit]]/tbl_details5[[#This Row],[Revenue]]</f>
        <v>0.43016759776536312</v>
      </c>
      <c r="E1305">
        <v>1</v>
      </c>
      <c r="F1305" t="s">
        <v>885</v>
      </c>
      <c r="G1305" t="s">
        <v>891</v>
      </c>
      <c r="H1305" s="1">
        <f>VLOOKUP(tbl_details5[[#This Row],[Order ID]],Orders!A:F,2,FALSE)</f>
        <v>43527</v>
      </c>
      <c r="I1305" s="1" t="str">
        <f>TEXT(tbl_details5[[#This Row],[Order Date]],"mmm-yy")</f>
        <v>Mar-19</v>
      </c>
      <c r="J1305" t="str">
        <f>VLOOKUP(tbl_details5[[#This Row],[Order ID]],Table1[],4,FALSE)</f>
        <v>Nidhi</v>
      </c>
      <c r="K1305" t="str">
        <f>VLOOKUP(tbl_details5[[#This Row],[Order ID]],Table1[],5,FALSE)</f>
        <v>Nagaland</v>
      </c>
      <c r="L1305" t="str">
        <f>VLOOKUP(tbl_details5[[#This Row],[Order ID]],Table1[],6,FALSE)</f>
        <v>Kohima</v>
      </c>
    </row>
    <row r="1306" spans="1:12" x14ac:dyDescent="0.25">
      <c r="A1306" t="s">
        <v>821</v>
      </c>
      <c r="B1306" s="4">
        <v>27</v>
      </c>
      <c r="C1306" s="4">
        <v>5</v>
      </c>
      <c r="D1306" s="5">
        <f>tbl_details5[[#This Row],[Profit]]/tbl_details5[[#This Row],[Revenue]]</f>
        <v>0.18518518518518517</v>
      </c>
      <c r="E1306">
        <v>1</v>
      </c>
      <c r="F1306" t="s">
        <v>885</v>
      </c>
      <c r="G1306" t="s">
        <v>886</v>
      </c>
      <c r="H1306" s="1">
        <f>VLOOKUP(tbl_details5[[#This Row],[Order ID]],Orders!A:F,2,FALSE)</f>
        <v>43527</v>
      </c>
      <c r="I1306" s="1" t="str">
        <f>TEXT(tbl_details5[[#This Row],[Order Date]],"mmm-yy")</f>
        <v>Mar-19</v>
      </c>
      <c r="J1306" t="str">
        <f>VLOOKUP(tbl_details5[[#This Row],[Order ID]],Table1[],4,FALSE)</f>
        <v>Nidhi</v>
      </c>
      <c r="K1306" t="str">
        <f>VLOOKUP(tbl_details5[[#This Row],[Order ID]],Table1[],5,FALSE)</f>
        <v>Nagaland</v>
      </c>
      <c r="L1306" t="str">
        <f>VLOOKUP(tbl_details5[[#This Row],[Order ID]],Table1[],6,FALSE)</f>
        <v>Kohima</v>
      </c>
    </row>
    <row r="1307" spans="1:12" x14ac:dyDescent="0.25">
      <c r="A1307" t="s">
        <v>822</v>
      </c>
      <c r="B1307" s="4">
        <v>32</v>
      </c>
      <c r="C1307" s="4">
        <v>3</v>
      </c>
      <c r="D1307" s="5">
        <f>tbl_details5[[#This Row],[Profit]]/tbl_details5[[#This Row],[Revenue]]</f>
        <v>9.375E-2</v>
      </c>
      <c r="E1307">
        <v>8</v>
      </c>
      <c r="F1307" t="s">
        <v>885</v>
      </c>
      <c r="G1307" t="s">
        <v>887</v>
      </c>
      <c r="H1307" s="1">
        <f>VLOOKUP(tbl_details5[[#This Row],[Order ID]],Orders!A:F,2,FALSE)</f>
        <v>43528</v>
      </c>
      <c r="I1307" s="1" t="str">
        <f>TEXT(tbl_details5[[#This Row],[Order Date]],"mmm-yy")</f>
        <v>Mar-19</v>
      </c>
      <c r="J1307" t="str">
        <f>VLOOKUP(tbl_details5[[#This Row],[Order ID]],Table1[],4,FALSE)</f>
        <v>Nishi</v>
      </c>
      <c r="K1307" t="str">
        <f>VLOOKUP(tbl_details5[[#This Row],[Order ID]],Table1[],5,FALSE)</f>
        <v>Maharashtra</v>
      </c>
      <c r="L1307" t="str">
        <f>VLOOKUP(tbl_details5[[#This Row],[Order ID]],Table1[],6,FALSE)</f>
        <v>Mumbai</v>
      </c>
    </row>
    <row r="1308" spans="1:12" x14ac:dyDescent="0.25">
      <c r="A1308" t="s">
        <v>823</v>
      </c>
      <c r="B1308" s="4">
        <v>55</v>
      </c>
      <c r="C1308" s="4">
        <v>12</v>
      </c>
      <c r="D1308" s="5">
        <f>tbl_details5[[#This Row],[Profit]]/tbl_details5[[#This Row],[Revenue]]</f>
        <v>0.21818181818181817</v>
      </c>
      <c r="E1308">
        <v>5</v>
      </c>
      <c r="F1308" t="s">
        <v>885</v>
      </c>
      <c r="G1308" t="s">
        <v>902</v>
      </c>
      <c r="H1308" s="1">
        <f>VLOOKUP(tbl_details5[[#This Row],[Order ID]],Orders!A:F,2,FALSE)</f>
        <v>43528</v>
      </c>
      <c r="I1308" s="1" t="str">
        <f>TEXT(tbl_details5[[#This Row],[Order Date]],"mmm-yy")</f>
        <v>Mar-19</v>
      </c>
      <c r="J1308" t="str">
        <f>VLOOKUP(tbl_details5[[#This Row],[Order ID]],Table1[],4,FALSE)</f>
        <v>Ashmi</v>
      </c>
      <c r="K1308" t="str">
        <f>VLOOKUP(tbl_details5[[#This Row],[Order ID]],Table1[],5,FALSE)</f>
        <v>Madhya Pradesh</v>
      </c>
      <c r="L1308" t="str">
        <f>VLOOKUP(tbl_details5[[#This Row],[Order ID]],Table1[],6,FALSE)</f>
        <v>Indore</v>
      </c>
    </row>
    <row r="1309" spans="1:12" x14ac:dyDescent="0.25">
      <c r="A1309" t="s">
        <v>824</v>
      </c>
      <c r="B1309" s="4">
        <v>163</v>
      </c>
      <c r="C1309" s="4">
        <v>81</v>
      </c>
      <c r="D1309" s="5">
        <f>tbl_details5[[#This Row],[Profit]]/tbl_details5[[#This Row],[Revenue]]</f>
        <v>0.49693251533742333</v>
      </c>
      <c r="E1309">
        <v>2</v>
      </c>
      <c r="F1309" t="s">
        <v>888</v>
      </c>
      <c r="G1309" t="s">
        <v>900</v>
      </c>
      <c r="H1309" s="1">
        <f>VLOOKUP(tbl_details5[[#This Row],[Order ID]],Orders!A:F,2,FALSE)</f>
        <v>43528</v>
      </c>
      <c r="I1309" s="1" t="str">
        <f>TEXT(tbl_details5[[#This Row],[Order Date]],"mmm-yy")</f>
        <v>Mar-19</v>
      </c>
      <c r="J1309" t="str">
        <f>VLOOKUP(tbl_details5[[#This Row],[Order ID]],Table1[],4,FALSE)</f>
        <v>Parth</v>
      </c>
      <c r="K1309" t="str">
        <f>VLOOKUP(tbl_details5[[#This Row],[Order ID]],Table1[],5,FALSE)</f>
        <v>Maharashtra</v>
      </c>
      <c r="L1309" t="str">
        <f>VLOOKUP(tbl_details5[[#This Row],[Order ID]],Table1[],6,FALSE)</f>
        <v>Pune</v>
      </c>
    </row>
    <row r="1310" spans="1:12" x14ac:dyDescent="0.25">
      <c r="A1310" t="s">
        <v>824</v>
      </c>
      <c r="B1310" s="4">
        <v>401</v>
      </c>
      <c r="C1310" s="4">
        <v>13</v>
      </c>
      <c r="D1310" s="5">
        <f>tbl_details5[[#This Row],[Profit]]/tbl_details5[[#This Row],[Revenue]]</f>
        <v>3.2418952618453865E-2</v>
      </c>
      <c r="E1310">
        <v>6</v>
      </c>
      <c r="F1310" t="s">
        <v>883</v>
      </c>
      <c r="G1310" t="s">
        <v>893</v>
      </c>
      <c r="H1310" s="1">
        <f>VLOOKUP(tbl_details5[[#This Row],[Order ID]],Orders!A:F,2,FALSE)</f>
        <v>43528</v>
      </c>
      <c r="I1310" s="1" t="str">
        <f>TEXT(tbl_details5[[#This Row],[Order Date]],"mmm-yy")</f>
        <v>Mar-19</v>
      </c>
      <c r="J1310" t="str">
        <f>VLOOKUP(tbl_details5[[#This Row],[Order ID]],Table1[],4,FALSE)</f>
        <v>Parth</v>
      </c>
      <c r="K1310" t="str">
        <f>VLOOKUP(tbl_details5[[#This Row],[Order ID]],Table1[],5,FALSE)</f>
        <v>Maharashtra</v>
      </c>
      <c r="L1310" t="str">
        <f>VLOOKUP(tbl_details5[[#This Row],[Order ID]],Table1[],6,FALSE)</f>
        <v>Pune</v>
      </c>
    </row>
    <row r="1311" spans="1:12" x14ac:dyDescent="0.25">
      <c r="A1311" t="s">
        <v>824</v>
      </c>
      <c r="B1311" s="4">
        <v>1461</v>
      </c>
      <c r="C1311" s="4">
        <v>202</v>
      </c>
      <c r="D1311" s="5">
        <f>tbl_details5[[#This Row],[Profit]]/tbl_details5[[#This Row],[Revenue]]</f>
        <v>0.13826146475017112</v>
      </c>
      <c r="E1311">
        <v>5</v>
      </c>
      <c r="F1311" t="s">
        <v>883</v>
      </c>
      <c r="G1311" t="s">
        <v>898</v>
      </c>
      <c r="H1311" s="1">
        <f>VLOOKUP(tbl_details5[[#This Row],[Order ID]],Orders!A:F,2,FALSE)</f>
        <v>43528</v>
      </c>
      <c r="I1311" s="1" t="str">
        <f>TEXT(tbl_details5[[#This Row],[Order Date]],"mmm-yy")</f>
        <v>Mar-19</v>
      </c>
      <c r="J1311" t="str">
        <f>VLOOKUP(tbl_details5[[#This Row],[Order ID]],Table1[],4,FALSE)</f>
        <v>Parth</v>
      </c>
      <c r="K1311" t="str">
        <f>VLOOKUP(tbl_details5[[#This Row],[Order ID]],Table1[],5,FALSE)</f>
        <v>Maharashtra</v>
      </c>
      <c r="L1311" t="str">
        <f>VLOOKUP(tbl_details5[[#This Row],[Order ID]],Table1[],6,FALSE)</f>
        <v>Pune</v>
      </c>
    </row>
    <row r="1312" spans="1:12" x14ac:dyDescent="0.25">
      <c r="A1312" t="s">
        <v>824</v>
      </c>
      <c r="B1312" s="4">
        <v>1104</v>
      </c>
      <c r="C1312" s="4">
        <v>209</v>
      </c>
      <c r="D1312" s="5">
        <f>tbl_details5[[#This Row],[Profit]]/tbl_details5[[#This Row],[Revenue]]</f>
        <v>0.18931159420289856</v>
      </c>
      <c r="E1312">
        <v>4</v>
      </c>
      <c r="F1312" t="s">
        <v>885</v>
      </c>
      <c r="G1312" t="s">
        <v>892</v>
      </c>
      <c r="H1312" s="1">
        <f>VLOOKUP(tbl_details5[[#This Row],[Order ID]],Orders!A:F,2,FALSE)</f>
        <v>43528</v>
      </c>
      <c r="I1312" s="1" t="str">
        <f>TEXT(tbl_details5[[#This Row],[Order Date]],"mmm-yy")</f>
        <v>Mar-19</v>
      </c>
      <c r="J1312" t="str">
        <f>VLOOKUP(tbl_details5[[#This Row],[Order ID]],Table1[],4,FALSE)</f>
        <v>Parth</v>
      </c>
      <c r="K1312" t="str">
        <f>VLOOKUP(tbl_details5[[#This Row],[Order ID]],Table1[],5,FALSE)</f>
        <v>Maharashtra</v>
      </c>
      <c r="L1312" t="str">
        <f>VLOOKUP(tbl_details5[[#This Row],[Order ID]],Table1[],6,FALSE)</f>
        <v>Pune</v>
      </c>
    </row>
    <row r="1313" spans="1:12" x14ac:dyDescent="0.25">
      <c r="A1313" t="s">
        <v>825</v>
      </c>
      <c r="B1313" s="4">
        <v>100</v>
      </c>
      <c r="C1313" s="4">
        <v>28</v>
      </c>
      <c r="D1313" s="5">
        <f>tbl_details5[[#This Row],[Profit]]/tbl_details5[[#This Row],[Revenue]]</f>
        <v>0.28000000000000003</v>
      </c>
      <c r="E1313">
        <v>2</v>
      </c>
      <c r="F1313" t="s">
        <v>885</v>
      </c>
      <c r="G1313" t="s">
        <v>887</v>
      </c>
      <c r="H1313" s="1">
        <f>VLOOKUP(tbl_details5[[#This Row],[Order ID]],Orders!A:F,2,FALSE)</f>
        <v>43529</v>
      </c>
      <c r="I1313" s="1" t="str">
        <f>TEXT(tbl_details5[[#This Row],[Order Date]],"mmm-yy")</f>
        <v>Mar-19</v>
      </c>
      <c r="J1313" t="str">
        <f>VLOOKUP(tbl_details5[[#This Row],[Order ID]],Table1[],4,FALSE)</f>
        <v>Lisha</v>
      </c>
      <c r="K1313" t="str">
        <f>VLOOKUP(tbl_details5[[#This Row],[Order ID]],Table1[],5,FALSE)</f>
        <v>Madhya Pradesh</v>
      </c>
      <c r="L1313" t="str">
        <f>VLOOKUP(tbl_details5[[#This Row],[Order ID]],Table1[],6,FALSE)</f>
        <v>Bhopal</v>
      </c>
    </row>
    <row r="1314" spans="1:12" x14ac:dyDescent="0.25">
      <c r="A1314" t="s">
        <v>826</v>
      </c>
      <c r="B1314" s="4">
        <v>325</v>
      </c>
      <c r="C1314" s="4">
        <v>32</v>
      </c>
      <c r="D1314" s="5">
        <f>tbl_details5[[#This Row],[Profit]]/tbl_details5[[#This Row],[Revenue]]</f>
        <v>9.8461538461538461E-2</v>
      </c>
      <c r="E1314">
        <v>7</v>
      </c>
      <c r="F1314" t="s">
        <v>885</v>
      </c>
      <c r="G1314" t="s">
        <v>895</v>
      </c>
      <c r="H1314" s="1">
        <f>VLOOKUP(tbl_details5[[#This Row],[Order ID]],Orders!A:F,2,FALSE)</f>
        <v>43530</v>
      </c>
      <c r="I1314" s="1" t="str">
        <f>TEXT(tbl_details5[[#This Row],[Order Date]],"mmm-yy")</f>
        <v>Mar-19</v>
      </c>
      <c r="J1314" t="str">
        <f>VLOOKUP(tbl_details5[[#This Row],[Order ID]],Table1[],4,FALSE)</f>
        <v>Paridhi</v>
      </c>
      <c r="K1314" t="str">
        <f>VLOOKUP(tbl_details5[[#This Row],[Order ID]],Table1[],5,FALSE)</f>
        <v>Rajasthan</v>
      </c>
      <c r="L1314" t="str">
        <f>VLOOKUP(tbl_details5[[#This Row],[Order ID]],Table1[],6,FALSE)</f>
        <v>Jaipur</v>
      </c>
    </row>
    <row r="1315" spans="1:12" x14ac:dyDescent="0.25">
      <c r="A1315" t="s">
        <v>826</v>
      </c>
      <c r="B1315" s="4">
        <v>169</v>
      </c>
      <c r="C1315" s="4">
        <v>55</v>
      </c>
      <c r="D1315" s="5">
        <f>tbl_details5[[#This Row],[Profit]]/tbl_details5[[#This Row],[Revenue]]</f>
        <v>0.32544378698224852</v>
      </c>
      <c r="E1315">
        <v>4</v>
      </c>
      <c r="F1315" t="s">
        <v>885</v>
      </c>
      <c r="G1315" t="s">
        <v>891</v>
      </c>
      <c r="H1315" s="1">
        <f>VLOOKUP(tbl_details5[[#This Row],[Order ID]],Orders!A:F,2,FALSE)</f>
        <v>43530</v>
      </c>
      <c r="I1315" s="1" t="str">
        <f>TEXT(tbl_details5[[#This Row],[Order Date]],"mmm-yy")</f>
        <v>Mar-19</v>
      </c>
      <c r="J1315" t="str">
        <f>VLOOKUP(tbl_details5[[#This Row],[Order ID]],Table1[],4,FALSE)</f>
        <v>Paridhi</v>
      </c>
      <c r="K1315" t="str">
        <f>VLOOKUP(tbl_details5[[#This Row],[Order ID]],Table1[],5,FALSE)</f>
        <v>Rajasthan</v>
      </c>
      <c r="L1315" t="str">
        <f>VLOOKUP(tbl_details5[[#This Row],[Order ID]],Table1[],6,FALSE)</f>
        <v>Jaipur</v>
      </c>
    </row>
    <row r="1316" spans="1:12" x14ac:dyDescent="0.25">
      <c r="A1316" t="s">
        <v>826</v>
      </c>
      <c r="B1316" s="4">
        <v>487</v>
      </c>
      <c r="C1316" s="4">
        <v>143</v>
      </c>
      <c r="D1316" s="5">
        <f>tbl_details5[[#This Row],[Profit]]/tbl_details5[[#This Row],[Revenue]]</f>
        <v>0.29363449691991789</v>
      </c>
      <c r="E1316">
        <v>4</v>
      </c>
      <c r="F1316" t="s">
        <v>888</v>
      </c>
      <c r="G1316" t="s">
        <v>890</v>
      </c>
      <c r="H1316" s="1">
        <f>VLOOKUP(tbl_details5[[#This Row],[Order ID]],Orders!A:F,2,FALSE)</f>
        <v>43530</v>
      </c>
      <c r="I1316" s="1" t="str">
        <f>TEXT(tbl_details5[[#This Row],[Order Date]],"mmm-yy")</f>
        <v>Mar-19</v>
      </c>
      <c r="J1316" t="str">
        <f>VLOOKUP(tbl_details5[[#This Row],[Order ID]],Table1[],4,FALSE)</f>
        <v>Paridhi</v>
      </c>
      <c r="K1316" t="str">
        <f>VLOOKUP(tbl_details5[[#This Row],[Order ID]],Table1[],5,FALSE)</f>
        <v>Rajasthan</v>
      </c>
      <c r="L1316" t="str">
        <f>VLOOKUP(tbl_details5[[#This Row],[Order ID]],Table1[],6,FALSE)</f>
        <v>Jaipur</v>
      </c>
    </row>
    <row r="1317" spans="1:12" x14ac:dyDescent="0.25">
      <c r="A1317" t="s">
        <v>826</v>
      </c>
      <c r="B1317" s="4">
        <v>166</v>
      </c>
      <c r="C1317" s="4">
        <v>27</v>
      </c>
      <c r="D1317" s="5">
        <f>tbl_details5[[#This Row],[Profit]]/tbl_details5[[#This Row],[Revenue]]</f>
        <v>0.16265060240963855</v>
      </c>
      <c r="E1317">
        <v>2</v>
      </c>
      <c r="F1317" t="s">
        <v>888</v>
      </c>
      <c r="G1317" t="s">
        <v>900</v>
      </c>
      <c r="H1317" s="1">
        <f>VLOOKUP(tbl_details5[[#This Row],[Order ID]],Orders!A:F,2,FALSE)</f>
        <v>43530</v>
      </c>
      <c r="I1317" s="1" t="str">
        <f>TEXT(tbl_details5[[#This Row],[Order Date]],"mmm-yy")</f>
        <v>Mar-19</v>
      </c>
      <c r="J1317" t="str">
        <f>VLOOKUP(tbl_details5[[#This Row],[Order ID]],Table1[],4,FALSE)</f>
        <v>Paridhi</v>
      </c>
      <c r="K1317" t="str">
        <f>VLOOKUP(tbl_details5[[#This Row],[Order ID]],Table1[],5,FALSE)</f>
        <v>Rajasthan</v>
      </c>
      <c r="L1317" t="str">
        <f>VLOOKUP(tbl_details5[[#This Row],[Order ID]],Table1[],6,FALSE)</f>
        <v>Jaipur</v>
      </c>
    </row>
    <row r="1318" spans="1:12" x14ac:dyDescent="0.25">
      <c r="A1318" t="s">
        <v>826</v>
      </c>
      <c r="B1318" s="4">
        <v>79</v>
      </c>
      <c r="C1318" s="4">
        <v>32</v>
      </c>
      <c r="D1318" s="5">
        <f>tbl_details5[[#This Row],[Profit]]/tbl_details5[[#This Row],[Revenue]]</f>
        <v>0.4050632911392405</v>
      </c>
      <c r="E1318">
        <v>3</v>
      </c>
      <c r="F1318" t="s">
        <v>885</v>
      </c>
      <c r="G1318" t="s">
        <v>891</v>
      </c>
      <c r="H1318" s="1">
        <f>VLOOKUP(tbl_details5[[#This Row],[Order ID]],Orders!A:F,2,FALSE)</f>
        <v>43530</v>
      </c>
      <c r="I1318" s="1" t="str">
        <f>TEXT(tbl_details5[[#This Row],[Order Date]],"mmm-yy")</f>
        <v>Mar-19</v>
      </c>
      <c r="J1318" t="str">
        <f>VLOOKUP(tbl_details5[[#This Row],[Order ID]],Table1[],4,FALSE)</f>
        <v>Paridhi</v>
      </c>
      <c r="K1318" t="str">
        <f>VLOOKUP(tbl_details5[[#This Row],[Order ID]],Table1[],5,FALSE)</f>
        <v>Rajasthan</v>
      </c>
      <c r="L1318" t="str">
        <f>VLOOKUP(tbl_details5[[#This Row],[Order ID]],Table1[],6,FALSE)</f>
        <v>Jaipur</v>
      </c>
    </row>
    <row r="1319" spans="1:12" x14ac:dyDescent="0.25">
      <c r="A1319" t="s">
        <v>826</v>
      </c>
      <c r="B1319" s="4">
        <v>32</v>
      </c>
      <c r="C1319" s="4">
        <v>6</v>
      </c>
      <c r="D1319" s="5">
        <f>tbl_details5[[#This Row],[Profit]]/tbl_details5[[#This Row],[Revenue]]</f>
        <v>0.1875</v>
      </c>
      <c r="E1319">
        <v>3</v>
      </c>
      <c r="F1319" t="s">
        <v>885</v>
      </c>
      <c r="G1319" t="s">
        <v>896</v>
      </c>
      <c r="H1319" s="1">
        <f>VLOOKUP(tbl_details5[[#This Row],[Order ID]],Orders!A:F,2,FALSE)</f>
        <v>43530</v>
      </c>
      <c r="I1319" s="1" t="str">
        <f>TEXT(tbl_details5[[#This Row],[Order Date]],"mmm-yy")</f>
        <v>Mar-19</v>
      </c>
      <c r="J1319" t="str">
        <f>VLOOKUP(tbl_details5[[#This Row],[Order ID]],Table1[],4,FALSE)</f>
        <v>Paridhi</v>
      </c>
      <c r="K1319" t="str">
        <f>VLOOKUP(tbl_details5[[#This Row],[Order ID]],Table1[],5,FALSE)</f>
        <v>Rajasthan</v>
      </c>
      <c r="L1319" t="str">
        <f>VLOOKUP(tbl_details5[[#This Row],[Order ID]],Table1[],6,FALSE)</f>
        <v>Jaipur</v>
      </c>
    </row>
    <row r="1320" spans="1:12" x14ac:dyDescent="0.25">
      <c r="A1320" t="s">
        <v>826</v>
      </c>
      <c r="B1320" s="4">
        <v>38</v>
      </c>
      <c r="C1320" s="4">
        <v>9</v>
      </c>
      <c r="D1320" s="5">
        <f>tbl_details5[[#This Row],[Profit]]/tbl_details5[[#This Row],[Revenue]]</f>
        <v>0.23684210526315788</v>
      </c>
      <c r="E1320">
        <v>2</v>
      </c>
      <c r="F1320" t="s">
        <v>885</v>
      </c>
      <c r="G1320" t="s">
        <v>886</v>
      </c>
      <c r="H1320" s="1">
        <f>VLOOKUP(tbl_details5[[#This Row],[Order ID]],Orders!A:F,2,FALSE)</f>
        <v>43530</v>
      </c>
      <c r="I1320" s="1" t="str">
        <f>TEXT(tbl_details5[[#This Row],[Order Date]],"mmm-yy")</f>
        <v>Mar-19</v>
      </c>
      <c r="J1320" t="str">
        <f>VLOOKUP(tbl_details5[[#This Row],[Order ID]],Table1[],4,FALSE)</f>
        <v>Paridhi</v>
      </c>
      <c r="K1320" t="str">
        <f>VLOOKUP(tbl_details5[[#This Row],[Order ID]],Table1[],5,FALSE)</f>
        <v>Rajasthan</v>
      </c>
      <c r="L1320" t="str">
        <f>VLOOKUP(tbl_details5[[#This Row],[Order ID]],Table1[],6,FALSE)</f>
        <v>Jaipur</v>
      </c>
    </row>
    <row r="1321" spans="1:12" x14ac:dyDescent="0.25">
      <c r="A1321" t="s">
        <v>826</v>
      </c>
      <c r="B1321" s="4">
        <v>284</v>
      </c>
      <c r="C1321" s="4">
        <v>44</v>
      </c>
      <c r="D1321" s="5">
        <f>tbl_details5[[#This Row],[Profit]]/tbl_details5[[#This Row],[Revenue]]</f>
        <v>0.15492957746478872</v>
      </c>
      <c r="E1321">
        <v>6</v>
      </c>
      <c r="F1321" t="s">
        <v>885</v>
      </c>
      <c r="G1321" t="s">
        <v>887</v>
      </c>
      <c r="H1321" s="1">
        <f>VLOOKUP(tbl_details5[[#This Row],[Order ID]],Orders!A:F,2,FALSE)</f>
        <v>43530</v>
      </c>
      <c r="I1321" s="1" t="str">
        <f>TEXT(tbl_details5[[#This Row],[Order Date]],"mmm-yy")</f>
        <v>Mar-19</v>
      </c>
      <c r="J1321" t="str">
        <f>VLOOKUP(tbl_details5[[#This Row],[Order ID]],Table1[],4,FALSE)</f>
        <v>Paridhi</v>
      </c>
      <c r="K1321" t="str">
        <f>VLOOKUP(tbl_details5[[#This Row],[Order ID]],Table1[],5,FALSE)</f>
        <v>Rajasthan</v>
      </c>
      <c r="L1321" t="str">
        <f>VLOOKUP(tbl_details5[[#This Row],[Order ID]],Table1[],6,FALSE)</f>
        <v>Jaipur</v>
      </c>
    </row>
    <row r="1322" spans="1:12" x14ac:dyDescent="0.25">
      <c r="A1322" t="s">
        <v>826</v>
      </c>
      <c r="B1322" s="4">
        <v>382</v>
      </c>
      <c r="C1322" s="4">
        <v>92</v>
      </c>
      <c r="D1322" s="5">
        <f>tbl_details5[[#This Row],[Profit]]/tbl_details5[[#This Row],[Revenue]]</f>
        <v>0.24083769633507854</v>
      </c>
      <c r="E1322">
        <v>2</v>
      </c>
      <c r="F1322" t="s">
        <v>888</v>
      </c>
      <c r="G1322" t="s">
        <v>899</v>
      </c>
      <c r="H1322" s="1">
        <f>VLOOKUP(tbl_details5[[#This Row],[Order ID]],Orders!A:F,2,FALSE)</f>
        <v>43530</v>
      </c>
      <c r="I1322" s="1" t="str">
        <f>TEXT(tbl_details5[[#This Row],[Order Date]],"mmm-yy")</f>
        <v>Mar-19</v>
      </c>
      <c r="J1322" t="str">
        <f>VLOOKUP(tbl_details5[[#This Row],[Order ID]],Table1[],4,FALSE)</f>
        <v>Paridhi</v>
      </c>
      <c r="K1322" t="str">
        <f>VLOOKUP(tbl_details5[[#This Row],[Order ID]],Table1[],5,FALSE)</f>
        <v>Rajasthan</v>
      </c>
      <c r="L1322" t="str">
        <f>VLOOKUP(tbl_details5[[#This Row],[Order ID]],Table1[],6,FALSE)</f>
        <v>Jaipur</v>
      </c>
    </row>
    <row r="1323" spans="1:12" x14ac:dyDescent="0.25">
      <c r="A1323" t="s">
        <v>827</v>
      </c>
      <c r="B1323" s="4">
        <v>184</v>
      </c>
      <c r="C1323" s="4">
        <v>85</v>
      </c>
      <c r="D1323" s="5">
        <f>tbl_details5[[#This Row],[Profit]]/tbl_details5[[#This Row],[Revenue]]</f>
        <v>0.46195652173913043</v>
      </c>
      <c r="E1323">
        <v>6</v>
      </c>
      <c r="F1323" t="s">
        <v>885</v>
      </c>
      <c r="G1323" t="s">
        <v>895</v>
      </c>
      <c r="H1323" s="1">
        <f>VLOOKUP(tbl_details5[[#This Row],[Order ID]],Orders!A:F,2,FALSE)</f>
        <v>43531</v>
      </c>
      <c r="I1323" s="1" t="str">
        <f>TEXT(tbl_details5[[#This Row],[Order Date]],"mmm-yy")</f>
        <v>Mar-19</v>
      </c>
      <c r="J1323" t="str">
        <f>VLOOKUP(tbl_details5[[#This Row],[Order ID]],Table1[],4,FALSE)</f>
        <v>Parishi</v>
      </c>
      <c r="K1323" t="str">
        <f>VLOOKUP(tbl_details5[[#This Row],[Order ID]],Table1[],5,FALSE)</f>
        <v>West Bengal</v>
      </c>
      <c r="L1323" t="str">
        <f>VLOOKUP(tbl_details5[[#This Row],[Order ID]],Table1[],6,FALSE)</f>
        <v>Kolkata</v>
      </c>
    </row>
    <row r="1324" spans="1:12" x14ac:dyDescent="0.25">
      <c r="A1324" t="s">
        <v>827</v>
      </c>
      <c r="B1324" s="4">
        <v>676</v>
      </c>
      <c r="C1324" s="4">
        <v>195</v>
      </c>
      <c r="D1324" s="5">
        <f>tbl_details5[[#This Row],[Profit]]/tbl_details5[[#This Row],[Revenue]]</f>
        <v>0.28846153846153844</v>
      </c>
      <c r="E1324">
        <v>5</v>
      </c>
      <c r="F1324" t="s">
        <v>883</v>
      </c>
      <c r="G1324" t="s">
        <v>884</v>
      </c>
      <c r="H1324" s="1">
        <f>VLOOKUP(tbl_details5[[#This Row],[Order ID]],Orders!A:F,2,FALSE)</f>
        <v>43531</v>
      </c>
      <c r="I1324" s="1" t="str">
        <f>TEXT(tbl_details5[[#This Row],[Order Date]],"mmm-yy")</f>
        <v>Mar-19</v>
      </c>
      <c r="J1324" t="str">
        <f>VLOOKUP(tbl_details5[[#This Row],[Order ID]],Table1[],4,FALSE)</f>
        <v>Parishi</v>
      </c>
      <c r="K1324" t="str">
        <f>VLOOKUP(tbl_details5[[#This Row],[Order ID]],Table1[],5,FALSE)</f>
        <v>West Bengal</v>
      </c>
      <c r="L1324" t="str">
        <f>VLOOKUP(tbl_details5[[#This Row],[Order ID]],Table1[],6,FALSE)</f>
        <v>Kolkata</v>
      </c>
    </row>
    <row r="1325" spans="1:12" x14ac:dyDescent="0.25">
      <c r="A1325" t="s">
        <v>827</v>
      </c>
      <c r="B1325" s="4">
        <v>669</v>
      </c>
      <c r="C1325" s="4">
        <v>74</v>
      </c>
      <c r="D1325" s="5">
        <f>tbl_details5[[#This Row],[Profit]]/tbl_details5[[#This Row],[Revenue]]</f>
        <v>0.11061285500747384</v>
      </c>
      <c r="E1325">
        <v>5</v>
      </c>
      <c r="F1325" t="s">
        <v>883</v>
      </c>
      <c r="G1325" t="s">
        <v>884</v>
      </c>
      <c r="H1325" s="1">
        <f>VLOOKUP(tbl_details5[[#This Row],[Order ID]],Orders!A:F,2,FALSE)</f>
        <v>43531</v>
      </c>
      <c r="I1325" s="1" t="str">
        <f>TEXT(tbl_details5[[#This Row],[Order Date]],"mmm-yy")</f>
        <v>Mar-19</v>
      </c>
      <c r="J1325" t="str">
        <f>VLOOKUP(tbl_details5[[#This Row],[Order ID]],Table1[],4,FALSE)</f>
        <v>Parishi</v>
      </c>
      <c r="K1325" t="str">
        <f>VLOOKUP(tbl_details5[[#This Row],[Order ID]],Table1[],5,FALSE)</f>
        <v>West Bengal</v>
      </c>
      <c r="L1325" t="str">
        <f>VLOOKUP(tbl_details5[[#This Row],[Order ID]],Table1[],6,FALSE)</f>
        <v>Kolkata</v>
      </c>
    </row>
    <row r="1326" spans="1:12" x14ac:dyDescent="0.25">
      <c r="A1326" t="s">
        <v>827</v>
      </c>
      <c r="B1326" s="4">
        <v>80</v>
      </c>
      <c r="C1326" s="4">
        <v>22</v>
      </c>
      <c r="D1326" s="5">
        <f>tbl_details5[[#This Row],[Profit]]/tbl_details5[[#This Row],[Revenue]]</f>
        <v>0.27500000000000002</v>
      </c>
      <c r="E1326">
        <v>3</v>
      </c>
      <c r="F1326" t="s">
        <v>885</v>
      </c>
      <c r="G1326" t="s">
        <v>886</v>
      </c>
      <c r="H1326" s="1">
        <f>VLOOKUP(tbl_details5[[#This Row],[Order ID]],Orders!A:F,2,FALSE)</f>
        <v>43531</v>
      </c>
      <c r="I1326" s="1" t="str">
        <f>TEXT(tbl_details5[[#This Row],[Order Date]],"mmm-yy")</f>
        <v>Mar-19</v>
      </c>
      <c r="J1326" t="str">
        <f>VLOOKUP(tbl_details5[[#This Row],[Order ID]],Table1[],4,FALSE)</f>
        <v>Parishi</v>
      </c>
      <c r="K1326" t="str">
        <f>VLOOKUP(tbl_details5[[#This Row],[Order ID]],Table1[],5,FALSE)</f>
        <v>West Bengal</v>
      </c>
      <c r="L1326" t="str">
        <f>VLOOKUP(tbl_details5[[#This Row],[Order ID]],Table1[],6,FALSE)</f>
        <v>Kolkata</v>
      </c>
    </row>
    <row r="1327" spans="1:12" x14ac:dyDescent="0.25">
      <c r="A1327" t="s">
        <v>827</v>
      </c>
      <c r="B1327" s="4">
        <v>216</v>
      </c>
      <c r="C1327" s="4">
        <v>50</v>
      </c>
      <c r="D1327" s="5">
        <f>tbl_details5[[#This Row],[Profit]]/tbl_details5[[#This Row],[Revenue]]</f>
        <v>0.23148148148148148</v>
      </c>
      <c r="E1327">
        <v>4</v>
      </c>
      <c r="F1327" t="s">
        <v>885</v>
      </c>
      <c r="G1327" t="s">
        <v>886</v>
      </c>
      <c r="H1327" s="1">
        <f>VLOOKUP(tbl_details5[[#This Row],[Order ID]],Orders!A:F,2,FALSE)</f>
        <v>43531</v>
      </c>
      <c r="I1327" s="1" t="str">
        <f>TEXT(tbl_details5[[#This Row],[Order Date]],"mmm-yy")</f>
        <v>Mar-19</v>
      </c>
      <c r="J1327" t="str">
        <f>VLOOKUP(tbl_details5[[#This Row],[Order ID]],Table1[],4,FALSE)</f>
        <v>Parishi</v>
      </c>
      <c r="K1327" t="str">
        <f>VLOOKUP(tbl_details5[[#This Row],[Order ID]],Table1[],5,FALSE)</f>
        <v>West Bengal</v>
      </c>
      <c r="L1327" t="str">
        <f>VLOOKUP(tbl_details5[[#This Row],[Order ID]],Table1[],6,FALSE)</f>
        <v>Kolkata</v>
      </c>
    </row>
    <row r="1328" spans="1:12" x14ac:dyDescent="0.25">
      <c r="A1328" t="s">
        <v>827</v>
      </c>
      <c r="B1328" s="4">
        <v>85</v>
      </c>
      <c r="C1328" s="4">
        <v>24</v>
      </c>
      <c r="D1328" s="5">
        <f>tbl_details5[[#This Row],[Profit]]/tbl_details5[[#This Row],[Revenue]]</f>
        <v>0.28235294117647058</v>
      </c>
      <c r="E1328">
        <v>10</v>
      </c>
      <c r="F1328" t="s">
        <v>885</v>
      </c>
      <c r="G1328" t="s">
        <v>887</v>
      </c>
      <c r="H1328" s="1">
        <f>VLOOKUP(tbl_details5[[#This Row],[Order ID]],Orders!A:F,2,FALSE)</f>
        <v>43531</v>
      </c>
      <c r="I1328" s="1" t="str">
        <f>TEXT(tbl_details5[[#This Row],[Order Date]],"mmm-yy")</f>
        <v>Mar-19</v>
      </c>
      <c r="J1328" t="str">
        <f>VLOOKUP(tbl_details5[[#This Row],[Order ID]],Table1[],4,FALSE)</f>
        <v>Parishi</v>
      </c>
      <c r="K1328" t="str">
        <f>VLOOKUP(tbl_details5[[#This Row],[Order ID]],Table1[],5,FALSE)</f>
        <v>West Bengal</v>
      </c>
      <c r="L1328" t="str">
        <f>VLOOKUP(tbl_details5[[#This Row],[Order ID]],Table1[],6,FALSE)</f>
        <v>Kolkata</v>
      </c>
    </row>
    <row r="1329" spans="1:12" x14ac:dyDescent="0.25">
      <c r="A1329" t="s">
        <v>827</v>
      </c>
      <c r="B1329" s="4">
        <v>382</v>
      </c>
      <c r="C1329" s="4">
        <v>119</v>
      </c>
      <c r="D1329" s="5">
        <f>tbl_details5[[#This Row],[Profit]]/tbl_details5[[#This Row],[Revenue]]</f>
        <v>0.31151832460732987</v>
      </c>
      <c r="E1329">
        <v>2</v>
      </c>
      <c r="F1329" t="s">
        <v>885</v>
      </c>
      <c r="G1329" t="s">
        <v>891</v>
      </c>
      <c r="H1329" s="1">
        <f>VLOOKUP(tbl_details5[[#This Row],[Order ID]],Orders!A:F,2,FALSE)</f>
        <v>43531</v>
      </c>
      <c r="I1329" s="1" t="str">
        <f>TEXT(tbl_details5[[#This Row],[Order Date]],"mmm-yy")</f>
        <v>Mar-19</v>
      </c>
      <c r="J1329" t="str">
        <f>VLOOKUP(tbl_details5[[#This Row],[Order ID]],Table1[],4,FALSE)</f>
        <v>Parishi</v>
      </c>
      <c r="K1329" t="str">
        <f>VLOOKUP(tbl_details5[[#This Row],[Order ID]],Table1[],5,FALSE)</f>
        <v>West Bengal</v>
      </c>
      <c r="L1329" t="str">
        <f>VLOOKUP(tbl_details5[[#This Row],[Order ID]],Table1[],6,FALSE)</f>
        <v>Kolkata</v>
      </c>
    </row>
    <row r="1330" spans="1:12" x14ac:dyDescent="0.25">
      <c r="A1330" t="s">
        <v>827</v>
      </c>
      <c r="B1330" s="4">
        <v>490</v>
      </c>
      <c r="C1330" s="4">
        <v>88</v>
      </c>
      <c r="D1330" s="5">
        <f>tbl_details5[[#This Row],[Profit]]/tbl_details5[[#This Row],[Revenue]]</f>
        <v>0.17959183673469387</v>
      </c>
      <c r="E1330">
        <v>2</v>
      </c>
      <c r="F1330" t="s">
        <v>888</v>
      </c>
      <c r="G1330" t="s">
        <v>900</v>
      </c>
      <c r="H1330" s="1">
        <f>VLOOKUP(tbl_details5[[#This Row],[Order ID]],Orders!A:F,2,FALSE)</f>
        <v>43531</v>
      </c>
      <c r="I1330" s="1" t="str">
        <f>TEXT(tbl_details5[[#This Row],[Order Date]],"mmm-yy")</f>
        <v>Mar-19</v>
      </c>
      <c r="J1330" t="str">
        <f>VLOOKUP(tbl_details5[[#This Row],[Order ID]],Table1[],4,FALSE)</f>
        <v>Parishi</v>
      </c>
      <c r="K1330" t="str">
        <f>VLOOKUP(tbl_details5[[#This Row],[Order ID]],Table1[],5,FALSE)</f>
        <v>West Bengal</v>
      </c>
      <c r="L1330" t="str">
        <f>VLOOKUP(tbl_details5[[#This Row],[Order ID]],Table1[],6,FALSE)</f>
        <v>Kolkata</v>
      </c>
    </row>
    <row r="1331" spans="1:12" x14ac:dyDescent="0.25">
      <c r="A1331" t="s">
        <v>827</v>
      </c>
      <c r="B1331" s="4">
        <v>1337</v>
      </c>
      <c r="C1331" s="4">
        <v>147</v>
      </c>
      <c r="D1331" s="5">
        <f>tbl_details5[[#This Row],[Profit]]/tbl_details5[[#This Row],[Revenue]]</f>
        <v>0.1099476439790576</v>
      </c>
      <c r="E1331">
        <v>7</v>
      </c>
      <c r="F1331" t="s">
        <v>888</v>
      </c>
      <c r="G1331" t="s">
        <v>899</v>
      </c>
      <c r="H1331" s="1">
        <f>VLOOKUP(tbl_details5[[#This Row],[Order ID]],Orders!A:F,2,FALSE)</f>
        <v>43531</v>
      </c>
      <c r="I1331" s="1" t="str">
        <f>TEXT(tbl_details5[[#This Row],[Order Date]],"mmm-yy")</f>
        <v>Mar-19</v>
      </c>
      <c r="J1331" t="str">
        <f>VLOOKUP(tbl_details5[[#This Row],[Order ID]],Table1[],4,FALSE)</f>
        <v>Parishi</v>
      </c>
      <c r="K1331" t="str">
        <f>VLOOKUP(tbl_details5[[#This Row],[Order ID]],Table1[],5,FALSE)</f>
        <v>West Bengal</v>
      </c>
      <c r="L1331" t="str">
        <f>VLOOKUP(tbl_details5[[#This Row],[Order ID]],Table1[],6,FALSE)</f>
        <v>Kolkata</v>
      </c>
    </row>
    <row r="1332" spans="1:12" x14ac:dyDescent="0.25">
      <c r="A1332" t="s">
        <v>827</v>
      </c>
      <c r="B1332" s="4">
        <v>600</v>
      </c>
      <c r="C1332" s="4">
        <v>102</v>
      </c>
      <c r="D1332" s="5">
        <f>tbl_details5[[#This Row],[Profit]]/tbl_details5[[#This Row],[Revenue]]</f>
        <v>0.17</v>
      </c>
      <c r="E1332">
        <v>5</v>
      </c>
      <c r="F1332" t="s">
        <v>888</v>
      </c>
      <c r="G1332" t="s">
        <v>889</v>
      </c>
      <c r="H1332" s="1">
        <f>VLOOKUP(tbl_details5[[#This Row],[Order ID]],Orders!A:F,2,FALSE)</f>
        <v>43531</v>
      </c>
      <c r="I1332" s="1" t="str">
        <f>TEXT(tbl_details5[[#This Row],[Order Date]],"mmm-yy")</f>
        <v>Mar-19</v>
      </c>
      <c r="J1332" t="str">
        <f>VLOOKUP(tbl_details5[[#This Row],[Order ID]],Table1[],4,FALSE)</f>
        <v>Parishi</v>
      </c>
      <c r="K1332" t="str">
        <f>VLOOKUP(tbl_details5[[#This Row],[Order ID]],Table1[],5,FALSE)</f>
        <v>West Bengal</v>
      </c>
      <c r="L1332" t="str">
        <f>VLOOKUP(tbl_details5[[#This Row],[Order ID]],Table1[],6,FALSE)</f>
        <v>Kolkata</v>
      </c>
    </row>
    <row r="1333" spans="1:12" x14ac:dyDescent="0.25">
      <c r="A1333" t="s">
        <v>828</v>
      </c>
      <c r="B1333" s="4">
        <v>78</v>
      </c>
      <c r="C1333" s="4">
        <v>28</v>
      </c>
      <c r="D1333" s="5">
        <f>tbl_details5[[#This Row],[Profit]]/tbl_details5[[#This Row],[Revenue]]</f>
        <v>0.35897435897435898</v>
      </c>
      <c r="E1333">
        <v>6</v>
      </c>
      <c r="F1333" t="s">
        <v>885</v>
      </c>
      <c r="G1333" t="s">
        <v>894</v>
      </c>
      <c r="H1333" s="1">
        <f>VLOOKUP(tbl_details5[[#This Row],[Order ID]],Orders!A:F,2,FALSE)</f>
        <v>43532</v>
      </c>
      <c r="I1333" s="1" t="str">
        <f>TEXT(tbl_details5[[#This Row],[Order Date]],"mmm-yy")</f>
        <v>Mar-19</v>
      </c>
      <c r="J1333" t="str">
        <f>VLOOKUP(tbl_details5[[#This Row],[Order ID]],Table1[],4,FALSE)</f>
        <v>Ajay</v>
      </c>
      <c r="K1333" t="str">
        <f>VLOOKUP(tbl_details5[[#This Row],[Order ID]],Table1[],5,FALSE)</f>
        <v>Karnataka</v>
      </c>
      <c r="L1333" t="str">
        <f>VLOOKUP(tbl_details5[[#This Row],[Order ID]],Table1[],6,FALSE)</f>
        <v>Bangalore</v>
      </c>
    </row>
    <row r="1334" spans="1:12" x14ac:dyDescent="0.25">
      <c r="A1334" t="s">
        <v>828</v>
      </c>
      <c r="B1334" s="4">
        <v>101</v>
      </c>
      <c r="C1334" s="4">
        <v>16</v>
      </c>
      <c r="D1334" s="5">
        <f>tbl_details5[[#This Row],[Profit]]/tbl_details5[[#This Row],[Revenue]]</f>
        <v>0.15841584158415842</v>
      </c>
      <c r="E1334">
        <v>4</v>
      </c>
      <c r="F1334" t="s">
        <v>885</v>
      </c>
      <c r="G1334" t="s">
        <v>895</v>
      </c>
      <c r="H1334" s="1">
        <f>VLOOKUP(tbl_details5[[#This Row],[Order ID]],Orders!A:F,2,FALSE)</f>
        <v>43532</v>
      </c>
      <c r="I1334" s="1" t="str">
        <f>TEXT(tbl_details5[[#This Row],[Order Date]],"mmm-yy")</f>
        <v>Mar-19</v>
      </c>
      <c r="J1334" t="str">
        <f>VLOOKUP(tbl_details5[[#This Row],[Order ID]],Table1[],4,FALSE)</f>
        <v>Ajay</v>
      </c>
      <c r="K1334" t="str">
        <f>VLOOKUP(tbl_details5[[#This Row],[Order ID]],Table1[],5,FALSE)</f>
        <v>Karnataka</v>
      </c>
      <c r="L1334" t="str">
        <f>VLOOKUP(tbl_details5[[#This Row],[Order ID]],Table1[],6,FALSE)</f>
        <v>Bangalore</v>
      </c>
    </row>
    <row r="1335" spans="1:12" x14ac:dyDescent="0.25">
      <c r="A1335" t="s">
        <v>828</v>
      </c>
      <c r="B1335" s="4">
        <v>145</v>
      </c>
      <c r="C1335" s="4">
        <v>0</v>
      </c>
      <c r="D1335" s="5">
        <f>tbl_details5[[#This Row],[Profit]]/tbl_details5[[#This Row],[Revenue]]</f>
        <v>0</v>
      </c>
      <c r="E1335">
        <v>3</v>
      </c>
      <c r="F1335" t="s">
        <v>885</v>
      </c>
      <c r="G1335" t="s">
        <v>891</v>
      </c>
      <c r="H1335" s="1">
        <f>VLOOKUP(tbl_details5[[#This Row],[Order ID]],Orders!A:F,2,FALSE)</f>
        <v>43532</v>
      </c>
      <c r="I1335" s="1" t="str">
        <f>TEXT(tbl_details5[[#This Row],[Order Date]],"mmm-yy")</f>
        <v>Mar-19</v>
      </c>
      <c r="J1335" t="str">
        <f>VLOOKUP(tbl_details5[[#This Row],[Order ID]],Table1[],4,FALSE)</f>
        <v>Ajay</v>
      </c>
      <c r="K1335" t="str">
        <f>VLOOKUP(tbl_details5[[#This Row],[Order ID]],Table1[],5,FALSE)</f>
        <v>Karnataka</v>
      </c>
      <c r="L1335" t="str">
        <f>VLOOKUP(tbl_details5[[#This Row],[Order ID]],Table1[],6,FALSE)</f>
        <v>Bangalore</v>
      </c>
    </row>
    <row r="1336" spans="1:12" x14ac:dyDescent="0.25">
      <c r="A1336" t="s">
        <v>828</v>
      </c>
      <c r="B1336" s="4">
        <v>148</v>
      </c>
      <c r="C1336" s="4">
        <v>23</v>
      </c>
      <c r="D1336" s="5">
        <f>tbl_details5[[#This Row],[Profit]]/tbl_details5[[#This Row],[Revenue]]</f>
        <v>0.1554054054054054</v>
      </c>
      <c r="E1336">
        <v>4</v>
      </c>
      <c r="F1336" t="s">
        <v>885</v>
      </c>
      <c r="G1336" t="s">
        <v>894</v>
      </c>
      <c r="H1336" s="1">
        <f>VLOOKUP(tbl_details5[[#This Row],[Order ID]],Orders!A:F,2,FALSE)</f>
        <v>43532</v>
      </c>
      <c r="I1336" s="1" t="str">
        <f>TEXT(tbl_details5[[#This Row],[Order Date]],"mmm-yy")</f>
        <v>Mar-19</v>
      </c>
      <c r="J1336" t="str">
        <f>VLOOKUP(tbl_details5[[#This Row],[Order ID]],Table1[],4,FALSE)</f>
        <v>Ajay</v>
      </c>
      <c r="K1336" t="str">
        <f>VLOOKUP(tbl_details5[[#This Row],[Order ID]],Table1[],5,FALSE)</f>
        <v>Karnataka</v>
      </c>
      <c r="L1336" t="str">
        <f>VLOOKUP(tbl_details5[[#This Row],[Order ID]],Table1[],6,FALSE)</f>
        <v>Bangalore</v>
      </c>
    </row>
    <row r="1337" spans="1:12" x14ac:dyDescent="0.25">
      <c r="A1337" t="s">
        <v>828</v>
      </c>
      <c r="B1337" s="4">
        <v>15</v>
      </c>
      <c r="C1337" s="4">
        <v>1</v>
      </c>
      <c r="D1337" s="5">
        <f>tbl_details5[[#This Row],[Profit]]/tbl_details5[[#This Row],[Revenue]]</f>
        <v>6.6666666666666666E-2</v>
      </c>
      <c r="E1337">
        <v>1</v>
      </c>
      <c r="F1337" t="s">
        <v>885</v>
      </c>
      <c r="G1337" t="s">
        <v>896</v>
      </c>
      <c r="H1337" s="1">
        <f>VLOOKUP(tbl_details5[[#This Row],[Order ID]],Orders!A:F,2,FALSE)</f>
        <v>43532</v>
      </c>
      <c r="I1337" s="1" t="str">
        <f>TEXT(tbl_details5[[#This Row],[Order Date]],"mmm-yy")</f>
        <v>Mar-19</v>
      </c>
      <c r="J1337" t="str">
        <f>VLOOKUP(tbl_details5[[#This Row],[Order ID]],Table1[],4,FALSE)</f>
        <v>Ajay</v>
      </c>
      <c r="K1337" t="str">
        <f>VLOOKUP(tbl_details5[[#This Row],[Order ID]],Table1[],5,FALSE)</f>
        <v>Karnataka</v>
      </c>
      <c r="L1337" t="str">
        <f>VLOOKUP(tbl_details5[[#This Row],[Order ID]],Table1[],6,FALSE)</f>
        <v>Bangalore</v>
      </c>
    </row>
    <row r="1338" spans="1:12" x14ac:dyDescent="0.25">
      <c r="A1338" t="s">
        <v>828</v>
      </c>
      <c r="B1338" s="4">
        <v>25</v>
      </c>
      <c r="C1338" s="4">
        <v>7</v>
      </c>
      <c r="D1338" s="5">
        <f>tbl_details5[[#This Row],[Profit]]/tbl_details5[[#This Row],[Revenue]]</f>
        <v>0.28000000000000003</v>
      </c>
      <c r="E1338">
        <v>2</v>
      </c>
      <c r="F1338" t="s">
        <v>885</v>
      </c>
      <c r="G1338" t="s">
        <v>886</v>
      </c>
      <c r="H1338" s="1">
        <f>VLOOKUP(tbl_details5[[#This Row],[Order ID]],Orders!A:F,2,FALSE)</f>
        <v>43532</v>
      </c>
      <c r="I1338" s="1" t="str">
        <f>TEXT(tbl_details5[[#This Row],[Order Date]],"mmm-yy")</f>
        <v>Mar-19</v>
      </c>
      <c r="J1338" t="str">
        <f>VLOOKUP(tbl_details5[[#This Row],[Order ID]],Table1[],4,FALSE)</f>
        <v>Ajay</v>
      </c>
      <c r="K1338" t="str">
        <f>VLOOKUP(tbl_details5[[#This Row],[Order ID]],Table1[],5,FALSE)</f>
        <v>Karnataka</v>
      </c>
      <c r="L1338" t="str">
        <f>VLOOKUP(tbl_details5[[#This Row],[Order ID]],Table1[],6,FALSE)</f>
        <v>Bangalore</v>
      </c>
    </row>
    <row r="1339" spans="1:12" x14ac:dyDescent="0.25">
      <c r="A1339" t="s">
        <v>828</v>
      </c>
      <c r="B1339" s="4">
        <v>774</v>
      </c>
      <c r="C1339" s="4">
        <v>170</v>
      </c>
      <c r="D1339" s="5">
        <f>tbl_details5[[#This Row],[Profit]]/tbl_details5[[#This Row],[Revenue]]</f>
        <v>0.21963824289405684</v>
      </c>
      <c r="E1339">
        <v>3</v>
      </c>
      <c r="F1339" t="s">
        <v>888</v>
      </c>
      <c r="G1339" t="s">
        <v>900</v>
      </c>
      <c r="H1339" s="1">
        <f>VLOOKUP(tbl_details5[[#This Row],[Order ID]],Orders!A:F,2,FALSE)</f>
        <v>43532</v>
      </c>
      <c r="I1339" s="1" t="str">
        <f>TEXT(tbl_details5[[#This Row],[Order Date]],"mmm-yy")</f>
        <v>Mar-19</v>
      </c>
      <c r="J1339" t="str">
        <f>VLOOKUP(tbl_details5[[#This Row],[Order ID]],Table1[],4,FALSE)</f>
        <v>Ajay</v>
      </c>
      <c r="K1339" t="str">
        <f>VLOOKUP(tbl_details5[[#This Row],[Order ID]],Table1[],5,FALSE)</f>
        <v>Karnataka</v>
      </c>
      <c r="L1339" t="str">
        <f>VLOOKUP(tbl_details5[[#This Row],[Order ID]],Table1[],6,FALSE)</f>
        <v>Bangalore</v>
      </c>
    </row>
    <row r="1340" spans="1:12" x14ac:dyDescent="0.25">
      <c r="A1340" t="s">
        <v>829</v>
      </c>
      <c r="B1340" s="4">
        <v>17</v>
      </c>
      <c r="C1340" s="4">
        <v>1</v>
      </c>
      <c r="D1340" s="5">
        <f>tbl_details5[[#This Row],[Profit]]/tbl_details5[[#This Row],[Revenue]]</f>
        <v>5.8823529411764705E-2</v>
      </c>
      <c r="E1340">
        <v>2</v>
      </c>
      <c r="F1340" t="s">
        <v>885</v>
      </c>
      <c r="G1340" t="s">
        <v>902</v>
      </c>
      <c r="H1340" s="1">
        <f>VLOOKUP(tbl_details5[[#This Row],[Order ID]],Orders!A:F,2,FALSE)</f>
        <v>43533</v>
      </c>
      <c r="I1340" s="1" t="str">
        <f>TEXT(tbl_details5[[#This Row],[Order Date]],"mmm-yy")</f>
        <v>Mar-19</v>
      </c>
      <c r="J1340" t="str">
        <f>VLOOKUP(tbl_details5[[#This Row],[Order ID]],Table1[],4,FALSE)</f>
        <v>Kirti</v>
      </c>
      <c r="K1340" t="str">
        <f>VLOOKUP(tbl_details5[[#This Row],[Order ID]],Table1[],5,FALSE)</f>
        <v>Jammu and Kashmir</v>
      </c>
      <c r="L1340" t="str">
        <f>VLOOKUP(tbl_details5[[#This Row],[Order ID]],Table1[],6,FALSE)</f>
        <v>Kashmir</v>
      </c>
    </row>
    <row r="1341" spans="1:12" x14ac:dyDescent="0.25">
      <c r="A1341" t="s">
        <v>829</v>
      </c>
      <c r="B1341" s="4">
        <v>246</v>
      </c>
      <c r="C1341" s="4">
        <v>61</v>
      </c>
      <c r="D1341" s="5">
        <f>tbl_details5[[#This Row],[Profit]]/tbl_details5[[#This Row],[Revenue]]</f>
        <v>0.24796747967479674</v>
      </c>
      <c r="E1341">
        <v>2</v>
      </c>
      <c r="F1341" t="s">
        <v>883</v>
      </c>
      <c r="G1341" t="s">
        <v>884</v>
      </c>
      <c r="H1341" s="1">
        <f>VLOOKUP(tbl_details5[[#This Row],[Order ID]],Orders!A:F,2,FALSE)</f>
        <v>43533</v>
      </c>
      <c r="I1341" s="1" t="str">
        <f>TEXT(tbl_details5[[#This Row],[Order Date]],"mmm-yy")</f>
        <v>Mar-19</v>
      </c>
      <c r="J1341" t="str">
        <f>VLOOKUP(tbl_details5[[#This Row],[Order ID]],Table1[],4,FALSE)</f>
        <v>Kirti</v>
      </c>
      <c r="K1341" t="str">
        <f>VLOOKUP(tbl_details5[[#This Row],[Order ID]],Table1[],5,FALSE)</f>
        <v>Jammu and Kashmir</v>
      </c>
      <c r="L1341" t="str">
        <f>VLOOKUP(tbl_details5[[#This Row],[Order ID]],Table1[],6,FALSE)</f>
        <v>Kashmir</v>
      </c>
    </row>
    <row r="1342" spans="1:12" x14ac:dyDescent="0.25">
      <c r="A1342" t="s">
        <v>829</v>
      </c>
      <c r="B1342" s="4">
        <v>425</v>
      </c>
      <c r="C1342" s="4">
        <v>208</v>
      </c>
      <c r="D1342" s="5">
        <f>tbl_details5[[#This Row],[Profit]]/tbl_details5[[#This Row],[Revenue]]</f>
        <v>0.48941176470588238</v>
      </c>
      <c r="E1342">
        <v>7</v>
      </c>
      <c r="F1342" t="s">
        <v>885</v>
      </c>
      <c r="G1342" t="s">
        <v>891</v>
      </c>
      <c r="H1342" s="1">
        <f>VLOOKUP(tbl_details5[[#This Row],[Order ID]],Orders!A:F,2,FALSE)</f>
        <v>43533</v>
      </c>
      <c r="I1342" s="1" t="str">
        <f>TEXT(tbl_details5[[#This Row],[Order Date]],"mmm-yy")</f>
        <v>Mar-19</v>
      </c>
      <c r="J1342" t="str">
        <f>VLOOKUP(tbl_details5[[#This Row],[Order ID]],Table1[],4,FALSE)</f>
        <v>Kirti</v>
      </c>
      <c r="K1342" t="str">
        <f>VLOOKUP(tbl_details5[[#This Row],[Order ID]],Table1[],5,FALSE)</f>
        <v>Jammu and Kashmir</v>
      </c>
      <c r="L1342" t="str">
        <f>VLOOKUP(tbl_details5[[#This Row],[Order ID]],Table1[],6,FALSE)</f>
        <v>Kashmir</v>
      </c>
    </row>
    <row r="1343" spans="1:12" x14ac:dyDescent="0.25">
      <c r="A1343" t="s">
        <v>829</v>
      </c>
      <c r="B1343" s="4">
        <v>93</v>
      </c>
      <c r="C1343" s="4">
        <v>31</v>
      </c>
      <c r="D1343" s="5">
        <f>tbl_details5[[#This Row],[Profit]]/tbl_details5[[#This Row],[Revenue]]</f>
        <v>0.33333333333333331</v>
      </c>
      <c r="E1343">
        <v>3</v>
      </c>
      <c r="F1343" t="s">
        <v>888</v>
      </c>
      <c r="G1343" t="s">
        <v>900</v>
      </c>
      <c r="H1343" s="1">
        <f>VLOOKUP(tbl_details5[[#This Row],[Order ID]],Orders!A:F,2,FALSE)</f>
        <v>43533</v>
      </c>
      <c r="I1343" s="1" t="str">
        <f>TEXT(tbl_details5[[#This Row],[Order Date]],"mmm-yy")</f>
        <v>Mar-19</v>
      </c>
      <c r="J1343" t="str">
        <f>VLOOKUP(tbl_details5[[#This Row],[Order ID]],Table1[],4,FALSE)</f>
        <v>Kirti</v>
      </c>
      <c r="K1343" t="str">
        <f>VLOOKUP(tbl_details5[[#This Row],[Order ID]],Table1[],5,FALSE)</f>
        <v>Jammu and Kashmir</v>
      </c>
      <c r="L1343" t="str">
        <f>VLOOKUP(tbl_details5[[#This Row],[Order ID]],Table1[],6,FALSE)</f>
        <v>Kashmir</v>
      </c>
    </row>
    <row r="1344" spans="1:12" x14ac:dyDescent="0.25">
      <c r="A1344" t="s">
        <v>829</v>
      </c>
      <c r="B1344" s="4">
        <v>594</v>
      </c>
      <c r="C1344" s="4">
        <v>89</v>
      </c>
      <c r="D1344" s="5">
        <f>tbl_details5[[#This Row],[Profit]]/tbl_details5[[#This Row],[Revenue]]</f>
        <v>0.14983164983164984</v>
      </c>
      <c r="E1344">
        <v>3</v>
      </c>
      <c r="F1344" t="s">
        <v>883</v>
      </c>
      <c r="G1344" t="s">
        <v>884</v>
      </c>
      <c r="H1344" s="1">
        <f>VLOOKUP(tbl_details5[[#This Row],[Order ID]],Orders!A:F,2,FALSE)</f>
        <v>43533</v>
      </c>
      <c r="I1344" s="1" t="str">
        <f>TEXT(tbl_details5[[#This Row],[Order Date]],"mmm-yy")</f>
        <v>Mar-19</v>
      </c>
      <c r="J1344" t="str">
        <f>VLOOKUP(tbl_details5[[#This Row],[Order ID]],Table1[],4,FALSE)</f>
        <v>Kirti</v>
      </c>
      <c r="K1344" t="str">
        <f>VLOOKUP(tbl_details5[[#This Row],[Order ID]],Table1[],5,FALSE)</f>
        <v>Jammu and Kashmir</v>
      </c>
      <c r="L1344" t="str">
        <f>VLOOKUP(tbl_details5[[#This Row],[Order ID]],Table1[],6,FALSE)</f>
        <v>Kashmir</v>
      </c>
    </row>
    <row r="1345" spans="1:12" x14ac:dyDescent="0.25">
      <c r="A1345" t="s">
        <v>829</v>
      </c>
      <c r="B1345" s="4">
        <v>85</v>
      </c>
      <c r="C1345" s="4">
        <v>2</v>
      </c>
      <c r="D1345" s="5">
        <f>tbl_details5[[#This Row],[Profit]]/tbl_details5[[#This Row],[Revenue]]</f>
        <v>2.3529411764705882E-2</v>
      </c>
      <c r="E1345">
        <v>6</v>
      </c>
      <c r="F1345" t="s">
        <v>885</v>
      </c>
      <c r="G1345" t="s">
        <v>886</v>
      </c>
      <c r="H1345" s="1">
        <f>VLOOKUP(tbl_details5[[#This Row],[Order ID]],Orders!A:F,2,FALSE)</f>
        <v>43533</v>
      </c>
      <c r="I1345" s="1" t="str">
        <f>TEXT(tbl_details5[[#This Row],[Order Date]],"mmm-yy")</f>
        <v>Mar-19</v>
      </c>
      <c r="J1345" t="str">
        <f>VLOOKUP(tbl_details5[[#This Row],[Order ID]],Table1[],4,FALSE)</f>
        <v>Kirti</v>
      </c>
      <c r="K1345" t="str">
        <f>VLOOKUP(tbl_details5[[#This Row],[Order ID]],Table1[],5,FALSE)</f>
        <v>Jammu and Kashmir</v>
      </c>
      <c r="L1345" t="str">
        <f>VLOOKUP(tbl_details5[[#This Row],[Order ID]],Table1[],6,FALSE)</f>
        <v>Kashmir</v>
      </c>
    </row>
    <row r="1346" spans="1:12" x14ac:dyDescent="0.25">
      <c r="A1346" t="s">
        <v>829</v>
      </c>
      <c r="B1346" s="4">
        <v>27</v>
      </c>
      <c r="C1346" s="4">
        <v>6</v>
      </c>
      <c r="D1346" s="5">
        <f>tbl_details5[[#This Row],[Profit]]/tbl_details5[[#This Row],[Revenue]]</f>
        <v>0.22222222222222221</v>
      </c>
      <c r="E1346">
        <v>3</v>
      </c>
      <c r="F1346" t="s">
        <v>885</v>
      </c>
      <c r="G1346" t="s">
        <v>902</v>
      </c>
      <c r="H1346" s="1">
        <f>VLOOKUP(tbl_details5[[#This Row],[Order ID]],Orders!A:F,2,FALSE)</f>
        <v>43533</v>
      </c>
      <c r="I1346" s="1" t="str">
        <f>TEXT(tbl_details5[[#This Row],[Order Date]],"mmm-yy")</f>
        <v>Mar-19</v>
      </c>
      <c r="J1346" t="str">
        <f>VLOOKUP(tbl_details5[[#This Row],[Order ID]],Table1[],4,FALSE)</f>
        <v>Kirti</v>
      </c>
      <c r="K1346" t="str">
        <f>VLOOKUP(tbl_details5[[#This Row],[Order ID]],Table1[],5,FALSE)</f>
        <v>Jammu and Kashmir</v>
      </c>
      <c r="L1346" t="str">
        <f>VLOOKUP(tbl_details5[[#This Row],[Order ID]],Table1[],6,FALSE)</f>
        <v>Kashmir</v>
      </c>
    </row>
    <row r="1347" spans="1:12" x14ac:dyDescent="0.25">
      <c r="A1347" t="s">
        <v>829</v>
      </c>
      <c r="B1347" s="4">
        <v>120</v>
      </c>
      <c r="C1347" s="4">
        <v>1</v>
      </c>
      <c r="D1347" s="5">
        <f>tbl_details5[[#This Row],[Profit]]/tbl_details5[[#This Row],[Revenue]]</f>
        <v>8.3333333333333332E-3</v>
      </c>
      <c r="E1347">
        <v>1</v>
      </c>
      <c r="F1347" t="s">
        <v>883</v>
      </c>
      <c r="G1347" t="s">
        <v>893</v>
      </c>
      <c r="H1347" s="1">
        <f>VLOOKUP(tbl_details5[[#This Row],[Order ID]],Orders!A:F,2,FALSE)</f>
        <v>43533</v>
      </c>
      <c r="I1347" s="1" t="str">
        <f>TEXT(tbl_details5[[#This Row],[Order Date]],"mmm-yy")</f>
        <v>Mar-19</v>
      </c>
      <c r="J1347" t="str">
        <f>VLOOKUP(tbl_details5[[#This Row],[Order ID]],Table1[],4,FALSE)</f>
        <v>Kirti</v>
      </c>
      <c r="K1347" t="str">
        <f>VLOOKUP(tbl_details5[[#This Row],[Order ID]],Table1[],5,FALSE)</f>
        <v>Jammu and Kashmir</v>
      </c>
      <c r="L1347" t="str">
        <f>VLOOKUP(tbl_details5[[#This Row],[Order ID]],Table1[],6,FALSE)</f>
        <v>Kashmir</v>
      </c>
    </row>
    <row r="1348" spans="1:12" x14ac:dyDescent="0.25">
      <c r="A1348" t="s">
        <v>829</v>
      </c>
      <c r="B1348" s="4">
        <v>162</v>
      </c>
      <c r="C1348" s="4">
        <v>55</v>
      </c>
      <c r="D1348" s="5">
        <f>tbl_details5[[#This Row],[Profit]]/tbl_details5[[#This Row],[Revenue]]</f>
        <v>0.33950617283950618</v>
      </c>
      <c r="E1348">
        <v>3</v>
      </c>
      <c r="F1348" t="s">
        <v>885</v>
      </c>
      <c r="G1348" t="s">
        <v>886</v>
      </c>
      <c r="H1348" s="1">
        <f>VLOOKUP(tbl_details5[[#This Row],[Order ID]],Orders!A:F,2,FALSE)</f>
        <v>43533</v>
      </c>
      <c r="I1348" s="1" t="str">
        <f>TEXT(tbl_details5[[#This Row],[Order Date]],"mmm-yy")</f>
        <v>Mar-19</v>
      </c>
      <c r="J1348" t="str">
        <f>VLOOKUP(tbl_details5[[#This Row],[Order ID]],Table1[],4,FALSE)</f>
        <v>Kirti</v>
      </c>
      <c r="K1348" t="str">
        <f>VLOOKUP(tbl_details5[[#This Row],[Order ID]],Table1[],5,FALSE)</f>
        <v>Jammu and Kashmir</v>
      </c>
      <c r="L1348" t="str">
        <f>VLOOKUP(tbl_details5[[#This Row],[Order ID]],Table1[],6,FALSE)</f>
        <v>Kashmir</v>
      </c>
    </row>
    <row r="1349" spans="1:12" x14ac:dyDescent="0.25">
      <c r="A1349" t="s">
        <v>830</v>
      </c>
      <c r="B1349" s="4">
        <v>246</v>
      </c>
      <c r="C1349" s="4">
        <v>98</v>
      </c>
      <c r="D1349" s="5">
        <f>tbl_details5[[#This Row],[Profit]]/tbl_details5[[#This Row],[Revenue]]</f>
        <v>0.3983739837398374</v>
      </c>
      <c r="E1349">
        <v>5</v>
      </c>
      <c r="F1349" t="s">
        <v>885</v>
      </c>
      <c r="G1349" t="s">
        <v>887</v>
      </c>
      <c r="H1349" s="1">
        <f>VLOOKUP(tbl_details5[[#This Row],[Order ID]],Orders!A:F,2,FALSE)</f>
        <v>43534</v>
      </c>
      <c r="I1349" s="1" t="str">
        <f>TEXT(tbl_details5[[#This Row],[Order Date]],"mmm-yy")</f>
        <v>Mar-19</v>
      </c>
      <c r="J1349" t="str">
        <f>VLOOKUP(tbl_details5[[#This Row],[Order ID]],Table1[],4,FALSE)</f>
        <v>Mayank</v>
      </c>
      <c r="K1349" t="str">
        <f>VLOOKUP(tbl_details5[[#This Row],[Order ID]],Table1[],5,FALSE)</f>
        <v>Maharashtra</v>
      </c>
      <c r="L1349" t="str">
        <f>VLOOKUP(tbl_details5[[#This Row],[Order ID]],Table1[],6,FALSE)</f>
        <v>Mumbai</v>
      </c>
    </row>
    <row r="1350" spans="1:12" x14ac:dyDescent="0.25">
      <c r="A1350" t="s">
        <v>830</v>
      </c>
      <c r="B1350" s="4">
        <v>88</v>
      </c>
      <c r="C1350" s="4">
        <v>20</v>
      </c>
      <c r="D1350" s="5">
        <f>tbl_details5[[#This Row],[Profit]]/tbl_details5[[#This Row],[Revenue]]</f>
        <v>0.22727272727272727</v>
      </c>
      <c r="E1350">
        <v>2</v>
      </c>
      <c r="F1350" t="s">
        <v>885</v>
      </c>
      <c r="G1350" t="s">
        <v>891</v>
      </c>
      <c r="H1350" s="1">
        <f>VLOOKUP(tbl_details5[[#This Row],[Order ID]],Orders!A:F,2,FALSE)</f>
        <v>43534</v>
      </c>
      <c r="I1350" s="1" t="str">
        <f>TEXT(tbl_details5[[#This Row],[Order Date]],"mmm-yy")</f>
        <v>Mar-19</v>
      </c>
      <c r="J1350" t="str">
        <f>VLOOKUP(tbl_details5[[#This Row],[Order ID]],Table1[],4,FALSE)</f>
        <v>Mayank</v>
      </c>
      <c r="K1350" t="str">
        <f>VLOOKUP(tbl_details5[[#This Row],[Order ID]],Table1[],5,FALSE)</f>
        <v>Maharashtra</v>
      </c>
      <c r="L1350" t="str">
        <f>VLOOKUP(tbl_details5[[#This Row],[Order ID]],Table1[],6,FALSE)</f>
        <v>Mumbai</v>
      </c>
    </row>
    <row r="1351" spans="1:12" x14ac:dyDescent="0.25">
      <c r="A1351" t="s">
        <v>830</v>
      </c>
      <c r="B1351" s="4">
        <v>88</v>
      </c>
      <c r="C1351" s="4">
        <v>19</v>
      </c>
      <c r="D1351" s="5">
        <f>tbl_details5[[#This Row],[Profit]]/tbl_details5[[#This Row],[Revenue]]</f>
        <v>0.21590909090909091</v>
      </c>
      <c r="E1351">
        <v>2</v>
      </c>
      <c r="F1351" t="s">
        <v>885</v>
      </c>
      <c r="G1351" t="s">
        <v>896</v>
      </c>
      <c r="H1351" s="1">
        <f>VLOOKUP(tbl_details5[[#This Row],[Order ID]],Orders!A:F,2,FALSE)</f>
        <v>43534</v>
      </c>
      <c r="I1351" s="1" t="str">
        <f>TEXT(tbl_details5[[#This Row],[Order Date]],"mmm-yy")</f>
        <v>Mar-19</v>
      </c>
      <c r="J1351" t="str">
        <f>VLOOKUP(tbl_details5[[#This Row],[Order ID]],Table1[],4,FALSE)</f>
        <v>Mayank</v>
      </c>
      <c r="K1351" t="str">
        <f>VLOOKUP(tbl_details5[[#This Row],[Order ID]],Table1[],5,FALSE)</f>
        <v>Maharashtra</v>
      </c>
      <c r="L1351" t="str">
        <f>VLOOKUP(tbl_details5[[#This Row],[Order ID]],Table1[],6,FALSE)</f>
        <v>Mumbai</v>
      </c>
    </row>
    <row r="1352" spans="1:12" x14ac:dyDescent="0.25">
      <c r="A1352" t="s">
        <v>830</v>
      </c>
      <c r="B1352" s="4">
        <v>139</v>
      </c>
      <c r="C1352" s="4">
        <v>21</v>
      </c>
      <c r="D1352" s="5">
        <f>tbl_details5[[#This Row],[Profit]]/tbl_details5[[#This Row],[Revenue]]</f>
        <v>0.15107913669064749</v>
      </c>
      <c r="E1352">
        <v>3</v>
      </c>
      <c r="F1352" t="s">
        <v>888</v>
      </c>
      <c r="G1352" t="s">
        <v>900</v>
      </c>
      <c r="H1352" s="1">
        <f>VLOOKUP(tbl_details5[[#This Row],[Order ID]],Orders!A:F,2,FALSE)</f>
        <v>43534</v>
      </c>
      <c r="I1352" s="1" t="str">
        <f>TEXT(tbl_details5[[#This Row],[Order Date]],"mmm-yy")</f>
        <v>Mar-19</v>
      </c>
      <c r="J1352" t="str">
        <f>VLOOKUP(tbl_details5[[#This Row],[Order ID]],Table1[],4,FALSE)</f>
        <v>Mayank</v>
      </c>
      <c r="K1352" t="str">
        <f>VLOOKUP(tbl_details5[[#This Row],[Order ID]],Table1[],5,FALSE)</f>
        <v>Maharashtra</v>
      </c>
      <c r="L1352" t="str">
        <f>VLOOKUP(tbl_details5[[#This Row],[Order ID]],Table1[],6,FALSE)</f>
        <v>Mumbai</v>
      </c>
    </row>
    <row r="1353" spans="1:12" x14ac:dyDescent="0.25">
      <c r="A1353" t="s">
        <v>830</v>
      </c>
      <c r="B1353" s="4">
        <v>139</v>
      </c>
      <c r="C1353" s="4">
        <v>36</v>
      </c>
      <c r="D1353" s="5">
        <f>tbl_details5[[#This Row],[Profit]]/tbl_details5[[#This Row],[Revenue]]</f>
        <v>0.25899280575539568</v>
      </c>
      <c r="E1353">
        <v>3</v>
      </c>
      <c r="F1353" t="s">
        <v>885</v>
      </c>
      <c r="G1353" t="s">
        <v>886</v>
      </c>
      <c r="H1353" s="1">
        <f>VLOOKUP(tbl_details5[[#This Row],[Order ID]],Orders!A:F,2,FALSE)</f>
        <v>43534</v>
      </c>
      <c r="I1353" s="1" t="str">
        <f>TEXT(tbl_details5[[#This Row],[Order Date]],"mmm-yy")</f>
        <v>Mar-19</v>
      </c>
      <c r="J1353" t="str">
        <f>VLOOKUP(tbl_details5[[#This Row],[Order ID]],Table1[],4,FALSE)</f>
        <v>Mayank</v>
      </c>
      <c r="K1353" t="str">
        <f>VLOOKUP(tbl_details5[[#This Row],[Order ID]],Table1[],5,FALSE)</f>
        <v>Maharashtra</v>
      </c>
      <c r="L1353" t="str">
        <f>VLOOKUP(tbl_details5[[#This Row],[Order ID]],Table1[],6,FALSE)</f>
        <v>Mumbai</v>
      </c>
    </row>
    <row r="1354" spans="1:12" x14ac:dyDescent="0.25">
      <c r="A1354" t="s">
        <v>830</v>
      </c>
      <c r="B1354" s="4">
        <v>138</v>
      </c>
      <c r="C1354" s="4">
        <v>11</v>
      </c>
      <c r="D1354" s="5">
        <f>tbl_details5[[#This Row],[Profit]]/tbl_details5[[#This Row],[Revenue]]</f>
        <v>7.9710144927536225E-2</v>
      </c>
      <c r="E1354">
        <v>5</v>
      </c>
      <c r="F1354" t="s">
        <v>885</v>
      </c>
      <c r="G1354" t="s">
        <v>886</v>
      </c>
      <c r="H1354" s="1">
        <f>VLOOKUP(tbl_details5[[#This Row],[Order ID]],Orders!A:F,2,FALSE)</f>
        <v>43534</v>
      </c>
      <c r="I1354" s="1" t="str">
        <f>TEXT(tbl_details5[[#This Row],[Order Date]],"mmm-yy")</f>
        <v>Mar-19</v>
      </c>
      <c r="J1354" t="str">
        <f>VLOOKUP(tbl_details5[[#This Row],[Order ID]],Table1[],4,FALSE)</f>
        <v>Mayank</v>
      </c>
      <c r="K1354" t="str">
        <f>VLOOKUP(tbl_details5[[#This Row],[Order ID]],Table1[],5,FALSE)</f>
        <v>Maharashtra</v>
      </c>
      <c r="L1354" t="str">
        <f>VLOOKUP(tbl_details5[[#This Row],[Order ID]],Table1[],6,FALSE)</f>
        <v>Mumbai</v>
      </c>
    </row>
    <row r="1355" spans="1:12" x14ac:dyDescent="0.25">
      <c r="A1355" t="s">
        <v>830</v>
      </c>
      <c r="B1355" s="4">
        <v>156</v>
      </c>
      <c r="C1355" s="4">
        <v>23</v>
      </c>
      <c r="D1355" s="5">
        <f>tbl_details5[[#This Row],[Profit]]/tbl_details5[[#This Row],[Revenue]]</f>
        <v>0.14743589743589744</v>
      </c>
      <c r="E1355">
        <v>3</v>
      </c>
      <c r="F1355" t="s">
        <v>885</v>
      </c>
      <c r="G1355" t="s">
        <v>886</v>
      </c>
      <c r="H1355" s="1">
        <f>VLOOKUP(tbl_details5[[#This Row],[Order ID]],Orders!A:F,2,FALSE)</f>
        <v>43534</v>
      </c>
      <c r="I1355" s="1" t="str">
        <f>TEXT(tbl_details5[[#This Row],[Order Date]],"mmm-yy")</f>
        <v>Mar-19</v>
      </c>
      <c r="J1355" t="str">
        <f>VLOOKUP(tbl_details5[[#This Row],[Order ID]],Table1[],4,FALSE)</f>
        <v>Mayank</v>
      </c>
      <c r="K1355" t="str">
        <f>VLOOKUP(tbl_details5[[#This Row],[Order ID]],Table1[],5,FALSE)</f>
        <v>Maharashtra</v>
      </c>
      <c r="L1355" t="str">
        <f>VLOOKUP(tbl_details5[[#This Row],[Order ID]],Table1[],6,FALSE)</f>
        <v>Mumbai</v>
      </c>
    </row>
    <row r="1356" spans="1:12" x14ac:dyDescent="0.25">
      <c r="A1356" t="s">
        <v>830</v>
      </c>
      <c r="B1356" s="4">
        <v>559</v>
      </c>
      <c r="C1356" s="4">
        <v>174</v>
      </c>
      <c r="D1356" s="5">
        <f>tbl_details5[[#This Row],[Profit]]/tbl_details5[[#This Row],[Revenue]]</f>
        <v>0.31127012522361358</v>
      </c>
      <c r="E1356">
        <v>2</v>
      </c>
      <c r="F1356" t="s">
        <v>888</v>
      </c>
      <c r="G1356" t="s">
        <v>889</v>
      </c>
      <c r="H1356" s="1">
        <f>VLOOKUP(tbl_details5[[#This Row],[Order ID]],Orders!A:F,2,FALSE)</f>
        <v>43534</v>
      </c>
      <c r="I1356" s="1" t="str">
        <f>TEXT(tbl_details5[[#This Row],[Order Date]],"mmm-yy")</f>
        <v>Mar-19</v>
      </c>
      <c r="J1356" t="str">
        <f>VLOOKUP(tbl_details5[[#This Row],[Order ID]],Table1[],4,FALSE)</f>
        <v>Mayank</v>
      </c>
      <c r="K1356" t="str">
        <f>VLOOKUP(tbl_details5[[#This Row],[Order ID]],Table1[],5,FALSE)</f>
        <v>Maharashtra</v>
      </c>
      <c r="L1356" t="str">
        <f>VLOOKUP(tbl_details5[[#This Row],[Order ID]],Table1[],6,FALSE)</f>
        <v>Mumbai</v>
      </c>
    </row>
    <row r="1357" spans="1:12" x14ac:dyDescent="0.25">
      <c r="A1357" t="s">
        <v>831</v>
      </c>
      <c r="B1357" s="4">
        <v>227</v>
      </c>
      <c r="C1357" s="4">
        <v>48</v>
      </c>
      <c r="D1357" s="5">
        <f>tbl_details5[[#This Row],[Profit]]/tbl_details5[[#This Row],[Revenue]]</f>
        <v>0.21145374449339208</v>
      </c>
      <c r="E1357">
        <v>5</v>
      </c>
      <c r="F1357" t="s">
        <v>885</v>
      </c>
      <c r="G1357" t="s">
        <v>886</v>
      </c>
      <c r="H1357" s="1">
        <f>VLOOKUP(tbl_details5[[#This Row],[Order ID]],Orders!A:F,2,FALSE)</f>
        <v>43534</v>
      </c>
      <c r="I1357" s="1" t="str">
        <f>TEXT(tbl_details5[[#This Row],[Order Date]],"mmm-yy")</f>
        <v>Mar-19</v>
      </c>
      <c r="J1357" t="str">
        <f>VLOOKUP(tbl_details5[[#This Row],[Order ID]],Table1[],4,FALSE)</f>
        <v>Yaanvi</v>
      </c>
      <c r="K1357" t="str">
        <f>VLOOKUP(tbl_details5[[#This Row],[Order ID]],Table1[],5,FALSE)</f>
        <v>Madhya Pradesh</v>
      </c>
      <c r="L1357" t="str">
        <f>VLOOKUP(tbl_details5[[#This Row],[Order ID]],Table1[],6,FALSE)</f>
        <v>Indore</v>
      </c>
    </row>
    <row r="1358" spans="1:12" x14ac:dyDescent="0.25">
      <c r="A1358" t="s">
        <v>831</v>
      </c>
      <c r="B1358" s="4">
        <v>5729</v>
      </c>
      <c r="C1358" s="4">
        <v>64</v>
      </c>
      <c r="D1358" s="5">
        <f>tbl_details5[[#This Row],[Profit]]/tbl_details5[[#This Row],[Revenue]]</f>
        <v>1.1171234072263921E-2</v>
      </c>
      <c r="E1358">
        <v>14</v>
      </c>
      <c r="F1358" t="s">
        <v>883</v>
      </c>
      <c r="G1358" t="s">
        <v>893</v>
      </c>
      <c r="H1358" s="1">
        <f>VLOOKUP(tbl_details5[[#This Row],[Order ID]],Orders!A:F,2,FALSE)</f>
        <v>43534</v>
      </c>
      <c r="I1358" s="1" t="str">
        <f>TEXT(tbl_details5[[#This Row],[Order Date]],"mmm-yy")</f>
        <v>Mar-19</v>
      </c>
      <c r="J1358" t="str">
        <f>VLOOKUP(tbl_details5[[#This Row],[Order ID]],Table1[],4,FALSE)</f>
        <v>Yaanvi</v>
      </c>
      <c r="K1358" t="str">
        <f>VLOOKUP(tbl_details5[[#This Row],[Order ID]],Table1[],5,FALSE)</f>
        <v>Madhya Pradesh</v>
      </c>
      <c r="L1358" t="str">
        <f>VLOOKUP(tbl_details5[[#This Row],[Order ID]],Table1[],6,FALSE)</f>
        <v>Indore</v>
      </c>
    </row>
    <row r="1359" spans="1:12" x14ac:dyDescent="0.25">
      <c r="A1359" t="s">
        <v>831</v>
      </c>
      <c r="B1359" s="4">
        <v>94</v>
      </c>
      <c r="C1359" s="4">
        <v>27</v>
      </c>
      <c r="D1359" s="5">
        <f>tbl_details5[[#This Row],[Profit]]/tbl_details5[[#This Row],[Revenue]]</f>
        <v>0.28723404255319152</v>
      </c>
      <c r="E1359">
        <v>2</v>
      </c>
      <c r="F1359" t="s">
        <v>885</v>
      </c>
      <c r="G1359" t="s">
        <v>895</v>
      </c>
      <c r="H1359" s="1">
        <f>VLOOKUP(tbl_details5[[#This Row],[Order ID]],Orders!A:F,2,FALSE)</f>
        <v>43534</v>
      </c>
      <c r="I1359" s="1" t="str">
        <f>TEXT(tbl_details5[[#This Row],[Order Date]],"mmm-yy")</f>
        <v>Mar-19</v>
      </c>
      <c r="J1359" t="str">
        <f>VLOOKUP(tbl_details5[[#This Row],[Order ID]],Table1[],4,FALSE)</f>
        <v>Yaanvi</v>
      </c>
      <c r="K1359" t="str">
        <f>VLOOKUP(tbl_details5[[#This Row],[Order ID]],Table1[],5,FALSE)</f>
        <v>Madhya Pradesh</v>
      </c>
      <c r="L1359" t="str">
        <f>VLOOKUP(tbl_details5[[#This Row],[Order ID]],Table1[],6,FALSE)</f>
        <v>Indore</v>
      </c>
    </row>
    <row r="1360" spans="1:12" x14ac:dyDescent="0.25">
      <c r="A1360" t="s">
        <v>831</v>
      </c>
      <c r="B1360" s="4">
        <v>213</v>
      </c>
      <c r="C1360" s="4">
        <v>4</v>
      </c>
      <c r="D1360" s="5">
        <f>tbl_details5[[#This Row],[Profit]]/tbl_details5[[#This Row],[Revenue]]</f>
        <v>1.8779342723004695E-2</v>
      </c>
      <c r="E1360">
        <v>14</v>
      </c>
      <c r="F1360" t="s">
        <v>885</v>
      </c>
      <c r="G1360" t="s">
        <v>896</v>
      </c>
      <c r="H1360" s="1">
        <f>VLOOKUP(tbl_details5[[#This Row],[Order ID]],Orders!A:F,2,FALSE)</f>
        <v>43534</v>
      </c>
      <c r="I1360" s="1" t="str">
        <f>TEXT(tbl_details5[[#This Row],[Order Date]],"mmm-yy")</f>
        <v>Mar-19</v>
      </c>
      <c r="J1360" t="str">
        <f>VLOOKUP(tbl_details5[[#This Row],[Order ID]],Table1[],4,FALSE)</f>
        <v>Yaanvi</v>
      </c>
      <c r="K1360" t="str">
        <f>VLOOKUP(tbl_details5[[#This Row],[Order ID]],Table1[],5,FALSE)</f>
        <v>Madhya Pradesh</v>
      </c>
      <c r="L1360" t="str">
        <f>VLOOKUP(tbl_details5[[#This Row],[Order ID]],Table1[],6,FALSE)</f>
        <v>Indore</v>
      </c>
    </row>
    <row r="1361" spans="1:12" x14ac:dyDescent="0.25">
      <c r="A1361" t="s">
        <v>831</v>
      </c>
      <c r="B1361" s="4">
        <v>250</v>
      </c>
      <c r="C1361" s="4">
        <v>-12</v>
      </c>
      <c r="D1361" s="5">
        <f>tbl_details5[[#This Row],[Profit]]/tbl_details5[[#This Row],[Revenue]]</f>
        <v>-4.8000000000000001E-2</v>
      </c>
      <c r="E1361">
        <v>2</v>
      </c>
      <c r="F1361" t="s">
        <v>888</v>
      </c>
      <c r="G1361" t="s">
        <v>899</v>
      </c>
      <c r="H1361" s="1">
        <f>VLOOKUP(tbl_details5[[#This Row],[Order ID]],Orders!A:F,2,FALSE)</f>
        <v>43534</v>
      </c>
      <c r="I1361" s="1" t="str">
        <f>TEXT(tbl_details5[[#This Row],[Order Date]],"mmm-yy")</f>
        <v>Mar-19</v>
      </c>
      <c r="J1361" t="str">
        <f>VLOOKUP(tbl_details5[[#This Row],[Order ID]],Table1[],4,FALSE)</f>
        <v>Yaanvi</v>
      </c>
      <c r="K1361" t="str">
        <f>VLOOKUP(tbl_details5[[#This Row],[Order ID]],Table1[],5,FALSE)</f>
        <v>Madhya Pradesh</v>
      </c>
      <c r="L1361" t="str">
        <f>VLOOKUP(tbl_details5[[#This Row],[Order ID]],Table1[],6,FALSE)</f>
        <v>Indore</v>
      </c>
    </row>
    <row r="1362" spans="1:12" x14ac:dyDescent="0.25">
      <c r="A1362" t="s">
        <v>831</v>
      </c>
      <c r="B1362" s="4">
        <v>43</v>
      </c>
      <c r="C1362" s="4">
        <v>11</v>
      </c>
      <c r="D1362" s="5">
        <f>tbl_details5[[#This Row],[Profit]]/tbl_details5[[#This Row],[Revenue]]</f>
        <v>0.2558139534883721</v>
      </c>
      <c r="E1362">
        <v>1</v>
      </c>
      <c r="F1362" t="s">
        <v>885</v>
      </c>
      <c r="G1362" t="s">
        <v>891</v>
      </c>
      <c r="H1362" s="1">
        <f>VLOOKUP(tbl_details5[[#This Row],[Order ID]],Orders!A:F,2,FALSE)</f>
        <v>43534</v>
      </c>
      <c r="I1362" s="1" t="str">
        <f>TEXT(tbl_details5[[#This Row],[Order Date]],"mmm-yy")</f>
        <v>Mar-19</v>
      </c>
      <c r="J1362" t="str">
        <f>VLOOKUP(tbl_details5[[#This Row],[Order ID]],Table1[],4,FALSE)</f>
        <v>Yaanvi</v>
      </c>
      <c r="K1362" t="str">
        <f>VLOOKUP(tbl_details5[[#This Row],[Order ID]],Table1[],5,FALSE)</f>
        <v>Madhya Pradesh</v>
      </c>
      <c r="L1362" t="str">
        <f>VLOOKUP(tbl_details5[[#This Row],[Order ID]],Table1[],6,FALSE)</f>
        <v>Indore</v>
      </c>
    </row>
    <row r="1363" spans="1:12" x14ac:dyDescent="0.25">
      <c r="A1363" t="s">
        <v>831</v>
      </c>
      <c r="B1363" s="4">
        <v>1218</v>
      </c>
      <c r="C1363" s="4">
        <v>420</v>
      </c>
      <c r="D1363" s="5">
        <f>tbl_details5[[#This Row],[Profit]]/tbl_details5[[#This Row],[Revenue]]</f>
        <v>0.34482758620689657</v>
      </c>
      <c r="E1363">
        <v>8</v>
      </c>
      <c r="F1363" t="s">
        <v>883</v>
      </c>
      <c r="G1363" t="s">
        <v>884</v>
      </c>
      <c r="H1363" s="1">
        <f>VLOOKUP(tbl_details5[[#This Row],[Order ID]],Orders!A:F,2,FALSE)</f>
        <v>43534</v>
      </c>
      <c r="I1363" s="1" t="str">
        <f>TEXT(tbl_details5[[#This Row],[Order Date]],"mmm-yy")</f>
        <v>Mar-19</v>
      </c>
      <c r="J1363" t="str">
        <f>VLOOKUP(tbl_details5[[#This Row],[Order ID]],Table1[],4,FALSE)</f>
        <v>Yaanvi</v>
      </c>
      <c r="K1363" t="str">
        <f>VLOOKUP(tbl_details5[[#This Row],[Order ID]],Table1[],5,FALSE)</f>
        <v>Madhya Pradesh</v>
      </c>
      <c r="L1363" t="str">
        <f>VLOOKUP(tbl_details5[[#This Row],[Order ID]],Table1[],6,FALSE)</f>
        <v>Indore</v>
      </c>
    </row>
    <row r="1364" spans="1:12" x14ac:dyDescent="0.25">
      <c r="A1364" t="s">
        <v>831</v>
      </c>
      <c r="B1364" s="4">
        <v>671</v>
      </c>
      <c r="C1364" s="4">
        <v>114</v>
      </c>
      <c r="D1364" s="5">
        <f>tbl_details5[[#This Row],[Profit]]/tbl_details5[[#This Row],[Revenue]]</f>
        <v>0.16989567809239942</v>
      </c>
      <c r="E1364">
        <v>9</v>
      </c>
      <c r="F1364" t="s">
        <v>888</v>
      </c>
      <c r="G1364" t="s">
        <v>890</v>
      </c>
      <c r="H1364" s="1">
        <f>VLOOKUP(tbl_details5[[#This Row],[Order ID]],Orders!A:F,2,FALSE)</f>
        <v>43534</v>
      </c>
      <c r="I1364" s="1" t="str">
        <f>TEXT(tbl_details5[[#This Row],[Order Date]],"mmm-yy")</f>
        <v>Mar-19</v>
      </c>
      <c r="J1364" t="str">
        <f>VLOOKUP(tbl_details5[[#This Row],[Order ID]],Table1[],4,FALSE)</f>
        <v>Yaanvi</v>
      </c>
      <c r="K1364" t="str">
        <f>VLOOKUP(tbl_details5[[#This Row],[Order ID]],Table1[],5,FALSE)</f>
        <v>Madhya Pradesh</v>
      </c>
      <c r="L1364" t="str">
        <f>VLOOKUP(tbl_details5[[#This Row],[Order ID]],Table1[],6,FALSE)</f>
        <v>Indore</v>
      </c>
    </row>
    <row r="1365" spans="1:12" x14ac:dyDescent="0.25">
      <c r="A1365" t="s">
        <v>831</v>
      </c>
      <c r="B1365" s="4">
        <v>57</v>
      </c>
      <c r="C1365" s="4">
        <v>7</v>
      </c>
      <c r="D1365" s="5">
        <f>tbl_details5[[#This Row],[Profit]]/tbl_details5[[#This Row],[Revenue]]</f>
        <v>0.12280701754385964</v>
      </c>
      <c r="E1365">
        <v>2</v>
      </c>
      <c r="F1365" t="s">
        <v>885</v>
      </c>
      <c r="G1365" t="s">
        <v>896</v>
      </c>
      <c r="H1365" s="1">
        <f>VLOOKUP(tbl_details5[[#This Row],[Order ID]],Orders!A:F,2,FALSE)</f>
        <v>43534</v>
      </c>
      <c r="I1365" s="1" t="str">
        <f>TEXT(tbl_details5[[#This Row],[Order Date]],"mmm-yy")</f>
        <v>Mar-19</v>
      </c>
      <c r="J1365" t="str">
        <f>VLOOKUP(tbl_details5[[#This Row],[Order ID]],Table1[],4,FALSE)</f>
        <v>Yaanvi</v>
      </c>
      <c r="K1365" t="str">
        <f>VLOOKUP(tbl_details5[[#This Row],[Order ID]],Table1[],5,FALSE)</f>
        <v>Madhya Pradesh</v>
      </c>
      <c r="L1365" t="str">
        <f>VLOOKUP(tbl_details5[[#This Row],[Order ID]],Table1[],6,FALSE)</f>
        <v>Indore</v>
      </c>
    </row>
    <row r="1366" spans="1:12" x14ac:dyDescent="0.25">
      <c r="A1366" t="s">
        <v>832</v>
      </c>
      <c r="B1366" s="4">
        <v>70</v>
      </c>
      <c r="C1366" s="4">
        <v>24</v>
      </c>
      <c r="D1366" s="5">
        <f>tbl_details5[[#This Row],[Profit]]/tbl_details5[[#This Row],[Revenue]]</f>
        <v>0.34285714285714286</v>
      </c>
      <c r="E1366">
        <v>3</v>
      </c>
      <c r="F1366" t="s">
        <v>885</v>
      </c>
      <c r="G1366" t="s">
        <v>886</v>
      </c>
      <c r="H1366" s="1">
        <f>VLOOKUP(tbl_details5[[#This Row],[Order ID]],Orders!A:F,2,FALSE)</f>
        <v>43534</v>
      </c>
      <c r="I1366" s="1" t="str">
        <f>TEXT(tbl_details5[[#This Row],[Order Date]],"mmm-yy")</f>
        <v>Mar-19</v>
      </c>
      <c r="J1366" t="str">
        <f>VLOOKUP(tbl_details5[[#This Row],[Order ID]],Table1[],4,FALSE)</f>
        <v>Sonal</v>
      </c>
      <c r="K1366" t="str">
        <f>VLOOKUP(tbl_details5[[#This Row],[Order ID]],Table1[],5,FALSE)</f>
        <v>Bihar</v>
      </c>
      <c r="L1366" t="str">
        <f>VLOOKUP(tbl_details5[[#This Row],[Order ID]],Table1[],6,FALSE)</f>
        <v>Patna</v>
      </c>
    </row>
    <row r="1367" spans="1:12" x14ac:dyDescent="0.25">
      <c r="A1367" t="s">
        <v>832</v>
      </c>
      <c r="B1367" s="4">
        <v>47</v>
      </c>
      <c r="C1367" s="4">
        <v>20</v>
      </c>
      <c r="D1367" s="5">
        <f>tbl_details5[[#This Row],[Profit]]/tbl_details5[[#This Row],[Revenue]]</f>
        <v>0.42553191489361702</v>
      </c>
      <c r="E1367">
        <v>7</v>
      </c>
      <c r="F1367" t="s">
        <v>885</v>
      </c>
      <c r="G1367" t="s">
        <v>887</v>
      </c>
      <c r="H1367" s="1">
        <f>VLOOKUP(tbl_details5[[#This Row],[Order ID]],Orders!A:F,2,FALSE)</f>
        <v>43534</v>
      </c>
      <c r="I1367" s="1" t="str">
        <f>TEXT(tbl_details5[[#This Row],[Order Date]],"mmm-yy")</f>
        <v>Mar-19</v>
      </c>
      <c r="J1367" t="str">
        <f>VLOOKUP(tbl_details5[[#This Row],[Order ID]],Table1[],4,FALSE)</f>
        <v>Sonal</v>
      </c>
      <c r="K1367" t="str">
        <f>VLOOKUP(tbl_details5[[#This Row],[Order ID]],Table1[],5,FALSE)</f>
        <v>Bihar</v>
      </c>
      <c r="L1367" t="str">
        <f>VLOOKUP(tbl_details5[[#This Row],[Order ID]],Table1[],6,FALSE)</f>
        <v>Patna</v>
      </c>
    </row>
    <row r="1368" spans="1:12" x14ac:dyDescent="0.25">
      <c r="A1368" t="s">
        <v>832</v>
      </c>
      <c r="B1368" s="4">
        <v>33</v>
      </c>
      <c r="C1368" s="4">
        <v>9</v>
      </c>
      <c r="D1368" s="5">
        <f>tbl_details5[[#This Row],[Profit]]/tbl_details5[[#This Row],[Revenue]]</f>
        <v>0.27272727272727271</v>
      </c>
      <c r="E1368">
        <v>2</v>
      </c>
      <c r="F1368" t="s">
        <v>885</v>
      </c>
      <c r="G1368" t="s">
        <v>887</v>
      </c>
      <c r="H1368" s="1">
        <f>VLOOKUP(tbl_details5[[#This Row],[Order ID]],Orders!A:F,2,FALSE)</f>
        <v>43534</v>
      </c>
      <c r="I1368" s="1" t="str">
        <f>TEXT(tbl_details5[[#This Row],[Order Date]],"mmm-yy")</f>
        <v>Mar-19</v>
      </c>
      <c r="J1368" t="str">
        <f>VLOOKUP(tbl_details5[[#This Row],[Order ID]],Table1[],4,FALSE)</f>
        <v>Sonal</v>
      </c>
      <c r="K1368" t="str">
        <f>VLOOKUP(tbl_details5[[#This Row],[Order ID]],Table1[],5,FALSE)</f>
        <v>Bihar</v>
      </c>
      <c r="L1368" t="str">
        <f>VLOOKUP(tbl_details5[[#This Row],[Order ID]],Table1[],6,FALSE)</f>
        <v>Patna</v>
      </c>
    </row>
    <row r="1369" spans="1:12" x14ac:dyDescent="0.25">
      <c r="A1369" t="s">
        <v>832</v>
      </c>
      <c r="B1369" s="4">
        <v>424</v>
      </c>
      <c r="C1369" s="4">
        <v>161</v>
      </c>
      <c r="D1369" s="5">
        <f>tbl_details5[[#This Row],[Profit]]/tbl_details5[[#This Row],[Revenue]]</f>
        <v>0.37971698113207547</v>
      </c>
      <c r="E1369">
        <v>2</v>
      </c>
      <c r="F1369" t="s">
        <v>885</v>
      </c>
      <c r="G1369" t="s">
        <v>891</v>
      </c>
      <c r="H1369" s="1">
        <f>VLOOKUP(tbl_details5[[#This Row],[Order ID]],Orders!A:F,2,FALSE)</f>
        <v>43534</v>
      </c>
      <c r="I1369" s="1" t="str">
        <f>TEXT(tbl_details5[[#This Row],[Order Date]],"mmm-yy")</f>
        <v>Mar-19</v>
      </c>
      <c r="J1369" t="str">
        <f>VLOOKUP(tbl_details5[[#This Row],[Order ID]],Table1[],4,FALSE)</f>
        <v>Sonal</v>
      </c>
      <c r="K1369" t="str">
        <f>VLOOKUP(tbl_details5[[#This Row],[Order ID]],Table1[],5,FALSE)</f>
        <v>Bihar</v>
      </c>
      <c r="L1369" t="str">
        <f>VLOOKUP(tbl_details5[[#This Row],[Order ID]],Table1[],6,FALSE)</f>
        <v>Patna</v>
      </c>
    </row>
    <row r="1370" spans="1:12" x14ac:dyDescent="0.25">
      <c r="A1370" t="s">
        <v>832</v>
      </c>
      <c r="B1370" s="4">
        <v>391</v>
      </c>
      <c r="C1370" s="4">
        <v>90</v>
      </c>
      <c r="D1370" s="5">
        <f>tbl_details5[[#This Row],[Profit]]/tbl_details5[[#This Row],[Revenue]]</f>
        <v>0.23017902813299232</v>
      </c>
      <c r="E1370">
        <v>6</v>
      </c>
      <c r="F1370" t="s">
        <v>888</v>
      </c>
      <c r="G1370" t="s">
        <v>890</v>
      </c>
      <c r="H1370" s="1">
        <f>VLOOKUP(tbl_details5[[#This Row],[Order ID]],Orders!A:F,2,FALSE)</f>
        <v>43534</v>
      </c>
      <c r="I1370" s="1" t="str">
        <f>TEXT(tbl_details5[[#This Row],[Order Date]],"mmm-yy")</f>
        <v>Mar-19</v>
      </c>
      <c r="J1370" t="str">
        <f>VLOOKUP(tbl_details5[[#This Row],[Order ID]],Table1[],4,FALSE)</f>
        <v>Sonal</v>
      </c>
      <c r="K1370" t="str">
        <f>VLOOKUP(tbl_details5[[#This Row],[Order ID]],Table1[],5,FALSE)</f>
        <v>Bihar</v>
      </c>
      <c r="L1370" t="str">
        <f>VLOOKUP(tbl_details5[[#This Row],[Order ID]],Table1[],6,FALSE)</f>
        <v>Patna</v>
      </c>
    </row>
    <row r="1371" spans="1:12" x14ac:dyDescent="0.25">
      <c r="A1371" t="s">
        <v>832</v>
      </c>
      <c r="B1371" s="4">
        <v>15</v>
      </c>
      <c r="C1371" s="4">
        <v>6</v>
      </c>
      <c r="D1371" s="5">
        <f>tbl_details5[[#This Row],[Profit]]/tbl_details5[[#This Row],[Revenue]]</f>
        <v>0.4</v>
      </c>
      <c r="E1371">
        <v>2</v>
      </c>
      <c r="F1371" t="s">
        <v>885</v>
      </c>
      <c r="G1371" t="s">
        <v>887</v>
      </c>
      <c r="H1371" s="1">
        <f>VLOOKUP(tbl_details5[[#This Row],[Order ID]],Orders!A:F,2,FALSE)</f>
        <v>43534</v>
      </c>
      <c r="I1371" s="1" t="str">
        <f>TEXT(tbl_details5[[#This Row],[Order Date]],"mmm-yy")</f>
        <v>Mar-19</v>
      </c>
      <c r="J1371" t="str">
        <f>VLOOKUP(tbl_details5[[#This Row],[Order ID]],Table1[],4,FALSE)</f>
        <v>Sonal</v>
      </c>
      <c r="K1371" t="str">
        <f>VLOOKUP(tbl_details5[[#This Row],[Order ID]],Table1[],5,FALSE)</f>
        <v>Bihar</v>
      </c>
      <c r="L1371" t="str">
        <f>VLOOKUP(tbl_details5[[#This Row],[Order ID]],Table1[],6,FALSE)</f>
        <v>Patna</v>
      </c>
    </row>
    <row r="1372" spans="1:12" x14ac:dyDescent="0.25">
      <c r="A1372" t="s">
        <v>832</v>
      </c>
      <c r="B1372" s="4">
        <v>101</v>
      </c>
      <c r="C1372" s="4">
        <v>11</v>
      </c>
      <c r="D1372" s="5">
        <f>tbl_details5[[#This Row],[Profit]]/tbl_details5[[#This Row],[Revenue]]</f>
        <v>0.10891089108910891</v>
      </c>
      <c r="E1372">
        <v>2</v>
      </c>
      <c r="F1372" t="s">
        <v>885</v>
      </c>
      <c r="G1372" t="s">
        <v>887</v>
      </c>
      <c r="H1372" s="1">
        <f>VLOOKUP(tbl_details5[[#This Row],[Order ID]],Orders!A:F,2,FALSE)</f>
        <v>43534</v>
      </c>
      <c r="I1372" s="1" t="str">
        <f>TEXT(tbl_details5[[#This Row],[Order Date]],"mmm-yy")</f>
        <v>Mar-19</v>
      </c>
      <c r="J1372" t="str">
        <f>VLOOKUP(tbl_details5[[#This Row],[Order ID]],Table1[],4,FALSE)</f>
        <v>Sonal</v>
      </c>
      <c r="K1372" t="str">
        <f>VLOOKUP(tbl_details5[[#This Row],[Order ID]],Table1[],5,FALSE)</f>
        <v>Bihar</v>
      </c>
      <c r="L1372" t="str">
        <f>VLOOKUP(tbl_details5[[#This Row],[Order ID]],Table1[],6,FALSE)</f>
        <v>Patna</v>
      </c>
    </row>
    <row r="1373" spans="1:12" x14ac:dyDescent="0.25">
      <c r="A1373" t="s">
        <v>832</v>
      </c>
      <c r="B1373" s="4">
        <v>31</v>
      </c>
      <c r="C1373" s="4">
        <v>9</v>
      </c>
      <c r="D1373" s="5">
        <f>tbl_details5[[#This Row],[Profit]]/tbl_details5[[#This Row],[Revenue]]</f>
        <v>0.29032258064516131</v>
      </c>
      <c r="E1373">
        <v>2</v>
      </c>
      <c r="F1373" t="s">
        <v>885</v>
      </c>
      <c r="G1373" t="s">
        <v>887</v>
      </c>
      <c r="H1373" s="1">
        <f>VLOOKUP(tbl_details5[[#This Row],[Order ID]],Orders!A:F,2,FALSE)</f>
        <v>43534</v>
      </c>
      <c r="I1373" s="1" t="str">
        <f>TEXT(tbl_details5[[#This Row],[Order Date]],"mmm-yy")</f>
        <v>Mar-19</v>
      </c>
      <c r="J1373" t="str">
        <f>VLOOKUP(tbl_details5[[#This Row],[Order ID]],Table1[],4,FALSE)</f>
        <v>Sonal</v>
      </c>
      <c r="K1373" t="str">
        <f>VLOOKUP(tbl_details5[[#This Row],[Order ID]],Table1[],5,FALSE)</f>
        <v>Bihar</v>
      </c>
      <c r="L1373" t="str">
        <f>VLOOKUP(tbl_details5[[#This Row],[Order ID]],Table1[],6,FALSE)</f>
        <v>Patna</v>
      </c>
    </row>
    <row r="1374" spans="1:12" x14ac:dyDescent="0.25">
      <c r="A1374" t="s">
        <v>832</v>
      </c>
      <c r="B1374" s="4">
        <v>220</v>
      </c>
      <c r="C1374" s="4">
        <v>40</v>
      </c>
      <c r="D1374" s="5">
        <f>tbl_details5[[#This Row],[Profit]]/tbl_details5[[#This Row],[Revenue]]</f>
        <v>0.18181818181818182</v>
      </c>
      <c r="E1374">
        <v>2</v>
      </c>
      <c r="F1374" t="s">
        <v>888</v>
      </c>
      <c r="G1374" t="s">
        <v>900</v>
      </c>
      <c r="H1374" s="1">
        <f>VLOOKUP(tbl_details5[[#This Row],[Order ID]],Orders!A:F,2,FALSE)</f>
        <v>43534</v>
      </c>
      <c r="I1374" s="1" t="str">
        <f>TEXT(tbl_details5[[#This Row],[Order Date]],"mmm-yy")</f>
        <v>Mar-19</v>
      </c>
      <c r="J1374" t="str">
        <f>VLOOKUP(tbl_details5[[#This Row],[Order ID]],Table1[],4,FALSE)</f>
        <v>Sonal</v>
      </c>
      <c r="K1374" t="str">
        <f>VLOOKUP(tbl_details5[[#This Row],[Order ID]],Table1[],5,FALSE)</f>
        <v>Bihar</v>
      </c>
      <c r="L1374" t="str">
        <f>VLOOKUP(tbl_details5[[#This Row],[Order ID]],Table1[],6,FALSE)</f>
        <v>Patna</v>
      </c>
    </row>
    <row r="1375" spans="1:12" x14ac:dyDescent="0.25">
      <c r="A1375" t="s">
        <v>832</v>
      </c>
      <c r="B1375" s="4">
        <v>213</v>
      </c>
      <c r="C1375" s="4">
        <v>-145</v>
      </c>
      <c r="D1375" s="5">
        <f>tbl_details5[[#This Row],[Profit]]/tbl_details5[[#This Row],[Revenue]]</f>
        <v>-0.68075117370892024</v>
      </c>
      <c r="E1375">
        <v>3</v>
      </c>
      <c r="F1375" t="s">
        <v>883</v>
      </c>
      <c r="G1375" t="s">
        <v>884</v>
      </c>
      <c r="H1375" s="1">
        <f>VLOOKUP(tbl_details5[[#This Row],[Order ID]],Orders!A:F,2,FALSE)</f>
        <v>43534</v>
      </c>
      <c r="I1375" s="1" t="str">
        <f>TEXT(tbl_details5[[#This Row],[Order Date]],"mmm-yy")</f>
        <v>Mar-19</v>
      </c>
      <c r="J1375" t="str">
        <f>VLOOKUP(tbl_details5[[#This Row],[Order ID]],Table1[],4,FALSE)</f>
        <v>Sonal</v>
      </c>
      <c r="K1375" t="str">
        <f>VLOOKUP(tbl_details5[[#This Row],[Order ID]],Table1[],5,FALSE)</f>
        <v>Bihar</v>
      </c>
      <c r="L1375" t="str">
        <f>VLOOKUP(tbl_details5[[#This Row],[Order ID]],Table1[],6,FALSE)</f>
        <v>Patna</v>
      </c>
    </row>
    <row r="1376" spans="1:12" x14ac:dyDescent="0.25">
      <c r="A1376" t="s">
        <v>832</v>
      </c>
      <c r="B1376" s="4">
        <v>19</v>
      </c>
      <c r="C1376" s="4">
        <v>-18</v>
      </c>
      <c r="D1376" s="5">
        <f>tbl_details5[[#This Row],[Profit]]/tbl_details5[[#This Row],[Revenue]]</f>
        <v>-0.94736842105263153</v>
      </c>
      <c r="E1376">
        <v>4</v>
      </c>
      <c r="F1376" t="s">
        <v>885</v>
      </c>
      <c r="G1376" t="s">
        <v>894</v>
      </c>
      <c r="H1376" s="1">
        <f>VLOOKUP(tbl_details5[[#This Row],[Order ID]],Orders!A:F,2,FALSE)</f>
        <v>43534</v>
      </c>
      <c r="I1376" s="1" t="str">
        <f>TEXT(tbl_details5[[#This Row],[Order Date]],"mmm-yy")</f>
        <v>Mar-19</v>
      </c>
      <c r="J1376" t="str">
        <f>VLOOKUP(tbl_details5[[#This Row],[Order ID]],Table1[],4,FALSE)</f>
        <v>Sonal</v>
      </c>
      <c r="K1376" t="str">
        <f>VLOOKUP(tbl_details5[[#This Row],[Order ID]],Table1[],5,FALSE)</f>
        <v>Bihar</v>
      </c>
      <c r="L1376" t="str">
        <f>VLOOKUP(tbl_details5[[#This Row],[Order ID]],Table1[],6,FALSE)</f>
        <v>Patna</v>
      </c>
    </row>
    <row r="1377" spans="1:12" x14ac:dyDescent="0.25">
      <c r="A1377" t="s">
        <v>832</v>
      </c>
      <c r="B1377" s="4">
        <v>206</v>
      </c>
      <c r="C1377" s="4">
        <v>18</v>
      </c>
      <c r="D1377" s="5">
        <f>tbl_details5[[#This Row],[Profit]]/tbl_details5[[#This Row],[Revenue]]</f>
        <v>8.7378640776699032E-2</v>
      </c>
      <c r="E1377">
        <v>4</v>
      </c>
      <c r="F1377" t="s">
        <v>885</v>
      </c>
      <c r="G1377" t="s">
        <v>887</v>
      </c>
      <c r="H1377" s="1">
        <f>VLOOKUP(tbl_details5[[#This Row],[Order ID]],Orders!A:F,2,FALSE)</f>
        <v>43534</v>
      </c>
      <c r="I1377" s="1" t="str">
        <f>TEXT(tbl_details5[[#This Row],[Order Date]],"mmm-yy")</f>
        <v>Mar-19</v>
      </c>
      <c r="J1377" t="str">
        <f>VLOOKUP(tbl_details5[[#This Row],[Order ID]],Table1[],4,FALSE)</f>
        <v>Sonal</v>
      </c>
      <c r="K1377" t="str">
        <f>VLOOKUP(tbl_details5[[#This Row],[Order ID]],Table1[],5,FALSE)</f>
        <v>Bihar</v>
      </c>
      <c r="L1377" t="str">
        <f>VLOOKUP(tbl_details5[[#This Row],[Order ID]],Table1[],6,FALSE)</f>
        <v>Patna</v>
      </c>
    </row>
    <row r="1378" spans="1:12" x14ac:dyDescent="0.25">
      <c r="A1378" t="s">
        <v>833</v>
      </c>
      <c r="B1378" s="4">
        <v>736</v>
      </c>
      <c r="C1378" s="4">
        <v>346</v>
      </c>
      <c r="D1378" s="5">
        <f>tbl_details5[[#This Row],[Profit]]/tbl_details5[[#This Row],[Revenue]]</f>
        <v>0.47010869565217389</v>
      </c>
      <c r="E1378">
        <v>5</v>
      </c>
      <c r="F1378" t="s">
        <v>888</v>
      </c>
      <c r="G1378" t="s">
        <v>899</v>
      </c>
      <c r="H1378" s="1">
        <f>VLOOKUP(tbl_details5[[#This Row],[Order ID]],Orders!A:F,2,FALSE)</f>
        <v>43534</v>
      </c>
      <c r="I1378" s="1" t="str">
        <f>TEXT(tbl_details5[[#This Row],[Order Date]],"mmm-yy")</f>
        <v>Mar-19</v>
      </c>
      <c r="J1378" t="str">
        <f>VLOOKUP(tbl_details5[[#This Row],[Order ID]],Table1[],4,FALSE)</f>
        <v>Sharda</v>
      </c>
      <c r="K1378" t="str">
        <f>VLOOKUP(tbl_details5[[#This Row],[Order ID]],Table1[],5,FALSE)</f>
        <v xml:space="preserve">Kerala </v>
      </c>
      <c r="L1378" t="str">
        <f>VLOOKUP(tbl_details5[[#This Row],[Order ID]],Table1[],6,FALSE)</f>
        <v>Thiruvananthapuram</v>
      </c>
    </row>
    <row r="1379" spans="1:12" x14ac:dyDescent="0.25">
      <c r="A1379" t="s">
        <v>833</v>
      </c>
      <c r="B1379" s="4">
        <v>54</v>
      </c>
      <c r="C1379" s="4">
        <v>8</v>
      </c>
      <c r="D1379" s="5">
        <f>tbl_details5[[#This Row],[Profit]]/tbl_details5[[#This Row],[Revenue]]</f>
        <v>0.14814814814814814</v>
      </c>
      <c r="E1379">
        <v>4</v>
      </c>
      <c r="F1379" t="s">
        <v>885</v>
      </c>
      <c r="G1379" t="s">
        <v>895</v>
      </c>
      <c r="H1379" s="1">
        <f>VLOOKUP(tbl_details5[[#This Row],[Order ID]],Orders!A:F,2,FALSE)</f>
        <v>43534</v>
      </c>
      <c r="I1379" s="1" t="str">
        <f>TEXT(tbl_details5[[#This Row],[Order Date]],"mmm-yy")</f>
        <v>Mar-19</v>
      </c>
      <c r="J1379" t="str">
        <f>VLOOKUP(tbl_details5[[#This Row],[Order ID]],Table1[],4,FALSE)</f>
        <v>Sharda</v>
      </c>
      <c r="K1379" t="str">
        <f>VLOOKUP(tbl_details5[[#This Row],[Order ID]],Table1[],5,FALSE)</f>
        <v xml:space="preserve">Kerala </v>
      </c>
      <c r="L1379" t="str">
        <f>VLOOKUP(tbl_details5[[#This Row],[Order ID]],Table1[],6,FALSE)</f>
        <v>Thiruvananthapuram</v>
      </c>
    </row>
    <row r="1380" spans="1:12" x14ac:dyDescent="0.25">
      <c r="A1380" t="s">
        <v>833</v>
      </c>
      <c r="B1380" s="4">
        <v>659</v>
      </c>
      <c r="C1380" s="4">
        <v>-37</v>
      </c>
      <c r="D1380" s="5">
        <f>tbl_details5[[#This Row],[Profit]]/tbl_details5[[#This Row],[Revenue]]</f>
        <v>-5.614567526555387E-2</v>
      </c>
      <c r="E1380">
        <v>2</v>
      </c>
      <c r="F1380" t="s">
        <v>883</v>
      </c>
      <c r="G1380" t="s">
        <v>884</v>
      </c>
      <c r="H1380" s="1">
        <f>VLOOKUP(tbl_details5[[#This Row],[Order ID]],Orders!A:F,2,FALSE)</f>
        <v>43534</v>
      </c>
      <c r="I1380" s="1" t="str">
        <f>TEXT(tbl_details5[[#This Row],[Order Date]],"mmm-yy")</f>
        <v>Mar-19</v>
      </c>
      <c r="J1380" t="str">
        <f>VLOOKUP(tbl_details5[[#This Row],[Order ID]],Table1[],4,FALSE)</f>
        <v>Sharda</v>
      </c>
      <c r="K1380" t="str">
        <f>VLOOKUP(tbl_details5[[#This Row],[Order ID]],Table1[],5,FALSE)</f>
        <v xml:space="preserve">Kerala </v>
      </c>
      <c r="L1380" t="str">
        <f>VLOOKUP(tbl_details5[[#This Row],[Order ID]],Table1[],6,FALSE)</f>
        <v>Thiruvananthapuram</v>
      </c>
    </row>
    <row r="1381" spans="1:12" x14ac:dyDescent="0.25">
      <c r="A1381" t="s">
        <v>833</v>
      </c>
      <c r="B1381" s="4">
        <v>224</v>
      </c>
      <c r="C1381" s="4">
        <v>87</v>
      </c>
      <c r="D1381" s="5">
        <f>tbl_details5[[#This Row],[Profit]]/tbl_details5[[#This Row],[Revenue]]</f>
        <v>0.38839285714285715</v>
      </c>
      <c r="E1381">
        <v>3</v>
      </c>
      <c r="F1381" t="s">
        <v>885</v>
      </c>
      <c r="G1381" t="s">
        <v>892</v>
      </c>
      <c r="H1381" s="1">
        <f>VLOOKUP(tbl_details5[[#This Row],[Order ID]],Orders!A:F,2,FALSE)</f>
        <v>43534</v>
      </c>
      <c r="I1381" s="1" t="str">
        <f>TEXT(tbl_details5[[#This Row],[Order Date]],"mmm-yy")</f>
        <v>Mar-19</v>
      </c>
      <c r="J1381" t="str">
        <f>VLOOKUP(tbl_details5[[#This Row],[Order ID]],Table1[],4,FALSE)</f>
        <v>Sharda</v>
      </c>
      <c r="K1381" t="str">
        <f>VLOOKUP(tbl_details5[[#This Row],[Order ID]],Table1[],5,FALSE)</f>
        <v xml:space="preserve">Kerala </v>
      </c>
      <c r="L1381" t="str">
        <f>VLOOKUP(tbl_details5[[#This Row],[Order ID]],Table1[],6,FALSE)</f>
        <v>Thiruvananthapuram</v>
      </c>
    </row>
    <row r="1382" spans="1:12" x14ac:dyDescent="0.25">
      <c r="A1382" t="s">
        <v>834</v>
      </c>
      <c r="B1382" s="4">
        <v>212</v>
      </c>
      <c r="C1382" s="4">
        <v>97</v>
      </c>
      <c r="D1382" s="5">
        <f>tbl_details5[[#This Row],[Profit]]/tbl_details5[[#This Row],[Revenue]]</f>
        <v>0.45754716981132076</v>
      </c>
      <c r="E1382">
        <v>7</v>
      </c>
      <c r="F1382" t="s">
        <v>885</v>
      </c>
      <c r="G1382" t="s">
        <v>887</v>
      </c>
      <c r="H1382" s="1">
        <f>VLOOKUP(tbl_details5[[#This Row],[Order ID]],Orders!A:F,2,FALSE)</f>
        <v>43535</v>
      </c>
      <c r="I1382" s="1" t="str">
        <f>TEXT(tbl_details5[[#This Row],[Order Date]],"mmm-yy")</f>
        <v>Mar-19</v>
      </c>
      <c r="J1382" t="str">
        <f>VLOOKUP(tbl_details5[[#This Row],[Order ID]],Table1[],4,FALSE)</f>
        <v>Aditya</v>
      </c>
      <c r="K1382" t="str">
        <f>VLOOKUP(tbl_details5[[#This Row],[Order ID]],Table1[],5,FALSE)</f>
        <v>Punjab</v>
      </c>
      <c r="L1382" t="str">
        <f>VLOOKUP(tbl_details5[[#This Row],[Order ID]],Table1[],6,FALSE)</f>
        <v>Chandigarh</v>
      </c>
    </row>
    <row r="1383" spans="1:12" x14ac:dyDescent="0.25">
      <c r="A1383" t="s">
        <v>835</v>
      </c>
      <c r="B1383" s="4">
        <v>20</v>
      </c>
      <c r="C1383" s="4">
        <v>6</v>
      </c>
      <c r="D1383" s="5">
        <f>tbl_details5[[#This Row],[Profit]]/tbl_details5[[#This Row],[Revenue]]</f>
        <v>0.3</v>
      </c>
      <c r="E1383">
        <v>1</v>
      </c>
      <c r="F1383" t="s">
        <v>885</v>
      </c>
      <c r="G1383" t="s">
        <v>895</v>
      </c>
      <c r="H1383" s="1">
        <f>VLOOKUP(tbl_details5[[#This Row],[Order ID]],Orders!A:F,2,FALSE)</f>
        <v>43536</v>
      </c>
      <c r="I1383" s="1" t="str">
        <f>TEXT(tbl_details5[[#This Row],[Order Date]],"mmm-yy")</f>
        <v>Mar-19</v>
      </c>
      <c r="J1383" t="str">
        <f>VLOOKUP(tbl_details5[[#This Row],[Order ID]],Table1[],4,FALSE)</f>
        <v>Rachna</v>
      </c>
      <c r="K1383" t="str">
        <f>VLOOKUP(tbl_details5[[#This Row],[Order ID]],Table1[],5,FALSE)</f>
        <v>Haryana</v>
      </c>
      <c r="L1383" t="str">
        <f>VLOOKUP(tbl_details5[[#This Row],[Order ID]],Table1[],6,FALSE)</f>
        <v>Chandigarh</v>
      </c>
    </row>
    <row r="1384" spans="1:12" x14ac:dyDescent="0.25">
      <c r="A1384" t="s">
        <v>836</v>
      </c>
      <c r="B1384" s="4">
        <v>382</v>
      </c>
      <c r="C1384" s="4">
        <v>68</v>
      </c>
      <c r="D1384" s="5">
        <f>tbl_details5[[#This Row],[Profit]]/tbl_details5[[#This Row],[Revenue]]</f>
        <v>0.17801047120418848</v>
      </c>
      <c r="E1384">
        <v>3</v>
      </c>
      <c r="F1384" t="s">
        <v>885</v>
      </c>
      <c r="G1384" t="s">
        <v>891</v>
      </c>
      <c r="H1384" s="1">
        <f>VLOOKUP(tbl_details5[[#This Row],[Order ID]],Orders!A:F,2,FALSE)</f>
        <v>43537</v>
      </c>
      <c r="I1384" s="1" t="str">
        <f>TEXT(tbl_details5[[#This Row],[Order Date]],"mmm-yy")</f>
        <v>Mar-19</v>
      </c>
      <c r="J1384" t="str">
        <f>VLOOKUP(tbl_details5[[#This Row],[Order ID]],Table1[],4,FALSE)</f>
        <v>Chirag</v>
      </c>
      <c r="K1384" t="str">
        <f>VLOOKUP(tbl_details5[[#This Row],[Order ID]],Table1[],5,FALSE)</f>
        <v>Maharashtra</v>
      </c>
      <c r="L1384" t="str">
        <f>VLOOKUP(tbl_details5[[#This Row],[Order ID]],Table1[],6,FALSE)</f>
        <v>Mumbai</v>
      </c>
    </row>
    <row r="1385" spans="1:12" x14ac:dyDescent="0.25">
      <c r="A1385" t="s">
        <v>837</v>
      </c>
      <c r="B1385" s="4">
        <v>508</v>
      </c>
      <c r="C1385" s="4">
        <v>203</v>
      </c>
      <c r="D1385" s="5">
        <f>tbl_details5[[#This Row],[Profit]]/tbl_details5[[#This Row],[Revenue]]</f>
        <v>0.39960629921259844</v>
      </c>
      <c r="E1385">
        <v>2</v>
      </c>
      <c r="F1385" t="s">
        <v>888</v>
      </c>
      <c r="G1385" t="s">
        <v>900</v>
      </c>
      <c r="H1385" s="1">
        <f>VLOOKUP(tbl_details5[[#This Row],[Order ID]],Orders!A:F,2,FALSE)</f>
        <v>43538</v>
      </c>
      <c r="I1385" s="1" t="str">
        <f>TEXT(tbl_details5[[#This Row],[Order Date]],"mmm-yy")</f>
        <v>Mar-19</v>
      </c>
      <c r="J1385" t="str">
        <f>VLOOKUP(tbl_details5[[#This Row],[Order ID]],Table1[],4,FALSE)</f>
        <v>Anurag</v>
      </c>
      <c r="K1385" t="str">
        <f>VLOOKUP(tbl_details5[[#This Row],[Order ID]],Table1[],5,FALSE)</f>
        <v>Madhya Pradesh</v>
      </c>
      <c r="L1385" t="str">
        <f>VLOOKUP(tbl_details5[[#This Row],[Order ID]],Table1[],6,FALSE)</f>
        <v>Indore</v>
      </c>
    </row>
    <row r="1386" spans="1:12" x14ac:dyDescent="0.25">
      <c r="A1386" t="s">
        <v>837</v>
      </c>
      <c r="B1386" s="4">
        <v>965</v>
      </c>
      <c r="C1386" s="4">
        <v>-68</v>
      </c>
      <c r="D1386" s="5">
        <f>tbl_details5[[#This Row],[Profit]]/tbl_details5[[#This Row],[Revenue]]</f>
        <v>-7.0466321243523311E-2</v>
      </c>
      <c r="E1386">
        <v>3</v>
      </c>
      <c r="F1386" t="s">
        <v>888</v>
      </c>
      <c r="G1386" t="s">
        <v>899</v>
      </c>
      <c r="H1386" s="1">
        <f>VLOOKUP(tbl_details5[[#This Row],[Order ID]],Orders!A:F,2,FALSE)</f>
        <v>43538</v>
      </c>
      <c r="I1386" s="1" t="str">
        <f>TEXT(tbl_details5[[#This Row],[Order Date]],"mmm-yy")</f>
        <v>Mar-19</v>
      </c>
      <c r="J1386" t="str">
        <f>VLOOKUP(tbl_details5[[#This Row],[Order ID]],Table1[],4,FALSE)</f>
        <v>Anurag</v>
      </c>
      <c r="K1386" t="str">
        <f>VLOOKUP(tbl_details5[[#This Row],[Order ID]],Table1[],5,FALSE)</f>
        <v>Madhya Pradesh</v>
      </c>
      <c r="L1386" t="str">
        <f>VLOOKUP(tbl_details5[[#This Row],[Order ID]],Table1[],6,FALSE)</f>
        <v>Indore</v>
      </c>
    </row>
    <row r="1387" spans="1:12" x14ac:dyDescent="0.25">
      <c r="A1387" t="s">
        <v>837</v>
      </c>
      <c r="B1387" s="4">
        <v>206</v>
      </c>
      <c r="C1387" s="4">
        <v>12</v>
      </c>
      <c r="D1387" s="5">
        <f>tbl_details5[[#This Row],[Profit]]/tbl_details5[[#This Row],[Revenue]]</f>
        <v>5.8252427184466021E-2</v>
      </c>
      <c r="E1387">
        <v>1</v>
      </c>
      <c r="F1387" t="s">
        <v>888</v>
      </c>
      <c r="G1387" t="s">
        <v>899</v>
      </c>
      <c r="H1387" s="1">
        <f>VLOOKUP(tbl_details5[[#This Row],[Order ID]],Orders!A:F,2,FALSE)</f>
        <v>43538</v>
      </c>
      <c r="I1387" s="1" t="str">
        <f>TEXT(tbl_details5[[#This Row],[Order Date]],"mmm-yy")</f>
        <v>Mar-19</v>
      </c>
      <c r="J1387" t="str">
        <f>VLOOKUP(tbl_details5[[#This Row],[Order ID]],Table1[],4,FALSE)</f>
        <v>Anurag</v>
      </c>
      <c r="K1387" t="str">
        <f>VLOOKUP(tbl_details5[[#This Row],[Order ID]],Table1[],5,FALSE)</f>
        <v>Madhya Pradesh</v>
      </c>
      <c r="L1387" t="str">
        <f>VLOOKUP(tbl_details5[[#This Row],[Order ID]],Table1[],6,FALSE)</f>
        <v>Indore</v>
      </c>
    </row>
    <row r="1388" spans="1:12" x14ac:dyDescent="0.25">
      <c r="A1388" t="s">
        <v>837</v>
      </c>
      <c r="B1388" s="4">
        <v>642</v>
      </c>
      <c r="C1388" s="4">
        <v>180</v>
      </c>
      <c r="D1388" s="5">
        <f>tbl_details5[[#This Row],[Profit]]/tbl_details5[[#This Row],[Revenue]]</f>
        <v>0.28037383177570091</v>
      </c>
      <c r="E1388">
        <v>5</v>
      </c>
      <c r="F1388" t="s">
        <v>885</v>
      </c>
      <c r="G1388" t="s">
        <v>891</v>
      </c>
      <c r="H1388" s="1">
        <f>VLOOKUP(tbl_details5[[#This Row],[Order ID]],Orders!A:F,2,FALSE)</f>
        <v>43538</v>
      </c>
      <c r="I1388" s="1" t="str">
        <f>TEXT(tbl_details5[[#This Row],[Order Date]],"mmm-yy")</f>
        <v>Mar-19</v>
      </c>
      <c r="J1388" t="str">
        <f>VLOOKUP(tbl_details5[[#This Row],[Order ID]],Table1[],4,FALSE)</f>
        <v>Anurag</v>
      </c>
      <c r="K1388" t="str">
        <f>VLOOKUP(tbl_details5[[#This Row],[Order ID]],Table1[],5,FALSE)</f>
        <v>Madhya Pradesh</v>
      </c>
      <c r="L1388" t="str">
        <f>VLOOKUP(tbl_details5[[#This Row],[Order ID]],Table1[],6,FALSE)</f>
        <v>Indore</v>
      </c>
    </row>
    <row r="1389" spans="1:12" x14ac:dyDescent="0.25">
      <c r="A1389" t="s">
        <v>837</v>
      </c>
      <c r="B1389" s="4">
        <v>109</v>
      </c>
      <c r="C1389" s="4">
        <v>52</v>
      </c>
      <c r="D1389" s="5">
        <f>tbl_details5[[#This Row],[Profit]]/tbl_details5[[#This Row],[Revenue]]</f>
        <v>0.47706422018348627</v>
      </c>
      <c r="E1389">
        <v>2</v>
      </c>
      <c r="F1389" t="s">
        <v>885</v>
      </c>
      <c r="G1389" t="s">
        <v>886</v>
      </c>
      <c r="H1389" s="1">
        <f>VLOOKUP(tbl_details5[[#This Row],[Order ID]],Orders!A:F,2,FALSE)</f>
        <v>43538</v>
      </c>
      <c r="I1389" s="1" t="str">
        <f>TEXT(tbl_details5[[#This Row],[Order Date]],"mmm-yy")</f>
        <v>Mar-19</v>
      </c>
      <c r="J1389" t="str">
        <f>VLOOKUP(tbl_details5[[#This Row],[Order ID]],Table1[],4,FALSE)</f>
        <v>Anurag</v>
      </c>
      <c r="K1389" t="str">
        <f>VLOOKUP(tbl_details5[[#This Row],[Order ID]],Table1[],5,FALSE)</f>
        <v>Madhya Pradesh</v>
      </c>
      <c r="L1389" t="str">
        <f>VLOOKUP(tbl_details5[[#This Row],[Order ID]],Table1[],6,FALSE)</f>
        <v>Indore</v>
      </c>
    </row>
    <row r="1390" spans="1:12" x14ac:dyDescent="0.25">
      <c r="A1390" t="s">
        <v>837</v>
      </c>
      <c r="B1390" s="4">
        <v>27</v>
      </c>
      <c r="C1390" s="4">
        <v>8</v>
      </c>
      <c r="D1390" s="5">
        <f>tbl_details5[[#This Row],[Profit]]/tbl_details5[[#This Row],[Revenue]]</f>
        <v>0.29629629629629628</v>
      </c>
      <c r="E1390">
        <v>2</v>
      </c>
      <c r="F1390" t="s">
        <v>885</v>
      </c>
      <c r="G1390" t="s">
        <v>895</v>
      </c>
      <c r="H1390" s="1">
        <f>VLOOKUP(tbl_details5[[#This Row],[Order ID]],Orders!A:F,2,FALSE)</f>
        <v>43538</v>
      </c>
      <c r="I1390" s="1" t="str">
        <f>TEXT(tbl_details5[[#This Row],[Order Date]],"mmm-yy")</f>
        <v>Mar-19</v>
      </c>
      <c r="J1390" t="str">
        <f>VLOOKUP(tbl_details5[[#This Row],[Order ID]],Table1[],4,FALSE)</f>
        <v>Anurag</v>
      </c>
      <c r="K1390" t="str">
        <f>VLOOKUP(tbl_details5[[#This Row],[Order ID]],Table1[],5,FALSE)</f>
        <v>Madhya Pradesh</v>
      </c>
      <c r="L1390" t="str">
        <f>VLOOKUP(tbl_details5[[#This Row],[Order ID]],Table1[],6,FALSE)</f>
        <v>Indore</v>
      </c>
    </row>
    <row r="1391" spans="1:12" x14ac:dyDescent="0.25">
      <c r="A1391" t="s">
        <v>838</v>
      </c>
      <c r="B1391" s="4">
        <v>44</v>
      </c>
      <c r="C1391" s="4">
        <v>-40</v>
      </c>
      <c r="D1391" s="5">
        <f>tbl_details5[[#This Row],[Profit]]/tbl_details5[[#This Row],[Revenue]]</f>
        <v>-0.90909090909090906</v>
      </c>
      <c r="E1391">
        <v>3</v>
      </c>
      <c r="F1391" t="s">
        <v>885</v>
      </c>
      <c r="G1391" t="s">
        <v>886</v>
      </c>
      <c r="H1391" s="1">
        <f>VLOOKUP(tbl_details5[[#This Row],[Order ID]],Orders!A:F,2,FALSE)</f>
        <v>43539</v>
      </c>
      <c r="I1391" s="1" t="str">
        <f>TEXT(tbl_details5[[#This Row],[Order Date]],"mmm-yy")</f>
        <v>Mar-19</v>
      </c>
      <c r="J1391" t="str">
        <f>VLOOKUP(tbl_details5[[#This Row],[Order ID]],Table1[],4,FALSE)</f>
        <v>Tushina</v>
      </c>
      <c r="K1391" t="str">
        <f>VLOOKUP(tbl_details5[[#This Row],[Order ID]],Table1[],5,FALSE)</f>
        <v>Goa</v>
      </c>
      <c r="L1391" t="str">
        <f>VLOOKUP(tbl_details5[[#This Row],[Order ID]],Table1[],6,FALSE)</f>
        <v>Goa</v>
      </c>
    </row>
    <row r="1392" spans="1:12" x14ac:dyDescent="0.25">
      <c r="A1392" t="s">
        <v>838</v>
      </c>
      <c r="B1392" s="4">
        <v>50</v>
      </c>
      <c r="C1392" s="4">
        <v>-17</v>
      </c>
      <c r="D1392" s="5">
        <f>tbl_details5[[#This Row],[Profit]]/tbl_details5[[#This Row],[Revenue]]</f>
        <v>-0.34</v>
      </c>
      <c r="E1392">
        <v>2</v>
      </c>
      <c r="F1392" t="s">
        <v>885</v>
      </c>
      <c r="G1392" t="s">
        <v>886</v>
      </c>
      <c r="H1392" s="1">
        <f>VLOOKUP(tbl_details5[[#This Row],[Order ID]],Orders!A:F,2,FALSE)</f>
        <v>43539</v>
      </c>
      <c r="I1392" s="1" t="str">
        <f>TEXT(tbl_details5[[#This Row],[Order Date]],"mmm-yy")</f>
        <v>Mar-19</v>
      </c>
      <c r="J1392" t="str">
        <f>VLOOKUP(tbl_details5[[#This Row],[Order ID]],Table1[],4,FALSE)</f>
        <v>Tushina</v>
      </c>
      <c r="K1392" t="str">
        <f>VLOOKUP(tbl_details5[[#This Row],[Order ID]],Table1[],5,FALSE)</f>
        <v>Goa</v>
      </c>
      <c r="L1392" t="str">
        <f>VLOOKUP(tbl_details5[[#This Row],[Order ID]],Table1[],6,FALSE)</f>
        <v>Goa</v>
      </c>
    </row>
    <row r="1393" spans="1:12" x14ac:dyDescent="0.25">
      <c r="A1393" t="s">
        <v>838</v>
      </c>
      <c r="B1393" s="4">
        <v>13</v>
      </c>
      <c r="C1393" s="4">
        <v>-2</v>
      </c>
      <c r="D1393" s="5">
        <f>tbl_details5[[#This Row],[Profit]]/tbl_details5[[#This Row],[Revenue]]</f>
        <v>-0.15384615384615385</v>
      </c>
      <c r="E1393">
        <v>1</v>
      </c>
      <c r="F1393" t="s">
        <v>885</v>
      </c>
      <c r="G1393" t="s">
        <v>886</v>
      </c>
      <c r="H1393" s="1">
        <f>VLOOKUP(tbl_details5[[#This Row],[Order ID]],Orders!A:F,2,FALSE)</f>
        <v>43539</v>
      </c>
      <c r="I1393" s="1" t="str">
        <f>TEXT(tbl_details5[[#This Row],[Order Date]],"mmm-yy")</f>
        <v>Mar-19</v>
      </c>
      <c r="J1393" t="str">
        <f>VLOOKUP(tbl_details5[[#This Row],[Order ID]],Table1[],4,FALSE)</f>
        <v>Tushina</v>
      </c>
      <c r="K1393" t="str">
        <f>VLOOKUP(tbl_details5[[#This Row],[Order ID]],Table1[],5,FALSE)</f>
        <v>Goa</v>
      </c>
      <c r="L1393" t="str">
        <f>VLOOKUP(tbl_details5[[#This Row],[Order ID]],Table1[],6,FALSE)</f>
        <v>Goa</v>
      </c>
    </row>
    <row r="1394" spans="1:12" x14ac:dyDescent="0.25">
      <c r="A1394" t="s">
        <v>839</v>
      </c>
      <c r="B1394" s="4">
        <v>241</v>
      </c>
      <c r="C1394" s="4">
        <v>-77</v>
      </c>
      <c r="D1394" s="5">
        <f>tbl_details5[[#This Row],[Profit]]/tbl_details5[[#This Row],[Revenue]]</f>
        <v>-0.31950207468879666</v>
      </c>
      <c r="E1394">
        <v>4</v>
      </c>
      <c r="F1394" t="s">
        <v>888</v>
      </c>
      <c r="G1394" t="s">
        <v>889</v>
      </c>
      <c r="H1394" s="1">
        <f>VLOOKUP(tbl_details5[[#This Row],[Order ID]],Orders!A:F,2,FALSE)</f>
        <v>43539</v>
      </c>
      <c r="I1394" s="1" t="str">
        <f>TEXT(tbl_details5[[#This Row],[Order Date]],"mmm-yy")</f>
        <v>Mar-19</v>
      </c>
      <c r="J1394" t="str">
        <f>VLOOKUP(tbl_details5[[#This Row],[Order ID]],Table1[],4,FALSE)</f>
        <v>Farah</v>
      </c>
      <c r="K1394" t="str">
        <f>VLOOKUP(tbl_details5[[#This Row],[Order ID]],Table1[],5,FALSE)</f>
        <v>Nagaland</v>
      </c>
      <c r="L1394" t="str">
        <f>VLOOKUP(tbl_details5[[#This Row],[Order ID]],Table1[],6,FALSE)</f>
        <v>Kohima</v>
      </c>
    </row>
    <row r="1395" spans="1:12" x14ac:dyDescent="0.25">
      <c r="A1395" t="s">
        <v>840</v>
      </c>
      <c r="B1395" s="4">
        <v>75</v>
      </c>
      <c r="C1395" s="4">
        <v>2</v>
      </c>
      <c r="D1395" s="5">
        <f>tbl_details5[[#This Row],[Profit]]/tbl_details5[[#This Row],[Revenue]]</f>
        <v>2.6666666666666668E-2</v>
      </c>
      <c r="E1395">
        <v>5</v>
      </c>
      <c r="F1395" t="s">
        <v>885</v>
      </c>
      <c r="G1395" t="s">
        <v>897</v>
      </c>
      <c r="H1395" s="1">
        <f>VLOOKUP(tbl_details5[[#This Row],[Order ID]],Orders!A:F,2,FALSE)</f>
        <v>43540</v>
      </c>
      <c r="I1395" s="1" t="str">
        <f>TEXT(tbl_details5[[#This Row],[Order Date]],"mmm-yy")</f>
        <v>Mar-19</v>
      </c>
      <c r="J1395" t="str">
        <f>VLOOKUP(tbl_details5[[#This Row],[Order ID]],Table1[],4,FALSE)</f>
        <v>Ankita</v>
      </c>
      <c r="K1395" t="str">
        <f>VLOOKUP(tbl_details5[[#This Row],[Order ID]],Table1[],5,FALSE)</f>
        <v>Maharashtra</v>
      </c>
      <c r="L1395" t="str">
        <f>VLOOKUP(tbl_details5[[#This Row],[Order ID]],Table1[],6,FALSE)</f>
        <v>Mumbai</v>
      </c>
    </row>
    <row r="1396" spans="1:12" x14ac:dyDescent="0.25">
      <c r="A1396" t="s">
        <v>840</v>
      </c>
      <c r="B1396" s="4">
        <v>61</v>
      </c>
      <c r="C1396" s="4">
        <v>3</v>
      </c>
      <c r="D1396" s="5">
        <f>tbl_details5[[#This Row],[Profit]]/tbl_details5[[#This Row],[Revenue]]</f>
        <v>4.9180327868852458E-2</v>
      </c>
      <c r="E1396">
        <v>4</v>
      </c>
      <c r="F1396" t="s">
        <v>885</v>
      </c>
      <c r="G1396" t="s">
        <v>887</v>
      </c>
      <c r="H1396" s="1">
        <f>VLOOKUP(tbl_details5[[#This Row],[Order ID]],Orders!A:F,2,FALSE)</f>
        <v>43540</v>
      </c>
      <c r="I1396" s="1" t="str">
        <f>TEXT(tbl_details5[[#This Row],[Order Date]],"mmm-yy")</f>
        <v>Mar-19</v>
      </c>
      <c r="J1396" t="str">
        <f>VLOOKUP(tbl_details5[[#This Row],[Order ID]],Table1[],4,FALSE)</f>
        <v>Ankita</v>
      </c>
      <c r="K1396" t="str">
        <f>VLOOKUP(tbl_details5[[#This Row],[Order ID]],Table1[],5,FALSE)</f>
        <v>Maharashtra</v>
      </c>
      <c r="L1396" t="str">
        <f>VLOOKUP(tbl_details5[[#This Row],[Order ID]],Table1[],6,FALSE)</f>
        <v>Mumbai</v>
      </c>
    </row>
    <row r="1397" spans="1:12" x14ac:dyDescent="0.25">
      <c r="A1397" t="s">
        <v>840</v>
      </c>
      <c r="B1397" s="4">
        <v>122</v>
      </c>
      <c r="C1397" s="4">
        <v>38</v>
      </c>
      <c r="D1397" s="5">
        <f>tbl_details5[[#This Row],[Profit]]/tbl_details5[[#This Row],[Revenue]]</f>
        <v>0.31147540983606559</v>
      </c>
      <c r="E1397">
        <v>6</v>
      </c>
      <c r="F1397" t="s">
        <v>885</v>
      </c>
      <c r="G1397" t="s">
        <v>895</v>
      </c>
      <c r="H1397" s="1">
        <f>VLOOKUP(tbl_details5[[#This Row],[Order ID]],Orders!A:F,2,FALSE)</f>
        <v>43540</v>
      </c>
      <c r="I1397" s="1" t="str">
        <f>TEXT(tbl_details5[[#This Row],[Order Date]],"mmm-yy")</f>
        <v>Mar-19</v>
      </c>
      <c r="J1397" t="str">
        <f>VLOOKUP(tbl_details5[[#This Row],[Order ID]],Table1[],4,FALSE)</f>
        <v>Ankita</v>
      </c>
      <c r="K1397" t="str">
        <f>VLOOKUP(tbl_details5[[#This Row],[Order ID]],Table1[],5,FALSE)</f>
        <v>Maharashtra</v>
      </c>
      <c r="L1397" t="str">
        <f>VLOOKUP(tbl_details5[[#This Row],[Order ID]],Table1[],6,FALSE)</f>
        <v>Mumbai</v>
      </c>
    </row>
    <row r="1398" spans="1:12" x14ac:dyDescent="0.25">
      <c r="A1398" t="s">
        <v>840</v>
      </c>
      <c r="B1398" s="4">
        <v>22</v>
      </c>
      <c r="C1398" s="4">
        <v>0</v>
      </c>
      <c r="D1398" s="5">
        <f>tbl_details5[[#This Row],[Profit]]/tbl_details5[[#This Row],[Revenue]]</f>
        <v>0</v>
      </c>
      <c r="E1398">
        <v>2</v>
      </c>
      <c r="F1398" t="s">
        <v>885</v>
      </c>
      <c r="G1398" t="s">
        <v>891</v>
      </c>
      <c r="H1398" s="1">
        <f>VLOOKUP(tbl_details5[[#This Row],[Order ID]],Orders!A:F,2,FALSE)</f>
        <v>43540</v>
      </c>
      <c r="I1398" s="1" t="str">
        <f>TEXT(tbl_details5[[#This Row],[Order Date]],"mmm-yy")</f>
        <v>Mar-19</v>
      </c>
      <c r="J1398" t="str">
        <f>VLOOKUP(tbl_details5[[#This Row],[Order ID]],Table1[],4,FALSE)</f>
        <v>Ankita</v>
      </c>
      <c r="K1398" t="str">
        <f>VLOOKUP(tbl_details5[[#This Row],[Order ID]],Table1[],5,FALSE)</f>
        <v>Maharashtra</v>
      </c>
      <c r="L1398" t="str">
        <f>VLOOKUP(tbl_details5[[#This Row],[Order ID]],Table1[],6,FALSE)</f>
        <v>Mumbai</v>
      </c>
    </row>
    <row r="1399" spans="1:12" x14ac:dyDescent="0.25">
      <c r="A1399" t="s">
        <v>842</v>
      </c>
      <c r="B1399" s="4">
        <v>146</v>
      </c>
      <c r="C1399" s="4">
        <v>19</v>
      </c>
      <c r="D1399" s="5">
        <f>tbl_details5[[#This Row],[Profit]]/tbl_details5[[#This Row],[Revenue]]</f>
        <v>0.13013698630136986</v>
      </c>
      <c r="E1399">
        <v>5</v>
      </c>
      <c r="F1399" t="s">
        <v>885</v>
      </c>
      <c r="G1399" t="s">
        <v>886</v>
      </c>
      <c r="H1399" s="1">
        <f>VLOOKUP(tbl_details5[[#This Row],[Order ID]],Orders!A:F,2,FALSE)</f>
        <v>43540</v>
      </c>
      <c r="I1399" s="1" t="str">
        <f>TEXT(tbl_details5[[#This Row],[Order Date]],"mmm-yy")</f>
        <v>Mar-19</v>
      </c>
      <c r="J1399" t="str">
        <f>VLOOKUP(tbl_details5[[#This Row],[Order ID]],Table1[],4,FALSE)</f>
        <v>Nida</v>
      </c>
      <c r="K1399" t="str">
        <f>VLOOKUP(tbl_details5[[#This Row],[Order ID]],Table1[],5,FALSE)</f>
        <v>Madhya Pradesh</v>
      </c>
      <c r="L1399" t="str">
        <f>VLOOKUP(tbl_details5[[#This Row],[Order ID]],Table1[],6,FALSE)</f>
        <v>Indore</v>
      </c>
    </row>
    <row r="1400" spans="1:12" x14ac:dyDescent="0.25">
      <c r="A1400" t="s">
        <v>843</v>
      </c>
      <c r="B1400" s="4">
        <v>86</v>
      </c>
      <c r="C1400" s="4">
        <v>22</v>
      </c>
      <c r="D1400" s="5">
        <f>tbl_details5[[#This Row],[Profit]]/tbl_details5[[#This Row],[Revenue]]</f>
        <v>0.2558139534883721</v>
      </c>
      <c r="E1400">
        <v>2</v>
      </c>
      <c r="F1400" t="s">
        <v>885</v>
      </c>
      <c r="G1400" t="s">
        <v>891</v>
      </c>
      <c r="H1400" s="1">
        <f>VLOOKUP(tbl_details5[[#This Row],[Order ID]],Orders!A:F,2,FALSE)</f>
        <v>43540</v>
      </c>
      <c r="I1400" s="1" t="str">
        <f>TEXT(tbl_details5[[#This Row],[Order Date]],"mmm-yy")</f>
        <v>Mar-19</v>
      </c>
      <c r="J1400" t="str">
        <f>VLOOKUP(tbl_details5[[#This Row],[Order ID]],Table1[],4,FALSE)</f>
        <v>Priyanka</v>
      </c>
      <c r="K1400" t="str">
        <f>VLOOKUP(tbl_details5[[#This Row],[Order ID]],Table1[],5,FALSE)</f>
        <v>Maharashtra</v>
      </c>
      <c r="L1400" t="str">
        <f>VLOOKUP(tbl_details5[[#This Row],[Order ID]],Table1[],6,FALSE)</f>
        <v>Pune</v>
      </c>
    </row>
    <row r="1401" spans="1:12" x14ac:dyDescent="0.25">
      <c r="A1401" t="s">
        <v>844</v>
      </c>
      <c r="B1401" s="4">
        <v>618</v>
      </c>
      <c r="C1401" s="4">
        <v>27</v>
      </c>
      <c r="D1401" s="5">
        <f>tbl_details5[[#This Row],[Profit]]/tbl_details5[[#This Row],[Revenue]]</f>
        <v>4.3689320388349516E-2</v>
      </c>
      <c r="E1401">
        <v>4</v>
      </c>
      <c r="F1401" t="s">
        <v>883</v>
      </c>
      <c r="G1401" t="s">
        <v>884</v>
      </c>
      <c r="H1401" s="1">
        <f>VLOOKUP(tbl_details5[[#This Row],[Order ID]],Orders!A:F,2,FALSE)</f>
        <v>43540</v>
      </c>
      <c r="I1401" s="1" t="str">
        <f>TEXT(tbl_details5[[#This Row],[Order Date]],"mmm-yy")</f>
        <v>Mar-19</v>
      </c>
      <c r="J1401" t="str">
        <f>VLOOKUP(tbl_details5[[#This Row],[Order ID]],Table1[],4,FALSE)</f>
        <v>Tulika</v>
      </c>
      <c r="K1401" t="str">
        <f>VLOOKUP(tbl_details5[[#This Row],[Order ID]],Table1[],5,FALSE)</f>
        <v>Madhya Pradesh</v>
      </c>
      <c r="L1401" t="str">
        <f>VLOOKUP(tbl_details5[[#This Row],[Order ID]],Table1[],6,FALSE)</f>
        <v>Bhopal</v>
      </c>
    </row>
    <row r="1402" spans="1:12" x14ac:dyDescent="0.25">
      <c r="A1402" t="s">
        <v>844</v>
      </c>
      <c r="B1402" s="4">
        <v>53</v>
      </c>
      <c r="C1402" s="4">
        <v>2</v>
      </c>
      <c r="D1402" s="5">
        <f>tbl_details5[[#This Row],[Profit]]/tbl_details5[[#This Row],[Revenue]]</f>
        <v>3.7735849056603772E-2</v>
      </c>
      <c r="E1402">
        <v>4</v>
      </c>
      <c r="F1402" t="s">
        <v>885</v>
      </c>
      <c r="G1402" t="s">
        <v>887</v>
      </c>
      <c r="H1402" s="1">
        <f>VLOOKUP(tbl_details5[[#This Row],[Order ID]],Orders!A:F,2,FALSE)</f>
        <v>43540</v>
      </c>
      <c r="I1402" s="1" t="str">
        <f>TEXT(tbl_details5[[#This Row],[Order Date]],"mmm-yy")</f>
        <v>Mar-19</v>
      </c>
      <c r="J1402" t="str">
        <f>VLOOKUP(tbl_details5[[#This Row],[Order ID]],Table1[],4,FALSE)</f>
        <v>Tulika</v>
      </c>
      <c r="K1402" t="str">
        <f>VLOOKUP(tbl_details5[[#This Row],[Order ID]],Table1[],5,FALSE)</f>
        <v>Madhya Pradesh</v>
      </c>
      <c r="L1402" t="str">
        <f>VLOOKUP(tbl_details5[[#This Row],[Order ID]],Table1[],6,FALSE)</f>
        <v>Bhopal</v>
      </c>
    </row>
    <row r="1403" spans="1:12" x14ac:dyDescent="0.25">
      <c r="A1403" t="s">
        <v>844</v>
      </c>
      <c r="B1403" s="4">
        <v>1120</v>
      </c>
      <c r="C1403" s="4">
        <v>199</v>
      </c>
      <c r="D1403" s="5">
        <f>tbl_details5[[#This Row],[Profit]]/tbl_details5[[#This Row],[Revenue]]</f>
        <v>0.17767857142857144</v>
      </c>
      <c r="E1403">
        <v>6</v>
      </c>
      <c r="F1403" t="s">
        <v>885</v>
      </c>
      <c r="G1403" t="s">
        <v>891</v>
      </c>
      <c r="H1403" s="1">
        <f>VLOOKUP(tbl_details5[[#This Row],[Order ID]],Orders!A:F,2,FALSE)</f>
        <v>43540</v>
      </c>
      <c r="I1403" s="1" t="str">
        <f>TEXT(tbl_details5[[#This Row],[Order Date]],"mmm-yy")</f>
        <v>Mar-19</v>
      </c>
      <c r="J1403" t="str">
        <f>VLOOKUP(tbl_details5[[#This Row],[Order ID]],Table1[],4,FALSE)</f>
        <v>Tulika</v>
      </c>
      <c r="K1403" t="str">
        <f>VLOOKUP(tbl_details5[[#This Row],[Order ID]],Table1[],5,FALSE)</f>
        <v>Madhya Pradesh</v>
      </c>
      <c r="L1403" t="str">
        <f>VLOOKUP(tbl_details5[[#This Row],[Order ID]],Table1[],6,FALSE)</f>
        <v>Bhopal</v>
      </c>
    </row>
    <row r="1404" spans="1:12" x14ac:dyDescent="0.25">
      <c r="A1404" t="s">
        <v>844</v>
      </c>
      <c r="B1404" s="4">
        <v>1137</v>
      </c>
      <c r="C1404" s="4">
        <v>-14</v>
      </c>
      <c r="D1404" s="5">
        <f>tbl_details5[[#This Row],[Profit]]/tbl_details5[[#This Row],[Revenue]]</f>
        <v>-1.2313104661389622E-2</v>
      </c>
      <c r="E1404">
        <v>7</v>
      </c>
      <c r="F1404" t="s">
        <v>888</v>
      </c>
      <c r="G1404" t="s">
        <v>899</v>
      </c>
      <c r="H1404" s="1">
        <f>VLOOKUP(tbl_details5[[#This Row],[Order ID]],Orders!A:F,2,FALSE)</f>
        <v>43540</v>
      </c>
      <c r="I1404" s="1" t="str">
        <f>TEXT(tbl_details5[[#This Row],[Order Date]],"mmm-yy")</f>
        <v>Mar-19</v>
      </c>
      <c r="J1404" t="str">
        <f>VLOOKUP(tbl_details5[[#This Row],[Order ID]],Table1[],4,FALSE)</f>
        <v>Tulika</v>
      </c>
      <c r="K1404" t="str">
        <f>VLOOKUP(tbl_details5[[#This Row],[Order ID]],Table1[],5,FALSE)</f>
        <v>Madhya Pradesh</v>
      </c>
      <c r="L1404" t="str">
        <f>VLOOKUP(tbl_details5[[#This Row],[Order ID]],Table1[],6,FALSE)</f>
        <v>Bhopal</v>
      </c>
    </row>
    <row r="1405" spans="1:12" x14ac:dyDescent="0.25">
      <c r="A1405" t="s">
        <v>844</v>
      </c>
      <c r="B1405" s="4">
        <v>67</v>
      </c>
      <c r="C1405" s="4">
        <v>2</v>
      </c>
      <c r="D1405" s="5">
        <f>tbl_details5[[#This Row],[Profit]]/tbl_details5[[#This Row],[Revenue]]</f>
        <v>2.9850746268656716E-2</v>
      </c>
      <c r="E1405">
        <v>4</v>
      </c>
      <c r="F1405" t="s">
        <v>885</v>
      </c>
      <c r="G1405" t="s">
        <v>895</v>
      </c>
      <c r="H1405" s="1">
        <f>VLOOKUP(tbl_details5[[#This Row],[Order ID]],Orders!A:F,2,FALSE)</f>
        <v>43540</v>
      </c>
      <c r="I1405" s="1" t="str">
        <f>TEXT(tbl_details5[[#This Row],[Order Date]],"mmm-yy")</f>
        <v>Mar-19</v>
      </c>
      <c r="J1405" t="str">
        <f>VLOOKUP(tbl_details5[[#This Row],[Order ID]],Table1[],4,FALSE)</f>
        <v>Tulika</v>
      </c>
      <c r="K1405" t="str">
        <f>VLOOKUP(tbl_details5[[#This Row],[Order ID]],Table1[],5,FALSE)</f>
        <v>Madhya Pradesh</v>
      </c>
      <c r="L1405" t="str">
        <f>VLOOKUP(tbl_details5[[#This Row],[Order ID]],Table1[],6,FALSE)</f>
        <v>Bhopal</v>
      </c>
    </row>
    <row r="1406" spans="1:12" x14ac:dyDescent="0.25">
      <c r="A1406" t="s">
        <v>845</v>
      </c>
      <c r="B1406" s="4">
        <v>193</v>
      </c>
      <c r="C1406" s="4">
        <v>33</v>
      </c>
      <c r="D1406" s="5">
        <f>tbl_details5[[#This Row],[Profit]]/tbl_details5[[#This Row],[Revenue]]</f>
        <v>0.17098445595854922</v>
      </c>
      <c r="E1406">
        <v>5</v>
      </c>
      <c r="F1406" t="s">
        <v>888</v>
      </c>
      <c r="G1406" t="s">
        <v>900</v>
      </c>
      <c r="H1406" s="1">
        <f>VLOOKUP(tbl_details5[[#This Row],[Order ID]],Orders!A:F,2,FALSE)</f>
        <v>43540</v>
      </c>
      <c r="I1406" s="1" t="str">
        <f>TEXT(tbl_details5[[#This Row],[Order Date]],"mmm-yy")</f>
        <v>Mar-19</v>
      </c>
      <c r="J1406" t="str">
        <f>VLOOKUP(tbl_details5[[#This Row],[Order ID]],Table1[],4,FALSE)</f>
        <v>Shefali</v>
      </c>
      <c r="K1406" t="str">
        <f>VLOOKUP(tbl_details5[[#This Row],[Order ID]],Table1[],5,FALSE)</f>
        <v>Rajasthan</v>
      </c>
      <c r="L1406" t="str">
        <f>VLOOKUP(tbl_details5[[#This Row],[Order ID]],Table1[],6,FALSE)</f>
        <v>Jaipur</v>
      </c>
    </row>
    <row r="1407" spans="1:12" x14ac:dyDescent="0.25">
      <c r="A1407" t="s">
        <v>846</v>
      </c>
      <c r="B1407" s="4">
        <v>55</v>
      </c>
      <c r="C1407" s="4">
        <v>18</v>
      </c>
      <c r="D1407" s="5">
        <f>tbl_details5[[#This Row],[Profit]]/tbl_details5[[#This Row],[Revenue]]</f>
        <v>0.32727272727272727</v>
      </c>
      <c r="E1407">
        <v>2</v>
      </c>
      <c r="F1407" t="s">
        <v>885</v>
      </c>
      <c r="G1407" t="s">
        <v>894</v>
      </c>
      <c r="H1407" s="1">
        <f>VLOOKUP(tbl_details5[[#This Row],[Order ID]],Orders!A:F,2,FALSE)</f>
        <v>43541</v>
      </c>
      <c r="I1407" s="1" t="str">
        <f>TEXT(tbl_details5[[#This Row],[Order Date]],"mmm-yy")</f>
        <v>Mar-19</v>
      </c>
      <c r="J1407" t="str">
        <f>VLOOKUP(tbl_details5[[#This Row],[Order ID]],Table1[],4,FALSE)</f>
        <v>Sanskriti</v>
      </c>
      <c r="K1407" t="str">
        <f>VLOOKUP(tbl_details5[[#This Row],[Order ID]],Table1[],5,FALSE)</f>
        <v>West Bengal</v>
      </c>
      <c r="L1407" t="str">
        <f>VLOOKUP(tbl_details5[[#This Row],[Order ID]],Table1[],6,FALSE)</f>
        <v>Kolkata</v>
      </c>
    </row>
    <row r="1408" spans="1:12" x14ac:dyDescent="0.25">
      <c r="A1408" t="s">
        <v>847</v>
      </c>
      <c r="B1408" s="4">
        <v>54</v>
      </c>
      <c r="C1408" s="4">
        <v>12</v>
      </c>
      <c r="D1408" s="5">
        <f>tbl_details5[[#This Row],[Profit]]/tbl_details5[[#This Row],[Revenue]]</f>
        <v>0.22222222222222221</v>
      </c>
      <c r="E1408">
        <v>4</v>
      </c>
      <c r="F1408" t="s">
        <v>885</v>
      </c>
      <c r="G1408" t="s">
        <v>896</v>
      </c>
      <c r="H1408" s="1">
        <f>VLOOKUP(tbl_details5[[#This Row],[Order ID]],Orders!A:F,2,FALSE)</f>
        <v>43542</v>
      </c>
      <c r="I1408" s="1" t="str">
        <f>TEXT(tbl_details5[[#This Row],[Order Date]],"mmm-yy")</f>
        <v>Mar-19</v>
      </c>
      <c r="J1408" t="str">
        <f>VLOOKUP(tbl_details5[[#This Row],[Order ID]],Table1[],4,FALSE)</f>
        <v>Shruti</v>
      </c>
      <c r="K1408" t="str">
        <f>VLOOKUP(tbl_details5[[#This Row],[Order ID]],Table1[],5,FALSE)</f>
        <v>Karnataka</v>
      </c>
      <c r="L1408" t="str">
        <f>VLOOKUP(tbl_details5[[#This Row],[Order ID]],Table1[],6,FALSE)</f>
        <v>Bangalore</v>
      </c>
    </row>
    <row r="1409" spans="1:12" x14ac:dyDescent="0.25">
      <c r="A1409" t="s">
        <v>847</v>
      </c>
      <c r="B1409" s="4">
        <v>582</v>
      </c>
      <c r="C1409" s="4">
        <v>262</v>
      </c>
      <c r="D1409" s="5">
        <f>tbl_details5[[#This Row],[Profit]]/tbl_details5[[#This Row],[Revenue]]</f>
        <v>0.45017182130584193</v>
      </c>
      <c r="E1409">
        <v>5</v>
      </c>
      <c r="F1409" t="s">
        <v>883</v>
      </c>
      <c r="G1409" t="s">
        <v>901</v>
      </c>
      <c r="H1409" s="1">
        <f>VLOOKUP(tbl_details5[[#This Row],[Order ID]],Orders!A:F,2,FALSE)</f>
        <v>43542</v>
      </c>
      <c r="I1409" s="1" t="str">
        <f>TEXT(tbl_details5[[#This Row],[Order Date]],"mmm-yy")</f>
        <v>Mar-19</v>
      </c>
      <c r="J1409" t="str">
        <f>VLOOKUP(tbl_details5[[#This Row],[Order ID]],Table1[],4,FALSE)</f>
        <v>Shruti</v>
      </c>
      <c r="K1409" t="str">
        <f>VLOOKUP(tbl_details5[[#This Row],[Order ID]],Table1[],5,FALSE)</f>
        <v>Karnataka</v>
      </c>
      <c r="L1409" t="str">
        <f>VLOOKUP(tbl_details5[[#This Row],[Order ID]],Table1[],6,FALSE)</f>
        <v>Bangalore</v>
      </c>
    </row>
    <row r="1410" spans="1:12" x14ac:dyDescent="0.25">
      <c r="A1410" t="s">
        <v>847</v>
      </c>
      <c r="B1410" s="4">
        <v>75</v>
      </c>
      <c r="C1410" s="4">
        <v>29</v>
      </c>
      <c r="D1410" s="5">
        <f>tbl_details5[[#This Row],[Profit]]/tbl_details5[[#This Row],[Revenue]]</f>
        <v>0.38666666666666666</v>
      </c>
      <c r="E1410">
        <v>1</v>
      </c>
      <c r="F1410" t="s">
        <v>885</v>
      </c>
      <c r="G1410" t="s">
        <v>892</v>
      </c>
      <c r="H1410" s="1">
        <f>VLOOKUP(tbl_details5[[#This Row],[Order ID]],Orders!A:F,2,FALSE)</f>
        <v>43542</v>
      </c>
      <c r="I1410" s="1" t="str">
        <f>TEXT(tbl_details5[[#This Row],[Order Date]],"mmm-yy")</f>
        <v>Mar-19</v>
      </c>
      <c r="J1410" t="str">
        <f>VLOOKUP(tbl_details5[[#This Row],[Order ID]],Table1[],4,FALSE)</f>
        <v>Shruti</v>
      </c>
      <c r="K1410" t="str">
        <f>VLOOKUP(tbl_details5[[#This Row],[Order ID]],Table1[],5,FALSE)</f>
        <v>Karnataka</v>
      </c>
      <c r="L1410" t="str">
        <f>VLOOKUP(tbl_details5[[#This Row],[Order ID]],Table1[],6,FALSE)</f>
        <v>Bangalore</v>
      </c>
    </row>
    <row r="1411" spans="1:12" x14ac:dyDescent="0.25">
      <c r="A1411" t="s">
        <v>847</v>
      </c>
      <c r="B1411" s="4">
        <v>14</v>
      </c>
      <c r="C1411" s="4">
        <v>7</v>
      </c>
      <c r="D1411" s="5">
        <f>tbl_details5[[#This Row],[Profit]]/tbl_details5[[#This Row],[Revenue]]</f>
        <v>0.5</v>
      </c>
      <c r="E1411">
        <v>2</v>
      </c>
      <c r="F1411" t="s">
        <v>885</v>
      </c>
      <c r="G1411" t="s">
        <v>887</v>
      </c>
      <c r="H1411" s="1">
        <f>VLOOKUP(tbl_details5[[#This Row],[Order ID]],Orders!A:F,2,FALSE)</f>
        <v>43542</v>
      </c>
      <c r="I1411" s="1" t="str">
        <f>TEXT(tbl_details5[[#This Row],[Order Date]],"mmm-yy")</f>
        <v>Mar-19</v>
      </c>
      <c r="J1411" t="str">
        <f>VLOOKUP(tbl_details5[[#This Row],[Order ID]],Table1[],4,FALSE)</f>
        <v>Shruti</v>
      </c>
      <c r="K1411" t="str">
        <f>VLOOKUP(tbl_details5[[#This Row],[Order ID]],Table1[],5,FALSE)</f>
        <v>Karnataka</v>
      </c>
      <c r="L1411" t="str">
        <f>VLOOKUP(tbl_details5[[#This Row],[Order ID]],Table1[],6,FALSE)</f>
        <v>Bangalore</v>
      </c>
    </row>
    <row r="1412" spans="1:12" x14ac:dyDescent="0.25">
      <c r="A1412" t="s">
        <v>848</v>
      </c>
      <c r="B1412" s="4">
        <v>21</v>
      </c>
      <c r="C1412" s="4">
        <v>4</v>
      </c>
      <c r="D1412" s="5">
        <f>tbl_details5[[#This Row],[Profit]]/tbl_details5[[#This Row],[Revenue]]</f>
        <v>0.19047619047619047</v>
      </c>
      <c r="E1412">
        <v>3</v>
      </c>
      <c r="F1412" t="s">
        <v>885</v>
      </c>
      <c r="G1412" t="s">
        <v>887</v>
      </c>
      <c r="H1412" s="1">
        <f>VLOOKUP(tbl_details5[[#This Row],[Order ID]],Orders!A:F,2,FALSE)</f>
        <v>43543</v>
      </c>
      <c r="I1412" s="1" t="str">
        <f>TEXT(tbl_details5[[#This Row],[Order Date]],"mmm-yy")</f>
        <v>Mar-19</v>
      </c>
      <c r="J1412" t="str">
        <f>VLOOKUP(tbl_details5[[#This Row],[Order ID]],Table1[],4,FALSE)</f>
        <v>Subhashree</v>
      </c>
      <c r="K1412" t="str">
        <f>VLOOKUP(tbl_details5[[#This Row],[Order ID]],Table1[],5,FALSE)</f>
        <v>Jammu and Kashmir</v>
      </c>
      <c r="L1412" t="str">
        <f>VLOOKUP(tbl_details5[[#This Row],[Order ID]],Table1[],6,FALSE)</f>
        <v>Kashmir</v>
      </c>
    </row>
    <row r="1413" spans="1:12" x14ac:dyDescent="0.25">
      <c r="A1413" t="s">
        <v>849</v>
      </c>
      <c r="B1413" s="4">
        <v>313</v>
      </c>
      <c r="C1413" s="4">
        <v>44</v>
      </c>
      <c r="D1413" s="5">
        <f>tbl_details5[[#This Row],[Profit]]/tbl_details5[[#This Row],[Revenue]]</f>
        <v>0.14057507987220447</v>
      </c>
      <c r="E1413">
        <v>3</v>
      </c>
      <c r="F1413" t="s">
        <v>888</v>
      </c>
      <c r="G1413" t="s">
        <v>889</v>
      </c>
      <c r="H1413" s="1">
        <f>VLOOKUP(tbl_details5[[#This Row],[Order ID]],Orders!A:F,2,FALSE)</f>
        <v>43544</v>
      </c>
      <c r="I1413" s="1" t="str">
        <f>TEXT(tbl_details5[[#This Row],[Order Date]],"mmm-yy")</f>
        <v>Mar-19</v>
      </c>
      <c r="J1413" t="str">
        <f>VLOOKUP(tbl_details5[[#This Row],[Order ID]],Table1[],4,FALSE)</f>
        <v>Sweta</v>
      </c>
      <c r="K1413" t="str">
        <f>VLOOKUP(tbl_details5[[#This Row],[Order ID]],Table1[],5,FALSE)</f>
        <v>Maharashtra</v>
      </c>
      <c r="L1413" t="str">
        <f>VLOOKUP(tbl_details5[[#This Row],[Order ID]],Table1[],6,FALSE)</f>
        <v>Mumbai</v>
      </c>
    </row>
    <row r="1414" spans="1:12" x14ac:dyDescent="0.25">
      <c r="A1414" t="s">
        <v>850</v>
      </c>
      <c r="B1414" s="4">
        <v>37</v>
      </c>
      <c r="C1414" s="4">
        <v>17</v>
      </c>
      <c r="D1414" s="5">
        <f>tbl_details5[[#This Row],[Profit]]/tbl_details5[[#This Row],[Revenue]]</f>
        <v>0.45945945945945948</v>
      </c>
      <c r="E1414">
        <v>3</v>
      </c>
      <c r="F1414" t="s">
        <v>885</v>
      </c>
      <c r="G1414" t="s">
        <v>887</v>
      </c>
      <c r="H1414" s="1">
        <f>VLOOKUP(tbl_details5[[#This Row],[Order ID]],Orders!A:F,2,FALSE)</f>
        <v>43545</v>
      </c>
      <c r="I1414" s="1" t="str">
        <f>TEXT(tbl_details5[[#This Row],[Order Date]],"mmm-yy")</f>
        <v>Mar-19</v>
      </c>
      <c r="J1414" t="str">
        <f>VLOOKUP(tbl_details5[[#This Row],[Order ID]],Table1[],4,FALSE)</f>
        <v>Pournamasi</v>
      </c>
      <c r="K1414" t="str">
        <f>VLOOKUP(tbl_details5[[#This Row],[Order ID]],Table1[],5,FALSE)</f>
        <v>Madhya Pradesh</v>
      </c>
      <c r="L1414" t="str">
        <f>VLOOKUP(tbl_details5[[#This Row],[Order ID]],Table1[],6,FALSE)</f>
        <v>Indore</v>
      </c>
    </row>
    <row r="1415" spans="1:12" x14ac:dyDescent="0.25">
      <c r="A1415" t="s">
        <v>850</v>
      </c>
      <c r="B1415" s="4">
        <v>290</v>
      </c>
      <c r="C1415" s="4">
        <v>110</v>
      </c>
      <c r="D1415" s="5">
        <f>tbl_details5[[#This Row],[Profit]]/tbl_details5[[#This Row],[Revenue]]</f>
        <v>0.37931034482758619</v>
      </c>
      <c r="E1415">
        <v>9</v>
      </c>
      <c r="F1415" t="s">
        <v>885</v>
      </c>
      <c r="G1415" t="s">
        <v>886</v>
      </c>
      <c r="H1415" s="1">
        <f>VLOOKUP(tbl_details5[[#This Row],[Order ID]],Orders!A:F,2,FALSE)</f>
        <v>43545</v>
      </c>
      <c r="I1415" s="1" t="str">
        <f>TEXT(tbl_details5[[#This Row],[Order Date]],"mmm-yy")</f>
        <v>Mar-19</v>
      </c>
      <c r="J1415" t="str">
        <f>VLOOKUP(tbl_details5[[#This Row],[Order ID]],Table1[],4,FALSE)</f>
        <v>Pournamasi</v>
      </c>
      <c r="K1415" t="str">
        <f>VLOOKUP(tbl_details5[[#This Row],[Order ID]],Table1[],5,FALSE)</f>
        <v>Madhya Pradesh</v>
      </c>
      <c r="L1415" t="str">
        <f>VLOOKUP(tbl_details5[[#This Row],[Order ID]],Table1[],6,FALSE)</f>
        <v>Indore</v>
      </c>
    </row>
    <row r="1416" spans="1:12" x14ac:dyDescent="0.25">
      <c r="A1416" t="s">
        <v>850</v>
      </c>
      <c r="B1416" s="4">
        <v>122</v>
      </c>
      <c r="C1416" s="4">
        <v>11</v>
      </c>
      <c r="D1416" s="5">
        <f>tbl_details5[[#This Row],[Profit]]/tbl_details5[[#This Row],[Revenue]]</f>
        <v>9.0163934426229511E-2</v>
      </c>
      <c r="E1416">
        <v>4</v>
      </c>
      <c r="F1416" t="s">
        <v>885</v>
      </c>
      <c r="G1416" t="s">
        <v>887</v>
      </c>
      <c r="H1416" s="1">
        <f>VLOOKUP(tbl_details5[[#This Row],[Order ID]],Orders!A:F,2,FALSE)</f>
        <v>43545</v>
      </c>
      <c r="I1416" s="1" t="str">
        <f>TEXT(tbl_details5[[#This Row],[Order Date]],"mmm-yy")</f>
        <v>Mar-19</v>
      </c>
      <c r="J1416" t="str">
        <f>VLOOKUP(tbl_details5[[#This Row],[Order ID]],Table1[],4,FALSE)</f>
        <v>Pournamasi</v>
      </c>
      <c r="K1416" t="str">
        <f>VLOOKUP(tbl_details5[[#This Row],[Order ID]],Table1[],5,FALSE)</f>
        <v>Madhya Pradesh</v>
      </c>
      <c r="L1416" t="str">
        <f>VLOOKUP(tbl_details5[[#This Row],[Order ID]],Table1[],6,FALSE)</f>
        <v>Indore</v>
      </c>
    </row>
    <row r="1417" spans="1:12" x14ac:dyDescent="0.25">
      <c r="A1417" t="s">
        <v>850</v>
      </c>
      <c r="B1417" s="4">
        <v>29</v>
      </c>
      <c r="C1417" s="4">
        <v>9</v>
      </c>
      <c r="D1417" s="5">
        <f>tbl_details5[[#This Row],[Profit]]/tbl_details5[[#This Row],[Revenue]]</f>
        <v>0.31034482758620691</v>
      </c>
      <c r="E1417">
        <v>3</v>
      </c>
      <c r="F1417" t="s">
        <v>885</v>
      </c>
      <c r="G1417" t="s">
        <v>891</v>
      </c>
      <c r="H1417" s="1">
        <f>VLOOKUP(tbl_details5[[#This Row],[Order ID]],Orders!A:F,2,FALSE)</f>
        <v>43545</v>
      </c>
      <c r="I1417" s="1" t="str">
        <f>TEXT(tbl_details5[[#This Row],[Order Date]],"mmm-yy")</f>
        <v>Mar-19</v>
      </c>
      <c r="J1417" t="str">
        <f>VLOOKUP(tbl_details5[[#This Row],[Order ID]],Table1[],4,FALSE)</f>
        <v>Pournamasi</v>
      </c>
      <c r="K1417" t="str">
        <f>VLOOKUP(tbl_details5[[#This Row],[Order ID]],Table1[],5,FALSE)</f>
        <v>Madhya Pradesh</v>
      </c>
      <c r="L1417" t="str">
        <f>VLOOKUP(tbl_details5[[#This Row],[Order ID]],Table1[],6,FALSE)</f>
        <v>Indore</v>
      </c>
    </row>
    <row r="1418" spans="1:12" x14ac:dyDescent="0.25">
      <c r="A1418" t="s">
        <v>850</v>
      </c>
      <c r="B1418" s="4">
        <v>1514</v>
      </c>
      <c r="C1418" s="4">
        <v>742</v>
      </c>
      <c r="D1418" s="5">
        <f>tbl_details5[[#This Row],[Profit]]/tbl_details5[[#This Row],[Revenue]]</f>
        <v>0.49009247027741082</v>
      </c>
      <c r="E1418">
        <v>4</v>
      </c>
      <c r="F1418" t="s">
        <v>888</v>
      </c>
      <c r="G1418" t="s">
        <v>899</v>
      </c>
      <c r="H1418" s="1">
        <f>VLOOKUP(tbl_details5[[#This Row],[Order ID]],Orders!A:F,2,FALSE)</f>
        <v>43545</v>
      </c>
      <c r="I1418" s="1" t="str">
        <f>TEXT(tbl_details5[[#This Row],[Order Date]],"mmm-yy")</f>
        <v>Mar-19</v>
      </c>
      <c r="J1418" t="str">
        <f>VLOOKUP(tbl_details5[[#This Row],[Order ID]],Table1[],4,FALSE)</f>
        <v>Pournamasi</v>
      </c>
      <c r="K1418" t="str">
        <f>VLOOKUP(tbl_details5[[#This Row],[Order ID]],Table1[],5,FALSE)</f>
        <v>Madhya Pradesh</v>
      </c>
      <c r="L1418" t="str">
        <f>VLOOKUP(tbl_details5[[#This Row],[Order ID]],Table1[],6,FALSE)</f>
        <v>Indore</v>
      </c>
    </row>
    <row r="1419" spans="1:12" x14ac:dyDescent="0.25">
      <c r="A1419" t="s">
        <v>851</v>
      </c>
      <c r="B1419" s="4">
        <v>57</v>
      </c>
      <c r="C1419" s="4">
        <v>21</v>
      </c>
      <c r="D1419" s="5">
        <f>tbl_details5[[#This Row],[Profit]]/tbl_details5[[#This Row],[Revenue]]</f>
        <v>0.36842105263157893</v>
      </c>
      <c r="E1419">
        <v>4</v>
      </c>
      <c r="F1419" t="s">
        <v>885</v>
      </c>
      <c r="G1419" t="s">
        <v>897</v>
      </c>
      <c r="H1419" s="1">
        <f>VLOOKUP(tbl_details5[[#This Row],[Order ID]],Orders!A:F,2,FALSE)</f>
        <v>43545</v>
      </c>
      <c r="I1419" s="1" t="str">
        <f>TEXT(tbl_details5[[#This Row],[Order Date]],"mmm-yy")</f>
        <v>Mar-19</v>
      </c>
      <c r="J1419" t="str">
        <f>VLOOKUP(tbl_details5[[#This Row],[Order ID]],Table1[],4,FALSE)</f>
        <v>Bharat</v>
      </c>
      <c r="K1419" t="str">
        <f>VLOOKUP(tbl_details5[[#This Row],[Order ID]],Table1[],5,FALSE)</f>
        <v>Gujarat</v>
      </c>
      <c r="L1419" t="str">
        <f>VLOOKUP(tbl_details5[[#This Row],[Order ID]],Table1[],6,FALSE)</f>
        <v>Ahmedabad</v>
      </c>
    </row>
    <row r="1420" spans="1:12" x14ac:dyDescent="0.25">
      <c r="A1420" t="s">
        <v>852</v>
      </c>
      <c r="B1420" s="4">
        <v>34</v>
      </c>
      <c r="C1420" s="4">
        <v>12</v>
      </c>
      <c r="D1420" s="5">
        <f>tbl_details5[[#This Row],[Profit]]/tbl_details5[[#This Row],[Revenue]]</f>
        <v>0.35294117647058826</v>
      </c>
      <c r="E1420">
        <v>2</v>
      </c>
      <c r="F1420" t="s">
        <v>885</v>
      </c>
      <c r="G1420" t="s">
        <v>886</v>
      </c>
      <c r="H1420" s="1">
        <f>VLOOKUP(tbl_details5[[#This Row],[Order ID]],Orders!A:F,2,FALSE)</f>
        <v>43545</v>
      </c>
      <c r="I1420" s="1" t="str">
        <f>TEXT(tbl_details5[[#This Row],[Order Date]],"mmm-yy")</f>
        <v>Mar-19</v>
      </c>
      <c r="J1420" t="str">
        <f>VLOOKUP(tbl_details5[[#This Row],[Order ID]],Table1[],4,FALSE)</f>
        <v>Pearl</v>
      </c>
      <c r="K1420" t="str">
        <f>VLOOKUP(tbl_details5[[#This Row],[Order ID]],Table1[],5,FALSE)</f>
        <v>Maharashtra</v>
      </c>
      <c r="L1420" t="str">
        <f>VLOOKUP(tbl_details5[[#This Row],[Order ID]],Table1[],6,FALSE)</f>
        <v>Pune</v>
      </c>
    </row>
    <row r="1421" spans="1:12" x14ac:dyDescent="0.25">
      <c r="A1421" t="s">
        <v>853</v>
      </c>
      <c r="B1421" s="4">
        <v>91</v>
      </c>
      <c r="C1421" s="4">
        <v>22</v>
      </c>
      <c r="D1421" s="5">
        <f>tbl_details5[[#This Row],[Profit]]/tbl_details5[[#This Row],[Revenue]]</f>
        <v>0.24175824175824176</v>
      </c>
      <c r="E1421">
        <v>2</v>
      </c>
      <c r="F1421" t="s">
        <v>885</v>
      </c>
      <c r="G1421" t="s">
        <v>886</v>
      </c>
      <c r="H1421" s="1">
        <f>VLOOKUP(tbl_details5[[#This Row],[Order ID]],Orders!A:F,2,FALSE)</f>
        <v>43545</v>
      </c>
      <c r="I1421" s="1" t="str">
        <f>TEXT(tbl_details5[[#This Row],[Order Date]],"mmm-yy")</f>
        <v>Mar-19</v>
      </c>
      <c r="J1421" t="str">
        <f>VLOOKUP(tbl_details5[[#This Row],[Order ID]],Table1[],4,FALSE)</f>
        <v>Jahan</v>
      </c>
      <c r="K1421" t="str">
        <f>VLOOKUP(tbl_details5[[#This Row],[Order ID]],Table1[],5,FALSE)</f>
        <v>Madhya Pradesh</v>
      </c>
      <c r="L1421" t="str">
        <f>VLOOKUP(tbl_details5[[#This Row],[Order ID]],Table1[],6,FALSE)</f>
        <v>Bhopal</v>
      </c>
    </row>
    <row r="1422" spans="1:12" x14ac:dyDescent="0.25">
      <c r="A1422" t="s">
        <v>853</v>
      </c>
      <c r="B1422" s="4">
        <v>133</v>
      </c>
      <c r="C1422" s="4">
        <v>46</v>
      </c>
      <c r="D1422" s="5">
        <f>tbl_details5[[#This Row],[Profit]]/tbl_details5[[#This Row],[Revenue]]</f>
        <v>0.34586466165413532</v>
      </c>
      <c r="E1422">
        <v>5</v>
      </c>
      <c r="F1422" t="s">
        <v>885</v>
      </c>
      <c r="G1422" t="s">
        <v>896</v>
      </c>
      <c r="H1422" s="1">
        <f>VLOOKUP(tbl_details5[[#This Row],[Order ID]],Orders!A:F,2,FALSE)</f>
        <v>43545</v>
      </c>
      <c r="I1422" s="1" t="str">
        <f>TEXT(tbl_details5[[#This Row],[Order Date]],"mmm-yy")</f>
        <v>Mar-19</v>
      </c>
      <c r="J1422" t="str">
        <f>VLOOKUP(tbl_details5[[#This Row],[Order ID]],Table1[],4,FALSE)</f>
        <v>Jahan</v>
      </c>
      <c r="K1422" t="str">
        <f>VLOOKUP(tbl_details5[[#This Row],[Order ID]],Table1[],5,FALSE)</f>
        <v>Madhya Pradesh</v>
      </c>
      <c r="L1422" t="str">
        <f>VLOOKUP(tbl_details5[[#This Row],[Order ID]],Table1[],6,FALSE)</f>
        <v>Bhopal</v>
      </c>
    </row>
    <row r="1423" spans="1:12" x14ac:dyDescent="0.25">
      <c r="A1423" t="s">
        <v>853</v>
      </c>
      <c r="B1423" s="4">
        <v>60</v>
      </c>
      <c r="C1423" s="4">
        <v>13</v>
      </c>
      <c r="D1423" s="5">
        <f>tbl_details5[[#This Row],[Profit]]/tbl_details5[[#This Row],[Revenue]]</f>
        <v>0.21666666666666667</v>
      </c>
      <c r="E1423">
        <v>2</v>
      </c>
      <c r="F1423" t="s">
        <v>885</v>
      </c>
      <c r="G1423" t="s">
        <v>895</v>
      </c>
      <c r="H1423" s="1">
        <f>VLOOKUP(tbl_details5[[#This Row],[Order ID]],Orders!A:F,2,FALSE)</f>
        <v>43545</v>
      </c>
      <c r="I1423" s="1" t="str">
        <f>TEXT(tbl_details5[[#This Row],[Order Date]],"mmm-yy")</f>
        <v>Mar-19</v>
      </c>
      <c r="J1423" t="str">
        <f>VLOOKUP(tbl_details5[[#This Row],[Order ID]],Table1[],4,FALSE)</f>
        <v>Jahan</v>
      </c>
      <c r="K1423" t="str">
        <f>VLOOKUP(tbl_details5[[#This Row],[Order ID]],Table1[],5,FALSE)</f>
        <v>Madhya Pradesh</v>
      </c>
      <c r="L1423" t="str">
        <f>VLOOKUP(tbl_details5[[#This Row],[Order ID]],Table1[],6,FALSE)</f>
        <v>Bhopal</v>
      </c>
    </row>
    <row r="1424" spans="1:12" x14ac:dyDescent="0.25">
      <c r="A1424" t="s">
        <v>853</v>
      </c>
      <c r="B1424" s="4">
        <v>19</v>
      </c>
      <c r="C1424" s="4">
        <v>4</v>
      </c>
      <c r="D1424" s="5">
        <f>tbl_details5[[#This Row],[Profit]]/tbl_details5[[#This Row],[Revenue]]</f>
        <v>0.21052631578947367</v>
      </c>
      <c r="E1424">
        <v>2</v>
      </c>
      <c r="F1424" t="s">
        <v>885</v>
      </c>
      <c r="G1424" t="s">
        <v>891</v>
      </c>
      <c r="H1424" s="1">
        <f>VLOOKUP(tbl_details5[[#This Row],[Order ID]],Orders!A:F,2,FALSE)</f>
        <v>43545</v>
      </c>
      <c r="I1424" s="1" t="str">
        <f>TEXT(tbl_details5[[#This Row],[Order Date]],"mmm-yy")</f>
        <v>Mar-19</v>
      </c>
      <c r="J1424" t="str">
        <f>VLOOKUP(tbl_details5[[#This Row],[Order ID]],Table1[],4,FALSE)</f>
        <v>Jahan</v>
      </c>
      <c r="K1424" t="str">
        <f>VLOOKUP(tbl_details5[[#This Row],[Order ID]],Table1[],5,FALSE)</f>
        <v>Madhya Pradesh</v>
      </c>
      <c r="L1424" t="str">
        <f>VLOOKUP(tbl_details5[[#This Row],[Order ID]],Table1[],6,FALSE)</f>
        <v>Bhopal</v>
      </c>
    </row>
    <row r="1425" spans="1:12" x14ac:dyDescent="0.25">
      <c r="A1425" t="s">
        <v>853</v>
      </c>
      <c r="B1425" s="4">
        <v>450</v>
      </c>
      <c r="C1425" s="4">
        <v>190</v>
      </c>
      <c r="D1425" s="5">
        <f>tbl_details5[[#This Row],[Profit]]/tbl_details5[[#This Row],[Revenue]]</f>
        <v>0.42222222222222222</v>
      </c>
      <c r="E1425">
        <v>4</v>
      </c>
      <c r="F1425" t="s">
        <v>883</v>
      </c>
      <c r="G1425" t="s">
        <v>884</v>
      </c>
      <c r="H1425" s="1">
        <f>VLOOKUP(tbl_details5[[#This Row],[Order ID]],Orders!A:F,2,FALSE)</f>
        <v>43545</v>
      </c>
      <c r="I1425" s="1" t="str">
        <f>TEXT(tbl_details5[[#This Row],[Order Date]],"mmm-yy")</f>
        <v>Mar-19</v>
      </c>
      <c r="J1425" t="str">
        <f>VLOOKUP(tbl_details5[[#This Row],[Order ID]],Table1[],4,FALSE)</f>
        <v>Jahan</v>
      </c>
      <c r="K1425" t="str">
        <f>VLOOKUP(tbl_details5[[#This Row],[Order ID]],Table1[],5,FALSE)</f>
        <v>Madhya Pradesh</v>
      </c>
      <c r="L1425" t="str">
        <f>VLOOKUP(tbl_details5[[#This Row],[Order ID]],Table1[],6,FALSE)</f>
        <v>Bhopal</v>
      </c>
    </row>
    <row r="1426" spans="1:12" x14ac:dyDescent="0.25">
      <c r="A1426" t="s">
        <v>854</v>
      </c>
      <c r="B1426" s="4">
        <v>62</v>
      </c>
      <c r="C1426" s="4">
        <v>11</v>
      </c>
      <c r="D1426" s="5">
        <f>tbl_details5[[#This Row],[Profit]]/tbl_details5[[#This Row],[Revenue]]</f>
        <v>0.17741935483870969</v>
      </c>
      <c r="E1426">
        <v>7</v>
      </c>
      <c r="F1426" t="s">
        <v>885</v>
      </c>
      <c r="G1426" t="s">
        <v>887</v>
      </c>
      <c r="H1426" s="1">
        <f>VLOOKUP(tbl_details5[[#This Row],[Order ID]],Orders!A:F,2,FALSE)</f>
        <v>43546</v>
      </c>
      <c r="I1426" s="1" t="str">
        <f>TEXT(tbl_details5[[#This Row],[Order Date]],"mmm-yy")</f>
        <v>Mar-19</v>
      </c>
      <c r="J1426" t="str">
        <f>VLOOKUP(tbl_details5[[#This Row],[Order ID]],Table1[],4,FALSE)</f>
        <v>Divsha</v>
      </c>
      <c r="K1426" t="str">
        <f>VLOOKUP(tbl_details5[[#This Row],[Order ID]],Table1[],5,FALSE)</f>
        <v>Rajasthan</v>
      </c>
      <c r="L1426" t="str">
        <f>VLOOKUP(tbl_details5[[#This Row],[Order ID]],Table1[],6,FALSE)</f>
        <v>Jaipur</v>
      </c>
    </row>
    <row r="1427" spans="1:12" x14ac:dyDescent="0.25">
      <c r="A1427" t="s">
        <v>855</v>
      </c>
      <c r="B1427" s="4">
        <v>17</v>
      </c>
      <c r="C1427" s="4">
        <v>8</v>
      </c>
      <c r="D1427" s="5">
        <f>tbl_details5[[#This Row],[Profit]]/tbl_details5[[#This Row],[Revenue]]</f>
        <v>0.47058823529411764</v>
      </c>
      <c r="E1427">
        <v>2</v>
      </c>
      <c r="F1427" t="s">
        <v>885</v>
      </c>
      <c r="G1427" t="s">
        <v>902</v>
      </c>
      <c r="H1427" s="1">
        <f>VLOOKUP(tbl_details5[[#This Row],[Order ID]],Orders!A:F,2,FALSE)</f>
        <v>43546</v>
      </c>
      <c r="I1427" s="1" t="str">
        <f>TEXT(tbl_details5[[#This Row],[Order Date]],"mmm-yy")</f>
        <v>Mar-19</v>
      </c>
      <c r="J1427" t="str">
        <f>VLOOKUP(tbl_details5[[#This Row],[Order ID]],Table1[],4,FALSE)</f>
        <v>Kasheen</v>
      </c>
      <c r="K1427" t="str">
        <f>VLOOKUP(tbl_details5[[#This Row],[Order ID]],Table1[],5,FALSE)</f>
        <v>West Bengal</v>
      </c>
      <c r="L1427" t="str">
        <f>VLOOKUP(tbl_details5[[#This Row],[Order ID]],Table1[],6,FALSE)</f>
        <v>Kolkata</v>
      </c>
    </row>
    <row r="1428" spans="1:12" x14ac:dyDescent="0.25">
      <c r="A1428" t="s">
        <v>855</v>
      </c>
      <c r="B1428" s="4">
        <v>44</v>
      </c>
      <c r="C1428" s="4">
        <v>20</v>
      </c>
      <c r="D1428" s="5">
        <f>tbl_details5[[#This Row],[Profit]]/tbl_details5[[#This Row],[Revenue]]</f>
        <v>0.45454545454545453</v>
      </c>
      <c r="E1428">
        <v>2</v>
      </c>
      <c r="F1428" t="s">
        <v>885</v>
      </c>
      <c r="G1428" t="s">
        <v>895</v>
      </c>
      <c r="H1428" s="1">
        <f>VLOOKUP(tbl_details5[[#This Row],[Order ID]],Orders!A:F,2,FALSE)</f>
        <v>43546</v>
      </c>
      <c r="I1428" s="1" t="str">
        <f>TEXT(tbl_details5[[#This Row],[Order Date]],"mmm-yy")</f>
        <v>Mar-19</v>
      </c>
      <c r="J1428" t="str">
        <f>VLOOKUP(tbl_details5[[#This Row],[Order ID]],Table1[],4,FALSE)</f>
        <v>Kasheen</v>
      </c>
      <c r="K1428" t="str">
        <f>VLOOKUP(tbl_details5[[#This Row],[Order ID]],Table1[],5,FALSE)</f>
        <v>West Bengal</v>
      </c>
      <c r="L1428" t="str">
        <f>VLOOKUP(tbl_details5[[#This Row],[Order ID]],Table1[],6,FALSE)</f>
        <v>Kolkata</v>
      </c>
    </row>
    <row r="1429" spans="1:12" x14ac:dyDescent="0.25">
      <c r="A1429" t="s">
        <v>855</v>
      </c>
      <c r="B1429" s="4">
        <v>557</v>
      </c>
      <c r="C1429" s="4">
        <v>111</v>
      </c>
      <c r="D1429" s="5">
        <f>tbl_details5[[#This Row],[Profit]]/tbl_details5[[#This Row],[Revenue]]</f>
        <v>0.1992818671454219</v>
      </c>
      <c r="E1429">
        <v>2</v>
      </c>
      <c r="F1429" t="s">
        <v>888</v>
      </c>
      <c r="G1429" t="s">
        <v>889</v>
      </c>
      <c r="H1429" s="1">
        <f>VLOOKUP(tbl_details5[[#This Row],[Order ID]],Orders!A:F,2,FALSE)</f>
        <v>43546</v>
      </c>
      <c r="I1429" s="1" t="str">
        <f>TEXT(tbl_details5[[#This Row],[Order Date]],"mmm-yy")</f>
        <v>Mar-19</v>
      </c>
      <c r="J1429" t="str">
        <f>VLOOKUP(tbl_details5[[#This Row],[Order ID]],Table1[],4,FALSE)</f>
        <v>Kasheen</v>
      </c>
      <c r="K1429" t="str">
        <f>VLOOKUP(tbl_details5[[#This Row],[Order ID]],Table1[],5,FALSE)</f>
        <v>West Bengal</v>
      </c>
      <c r="L1429" t="str">
        <f>VLOOKUP(tbl_details5[[#This Row],[Order ID]],Table1[],6,FALSE)</f>
        <v>Kolkata</v>
      </c>
    </row>
    <row r="1430" spans="1:12" x14ac:dyDescent="0.25">
      <c r="A1430" t="s">
        <v>855</v>
      </c>
      <c r="B1430" s="4">
        <v>137</v>
      </c>
      <c r="C1430" s="4">
        <v>63</v>
      </c>
      <c r="D1430" s="5">
        <f>tbl_details5[[#This Row],[Profit]]/tbl_details5[[#This Row],[Revenue]]</f>
        <v>0.45985401459854014</v>
      </c>
      <c r="E1430">
        <v>3</v>
      </c>
      <c r="F1430" t="s">
        <v>885</v>
      </c>
      <c r="G1430" t="s">
        <v>886</v>
      </c>
      <c r="H1430" s="1">
        <f>VLOOKUP(tbl_details5[[#This Row],[Order ID]],Orders!A:F,2,FALSE)</f>
        <v>43546</v>
      </c>
      <c r="I1430" s="1" t="str">
        <f>TEXT(tbl_details5[[#This Row],[Order Date]],"mmm-yy")</f>
        <v>Mar-19</v>
      </c>
      <c r="J1430" t="str">
        <f>VLOOKUP(tbl_details5[[#This Row],[Order ID]],Table1[],4,FALSE)</f>
        <v>Kasheen</v>
      </c>
      <c r="K1430" t="str">
        <f>VLOOKUP(tbl_details5[[#This Row],[Order ID]],Table1[],5,FALSE)</f>
        <v>West Bengal</v>
      </c>
      <c r="L1430" t="str">
        <f>VLOOKUP(tbl_details5[[#This Row],[Order ID]],Table1[],6,FALSE)</f>
        <v>Kolkata</v>
      </c>
    </row>
    <row r="1431" spans="1:12" x14ac:dyDescent="0.25">
      <c r="A1431" t="s">
        <v>856</v>
      </c>
      <c r="B1431" s="4">
        <v>18</v>
      </c>
      <c r="C1431" s="4">
        <v>3</v>
      </c>
      <c r="D1431" s="5">
        <f>tbl_details5[[#This Row],[Profit]]/tbl_details5[[#This Row],[Revenue]]</f>
        <v>0.16666666666666666</v>
      </c>
      <c r="E1431">
        <v>2</v>
      </c>
      <c r="F1431" t="s">
        <v>885</v>
      </c>
      <c r="G1431" t="s">
        <v>887</v>
      </c>
      <c r="H1431" s="1">
        <f>VLOOKUP(tbl_details5[[#This Row],[Order ID]],Orders!A:F,2,FALSE)</f>
        <v>43546</v>
      </c>
      <c r="I1431" s="1" t="str">
        <f>TEXT(tbl_details5[[#This Row],[Order Date]],"mmm-yy")</f>
        <v>Mar-19</v>
      </c>
      <c r="J1431" t="str">
        <f>VLOOKUP(tbl_details5[[#This Row],[Order ID]],Table1[],4,FALSE)</f>
        <v>Hazel</v>
      </c>
      <c r="K1431" t="str">
        <f>VLOOKUP(tbl_details5[[#This Row],[Order ID]],Table1[],5,FALSE)</f>
        <v>Karnataka</v>
      </c>
      <c r="L1431" t="str">
        <f>VLOOKUP(tbl_details5[[#This Row],[Order ID]],Table1[],6,FALSE)</f>
        <v>Bangalore</v>
      </c>
    </row>
    <row r="1432" spans="1:12" x14ac:dyDescent="0.25">
      <c r="A1432" t="s">
        <v>857</v>
      </c>
      <c r="B1432" s="4">
        <v>109</v>
      </c>
      <c r="C1432" s="4">
        <v>35</v>
      </c>
      <c r="D1432" s="5">
        <f>tbl_details5[[#This Row],[Profit]]/tbl_details5[[#This Row],[Revenue]]</f>
        <v>0.32110091743119268</v>
      </c>
      <c r="E1432">
        <v>6</v>
      </c>
      <c r="F1432" t="s">
        <v>885</v>
      </c>
      <c r="G1432" t="s">
        <v>895</v>
      </c>
      <c r="H1432" s="1">
        <f>VLOOKUP(tbl_details5[[#This Row],[Order ID]],Orders!A:F,2,FALSE)</f>
        <v>43546</v>
      </c>
      <c r="I1432" s="1" t="str">
        <f>TEXT(tbl_details5[[#This Row],[Order Date]],"mmm-yy")</f>
        <v>Mar-19</v>
      </c>
      <c r="J1432" t="str">
        <f>VLOOKUP(tbl_details5[[#This Row],[Order ID]],Table1[],4,FALSE)</f>
        <v>Sonakshi</v>
      </c>
      <c r="K1432" t="str">
        <f>VLOOKUP(tbl_details5[[#This Row],[Order ID]],Table1[],5,FALSE)</f>
        <v>Jammu and Kashmir</v>
      </c>
      <c r="L1432" t="str">
        <f>VLOOKUP(tbl_details5[[#This Row],[Order ID]],Table1[],6,FALSE)</f>
        <v>Kashmir</v>
      </c>
    </row>
    <row r="1433" spans="1:12" x14ac:dyDescent="0.25">
      <c r="A1433" t="s">
        <v>858</v>
      </c>
      <c r="B1433" s="4">
        <v>359</v>
      </c>
      <c r="C1433" s="4">
        <v>-338</v>
      </c>
      <c r="D1433" s="5">
        <f>tbl_details5[[#This Row],[Profit]]/tbl_details5[[#This Row],[Revenue]]</f>
        <v>-0.9415041782729805</v>
      </c>
      <c r="E1433">
        <v>5</v>
      </c>
      <c r="F1433" t="s">
        <v>883</v>
      </c>
      <c r="G1433" t="s">
        <v>884</v>
      </c>
      <c r="H1433" s="1">
        <f>VLOOKUP(tbl_details5[[#This Row],[Order ID]],Orders!A:F,2,FALSE)</f>
        <v>43546</v>
      </c>
      <c r="I1433" s="1" t="str">
        <f>TEXT(tbl_details5[[#This Row],[Order Date]],"mmm-yy")</f>
        <v>Mar-19</v>
      </c>
      <c r="J1433" t="str">
        <f>VLOOKUP(tbl_details5[[#This Row],[Order ID]],Table1[],4,FALSE)</f>
        <v>Aarushi</v>
      </c>
      <c r="K1433" t="str">
        <f>VLOOKUP(tbl_details5[[#This Row],[Order ID]],Table1[],5,FALSE)</f>
        <v>Tamil Nadu</v>
      </c>
      <c r="L1433" t="str">
        <f>VLOOKUP(tbl_details5[[#This Row],[Order ID]],Table1[],6,FALSE)</f>
        <v>Chennai</v>
      </c>
    </row>
    <row r="1434" spans="1:12" x14ac:dyDescent="0.25">
      <c r="A1434" t="s">
        <v>858</v>
      </c>
      <c r="B1434" s="4">
        <v>93</v>
      </c>
      <c r="C1434" s="4">
        <v>-84</v>
      </c>
      <c r="D1434" s="5">
        <f>tbl_details5[[#This Row],[Profit]]/tbl_details5[[#This Row],[Revenue]]</f>
        <v>-0.90322580645161288</v>
      </c>
      <c r="E1434">
        <v>3</v>
      </c>
      <c r="F1434" t="s">
        <v>885</v>
      </c>
      <c r="G1434" t="s">
        <v>891</v>
      </c>
      <c r="H1434" s="1">
        <f>VLOOKUP(tbl_details5[[#This Row],[Order ID]],Orders!A:F,2,FALSE)</f>
        <v>43546</v>
      </c>
      <c r="I1434" s="1" t="str">
        <f>TEXT(tbl_details5[[#This Row],[Order Date]],"mmm-yy")</f>
        <v>Mar-19</v>
      </c>
      <c r="J1434" t="str">
        <f>VLOOKUP(tbl_details5[[#This Row],[Order ID]],Table1[],4,FALSE)</f>
        <v>Aarushi</v>
      </c>
      <c r="K1434" t="str">
        <f>VLOOKUP(tbl_details5[[#This Row],[Order ID]],Table1[],5,FALSE)</f>
        <v>Tamil Nadu</v>
      </c>
      <c r="L1434" t="str">
        <f>VLOOKUP(tbl_details5[[#This Row],[Order ID]],Table1[],6,FALSE)</f>
        <v>Chennai</v>
      </c>
    </row>
    <row r="1435" spans="1:12" x14ac:dyDescent="0.25">
      <c r="A1435" t="s">
        <v>858</v>
      </c>
      <c r="B1435" s="4">
        <v>169</v>
      </c>
      <c r="C1435" s="4">
        <v>0</v>
      </c>
      <c r="D1435" s="5">
        <f>tbl_details5[[#This Row],[Profit]]/tbl_details5[[#This Row],[Revenue]]</f>
        <v>0</v>
      </c>
      <c r="E1435">
        <v>3</v>
      </c>
      <c r="F1435" t="s">
        <v>888</v>
      </c>
      <c r="G1435" t="s">
        <v>900</v>
      </c>
      <c r="H1435" s="1">
        <f>VLOOKUP(tbl_details5[[#This Row],[Order ID]],Orders!A:F,2,FALSE)</f>
        <v>43546</v>
      </c>
      <c r="I1435" s="1" t="str">
        <f>TEXT(tbl_details5[[#This Row],[Order Date]],"mmm-yy")</f>
        <v>Mar-19</v>
      </c>
      <c r="J1435" t="str">
        <f>VLOOKUP(tbl_details5[[#This Row],[Order ID]],Table1[],4,FALSE)</f>
        <v>Aarushi</v>
      </c>
      <c r="K1435" t="str">
        <f>VLOOKUP(tbl_details5[[#This Row],[Order ID]],Table1[],5,FALSE)</f>
        <v>Tamil Nadu</v>
      </c>
      <c r="L1435" t="str">
        <f>VLOOKUP(tbl_details5[[#This Row],[Order ID]],Table1[],6,FALSE)</f>
        <v>Chennai</v>
      </c>
    </row>
    <row r="1436" spans="1:12" x14ac:dyDescent="0.25">
      <c r="A1436" t="s">
        <v>858</v>
      </c>
      <c r="B1436" s="4">
        <v>79</v>
      </c>
      <c r="C1436" s="4">
        <v>33</v>
      </c>
      <c r="D1436" s="5">
        <f>tbl_details5[[#This Row],[Profit]]/tbl_details5[[#This Row],[Revenue]]</f>
        <v>0.41772151898734178</v>
      </c>
      <c r="E1436">
        <v>4</v>
      </c>
      <c r="F1436" t="s">
        <v>885</v>
      </c>
      <c r="G1436" t="s">
        <v>886</v>
      </c>
      <c r="H1436" s="1">
        <f>VLOOKUP(tbl_details5[[#This Row],[Order ID]],Orders!A:F,2,FALSE)</f>
        <v>43546</v>
      </c>
      <c r="I1436" s="1" t="str">
        <f>TEXT(tbl_details5[[#This Row],[Order Date]],"mmm-yy")</f>
        <v>Mar-19</v>
      </c>
      <c r="J1436" t="str">
        <f>VLOOKUP(tbl_details5[[#This Row],[Order ID]],Table1[],4,FALSE)</f>
        <v>Aarushi</v>
      </c>
      <c r="K1436" t="str">
        <f>VLOOKUP(tbl_details5[[#This Row],[Order ID]],Table1[],5,FALSE)</f>
        <v>Tamil Nadu</v>
      </c>
      <c r="L1436" t="str">
        <f>VLOOKUP(tbl_details5[[#This Row],[Order ID]],Table1[],6,FALSE)</f>
        <v>Chennai</v>
      </c>
    </row>
    <row r="1437" spans="1:12" x14ac:dyDescent="0.25">
      <c r="A1437" t="s">
        <v>858</v>
      </c>
      <c r="B1437" s="4">
        <v>24</v>
      </c>
      <c r="C1437" s="4">
        <v>11</v>
      </c>
      <c r="D1437" s="5">
        <f>tbl_details5[[#This Row],[Profit]]/tbl_details5[[#This Row],[Revenue]]</f>
        <v>0.45833333333333331</v>
      </c>
      <c r="E1437">
        <v>3</v>
      </c>
      <c r="F1437" t="s">
        <v>885</v>
      </c>
      <c r="G1437" t="s">
        <v>887</v>
      </c>
      <c r="H1437" s="1">
        <f>VLOOKUP(tbl_details5[[#This Row],[Order ID]],Orders!A:F,2,FALSE)</f>
        <v>43546</v>
      </c>
      <c r="I1437" s="1" t="str">
        <f>TEXT(tbl_details5[[#This Row],[Order Date]],"mmm-yy")</f>
        <v>Mar-19</v>
      </c>
      <c r="J1437" t="str">
        <f>VLOOKUP(tbl_details5[[#This Row],[Order ID]],Table1[],4,FALSE)</f>
        <v>Aarushi</v>
      </c>
      <c r="K1437" t="str">
        <f>VLOOKUP(tbl_details5[[#This Row],[Order ID]],Table1[],5,FALSE)</f>
        <v>Tamil Nadu</v>
      </c>
      <c r="L1437" t="str">
        <f>VLOOKUP(tbl_details5[[#This Row],[Order ID]],Table1[],6,FALSE)</f>
        <v>Chennai</v>
      </c>
    </row>
    <row r="1438" spans="1:12" x14ac:dyDescent="0.25">
      <c r="A1438" t="s">
        <v>858</v>
      </c>
      <c r="B1438" s="4">
        <v>637</v>
      </c>
      <c r="C1438" s="4">
        <v>50</v>
      </c>
      <c r="D1438" s="5">
        <f>tbl_details5[[#This Row],[Profit]]/tbl_details5[[#This Row],[Revenue]]</f>
        <v>7.8492935635792779E-2</v>
      </c>
      <c r="E1438">
        <v>5</v>
      </c>
      <c r="F1438" t="s">
        <v>885</v>
      </c>
      <c r="G1438" t="s">
        <v>891</v>
      </c>
      <c r="H1438" s="1">
        <f>VLOOKUP(tbl_details5[[#This Row],[Order ID]],Orders!A:F,2,FALSE)</f>
        <v>43546</v>
      </c>
      <c r="I1438" s="1" t="str">
        <f>TEXT(tbl_details5[[#This Row],[Order Date]],"mmm-yy")</f>
        <v>Mar-19</v>
      </c>
      <c r="J1438" t="str">
        <f>VLOOKUP(tbl_details5[[#This Row],[Order ID]],Table1[],4,FALSE)</f>
        <v>Aarushi</v>
      </c>
      <c r="K1438" t="str">
        <f>VLOOKUP(tbl_details5[[#This Row],[Order ID]],Table1[],5,FALSE)</f>
        <v>Tamil Nadu</v>
      </c>
      <c r="L1438" t="str">
        <f>VLOOKUP(tbl_details5[[#This Row],[Order ID]],Table1[],6,FALSE)</f>
        <v>Chennai</v>
      </c>
    </row>
    <row r="1439" spans="1:12" x14ac:dyDescent="0.25">
      <c r="A1439" t="s">
        <v>859</v>
      </c>
      <c r="B1439" s="4">
        <v>95</v>
      </c>
      <c r="C1439" s="4">
        <v>5</v>
      </c>
      <c r="D1439" s="5">
        <f>tbl_details5[[#This Row],[Profit]]/tbl_details5[[#This Row],[Revenue]]</f>
        <v>5.2631578947368418E-2</v>
      </c>
      <c r="E1439">
        <v>2</v>
      </c>
      <c r="F1439" t="s">
        <v>885</v>
      </c>
      <c r="G1439" t="s">
        <v>886</v>
      </c>
      <c r="H1439" s="1">
        <f>VLOOKUP(tbl_details5[[#This Row],[Order ID]],Orders!A:F,2,FALSE)</f>
        <v>43547</v>
      </c>
      <c r="I1439" s="1" t="str">
        <f>TEXT(tbl_details5[[#This Row],[Order Date]],"mmm-yy")</f>
        <v>Mar-19</v>
      </c>
      <c r="J1439" t="str">
        <f>VLOOKUP(tbl_details5[[#This Row],[Order ID]],Table1[],4,FALSE)</f>
        <v>Jitesh</v>
      </c>
      <c r="K1439" t="str">
        <f>VLOOKUP(tbl_details5[[#This Row],[Order ID]],Table1[],5,FALSE)</f>
        <v>Uttar Pradesh</v>
      </c>
      <c r="L1439" t="str">
        <f>VLOOKUP(tbl_details5[[#This Row],[Order ID]],Table1[],6,FALSE)</f>
        <v>Lucknow</v>
      </c>
    </row>
    <row r="1440" spans="1:12" x14ac:dyDescent="0.25">
      <c r="A1440" t="s">
        <v>860</v>
      </c>
      <c r="B1440" s="4">
        <v>43</v>
      </c>
      <c r="C1440" s="4">
        <v>8</v>
      </c>
      <c r="D1440" s="5">
        <f>tbl_details5[[#This Row],[Profit]]/tbl_details5[[#This Row],[Revenue]]</f>
        <v>0.18604651162790697</v>
      </c>
      <c r="E1440">
        <v>3</v>
      </c>
      <c r="F1440" t="s">
        <v>885</v>
      </c>
      <c r="G1440" t="s">
        <v>897</v>
      </c>
      <c r="H1440" s="1">
        <f>VLOOKUP(tbl_details5[[#This Row],[Order ID]],Orders!A:F,2,FALSE)</f>
        <v>43548</v>
      </c>
      <c r="I1440" s="1" t="str">
        <f>TEXT(tbl_details5[[#This Row],[Order Date]],"mmm-yy")</f>
        <v>Mar-19</v>
      </c>
      <c r="J1440" t="str">
        <f>VLOOKUP(tbl_details5[[#This Row],[Order ID]],Table1[],4,FALSE)</f>
        <v>Yogesh</v>
      </c>
      <c r="K1440" t="str">
        <f>VLOOKUP(tbl_details5[[#This Row],[Order ID]],Table1[],5,FALSE)</f>
        <v>Bihar</v>
      </c>
      <c r="L1440" t="str">
        <f>VLOOKUP(tbl_details5[[#This Row],[Order ID]],Table1[],6,FALSE)</f>
        <v>Patna</v>
      </c>
    </row>
    <row r="1441" spans="1:12" x14ac:dyDescent="0.25">
      <c r="A1441" t="s">
        <v>860</v>
      </c>
      <c r="B1441" s="4">
        <v>145</v>
      </c>
      <c r="C1441" s="4">
        <v>16</v>
      </c>
      <c r="D1441" s="5">
        <f>tbl_details5[[#This Row],[Profit]]/tbl_details5[[#This Row],[Revenue]]</f>
        <v>0.1103448275862069</v>
      </c>
      <c r="E1441">
        <v>3</v>
      </c>
      <c r="F1441" t="s">
        <v>885</v>
      </c>
      <c r="G1441" t="s">
        <v>895</v>
      </c>
      <c r="H1441" s="1">
        <f>VLOOKUP(tbl_details5[[#This Row],[Order ID]],Orders!A:F,2,FALSE)</f>
        <v>43548</v>
      </c>
      <c r="I1441" s="1" t="str">
        <f>TEXT(tbl_details5[[#This Row],[Order Date]],"mmm-yy")</f>
        <v>Mar-19</v>
      </c>
      <c r="J1441" t="str">
        <f>VLOOKUP(tbl_details5[[#This Row],[Order ID]],Table1[],4,FALSE)</f>
        <v>Yogesh</v>
      </c>
      <c r="K1441" t="str">
        <f>VLOOKUP(tbl_details5[[#This Row],[Order ID]],Table1[],5,FALSE)</f>
        <v>Bihar</v>
      </c>
      <c r="L1441" t="str">
        <f>VLOOKUP(tbl_details5[[#This Row],[Order ID]],Table1[],6,FALSE)</f>
        <v>Patna</v>
      </c>
    </row>
    <row r="1442" spans="1:12" x14ac:dyDescent="0.25">
      <c r="A1442" t="s">
        <v>860</v>
      </c>
      <c r="B1442" s="4">
        <v>34</v>
      </c>
      <c r="C1442" s="4">
        <v>3</v>
      </c>
      <c r="D1442" s="5">
        <f>tbl_details5[[#This Row],[Profit]]/tbl_details5[[#This Row],[Revenue]]</f>
        <v>8.8235294117647065E-2</v>
      </c>
      <c r="E1442">
        <v>3</v>
      </c>
      <c r="F1442" t="s">
        <v>885</v>
      </c>
      <c r="G1442" t="s">
        <v>891</v>
      </c>
      <c r="H1442" s="1">
        <f>VLOOKUP(tbl_details5[[#This Row],[Order ID]],Orders!A:F,2,FALSE)</f>
        <v>43548</v>
      </c>
      <c r="I1442" s="1" t="str">
        <f>TEXT(tbl_details5[[#This Row],[Order Date]],"mmm-yy")</f>
        <v>Mar-19</v>
      </c>
      <c r="J1442" t="str">
        <f>VLOOKUP(tbl_details5[[#This Row],[Order ID]],Table1[],4,FALSE)</f>
        <v>Yogesh</v>
      </c>
      <c r="K1442" t="str">
        <f>VLOOKUP(tbl_details5[[#This Row],[Order ID]],Table1[],5,FALSE)</f>
        <v>Bihar</v>
      </c>
      <c r="L1442" t="str">
        <f>VLOOKUP(tbl_details5[[#This Row],[Order ID]],Table1[],6,FALSE)</f>
        <v>Patna</v>
      </c>
    </row>
    <row r="1443" spans="1:12" x14ac:dyDescent="0.25">
      <c r="A1443" t="s">
        <v>860</v>
      </c>
      <c r="B1443" s="4">
        <v>143</v>
      </c>
      <c r="C1443" s="4">
        <v>6</v>
      </c>
      <c r="D1443" s="5">
        <f>tbl_details5[[#This Row],[Profit]]/tbl_details5[[#This Row],[Revenue]]</f>
        <v>4.195804195804196E-2</v>
      </c>
      <c r="E1443">
        <v>2</v>
      </c>
      <c r="F1443" t="s">
        <v>888</v>
      </c>
      <c r="G1443" t="s">
        <v>900</v>
      </c>
      <c r="H1443" s="1">
        <f>VLOOKUP(tbl_details5[[#This Row],[Order ID]],Orders!A:F,2,FALSE)</f>
        <v>43548</v>
      </c>
      <c r="I1443" s="1" t="str">
        <f>TEXT(tbl_details5[[#This Row],[Order Date]],"mmm-yy")</f>
        <v>Mar-19</v>
      </c>
      <c r="J1443" t="str">
        <f>VLOOKUP(tbl_details5[[#This Row],[Order ID]],Table1[],4,FALSE)</f>
        <v>Yogesh</v>
      </c>
      <c r="K1443" t="str">
        <f>VLOOKUP(tbl_details5[[#This Row],[Order ID]],Table1[],5,FALSE)</f>
        <v>Bihar</v>
      </c>
      <c r="L1443" t="str">
        <f>VLOOKUP(tbl_details5[[#This Row],[Order ID]],Table1[],6,FALSE)</f>
        <v>Patna</v>
      </c>
    </row>
    <row r="1444" spans="1:12" x14ac:dyDescent="0.25">
      <c r="A1444" t="s">
        <v>860</v>
      </c>
      <c r="B1444" s="4">
        <v>45</v>
      </c>
      <c r="C1444" s="4">
        <v>17</v>
      </c>
      <c r="D1444" s="5">
        <f>tbl_details5[[#This Row],[Profit]]/tbl_details5[[#This Row],[Revenue]]</f>
        <v>0.37777777777777777</v>
      </c>
      <c r="E1444">
        <v>1</v>
      </c>
      <c r="F1444" t="s">
        <v>888</v>
      </c>
      <c r="G1444" t="s">
        <v>900</v>
      </c>
      <c r="H1444" s="1">
        <f>VLOOKUP(tbl_details5[[#This Row],[Order ID]],Orders!A:F,2,FALSE)</f>
        <v>43548</v>
      </c>
      <c r="I1444" s="1" t="str">
        <f>TEXT(tbl_details5[[#This Row],[Order Date]],"mmm-yy")</f>
        <v>Mar-19</v>
      </c>
      <c r="J1444" t="str">
        <f>VLOOKUP(tbl_details5[[#This Row],[Order ID]],Table1[],4,FALSE)</f>
        <v>Yogesh</v>
      </c>
      <c r="K1444" t="str">
        <f>VLOOKUP(tbl_details5[[#This Row],[Order ID]],Table1[],5,FALSE)</f>
        <v>Bihar</v>
      </c>
      <c r="L1444" t="str">
        <f>VLOOKUP(tbl_details5[[#This Row],[Order ID]],Table1[],6,FALSE)</f>
        <v>Patna</v>
      </c>
    </row>
    <row r="1445" spans="1:12" x14ac:dyDescent="0.25">
      <c r="A1445" t="s">
        <v>861</v>
      </c>
      <c r="B1445" s="4">
        <v>209</v>
      </c>
      <c r="C1445" s="4">
        <v>-63</v>
      </c>
      <c r="D1445" s="5">
        <f>tbl_details5[[#This Row],[Profit]]/tbl_details5[[#This Row],[Revenue]]</f>
        <v>-0.30143540669856461</v>
      </c>
      <c r="E1445">
        <v>4</v>
      </c>
      <c r="F1445" t="s">
        <v>888</v>
      </c>
      <c r="G1445" t="s">
        <v>889</v>
      </c>
      <c r="H1445" s="1">
        <f>VLOOKUP(tbl_details5[[#This Row],[Order ID]],Orders!A:F,2,FALSE)</f>
        <v>43549</v>
      </c>
      <c r="I1445" s="1" t="str">
        <f>TEXT(tbl_details5[[#This Row],[Order Date]],"mmm-yy")</f>
        <v>Mar-19</v>
      </c>
      <c r="J1445" t="str">
        <f>VLOOKUP(tbl_details5[[#This Row],[Order ID]],Table1[],4,FALSE)</f>
        <v>Anita</v>
      </c>
      <c r="K1445" t="str">
        <f>VLOOKUP(tbl_details5[[#This Row],[Order ID]],Table1[],5,FALSE)</f>
        <v xml:space="preserve">Kerala </v>
      </c>
      <c r="L1445" t="str">
        <f>VLOOKUP(tbl_details5[[#This Row],[Order ID]],Table1[],6,FALSE)</f>
        <v>Thiruvananthapuram</v>
      </c>
    </row>
    <row r="1446" spans="1:12" x14ac:dyDescent="0.25">
      <c r="A1446" t="s">
        <v>862</v>
      </c>
      <c r="B1446" s="4">
        <v>86</v>
      </c>
      <c r="C1446" s="4">
        <v>22</v>
      </c>
      <c r="D1446" s="5">
        <f>tbl_details5[[#This Row],[Profit]]/tbl_details5[[#This Row],[Revenue]]</f>
        <v>0.2558139534883721</v>
      </c>
      <c r="E1446">
        <v>2</v>
      </c>
      <c r="F1446" t="s">
        <v>885</v>
      </c>
      <c r="G1446" t="s">
        <v>891</v>
      </c>
      <c r="H1446" s="1">
        <f>VLOOKUP(tbl_details5[[#This Row],[Order ID]],Orders!A:F,2,FALSE)</f>
        <v>43550</v>
      </c>
      <c r="I1446" s="1" t="str">
        <f>TEXT(tbl_details5[[#This Row],[Order Date]],"mmm-yy")</f>
        <v>Mar-19</v>
      </c>
      <c r="J1446" t="str">
        <f>VLOOKUP(tbl_details5[[#This Row],[Order ID]],Table1[],4,FALSE)</f>
        <v>Shrichand</v>
      </c>
      <c r="K1446" t="str">
        <f>VLOOKUP(tbl_details5[[#This Row],[Order ID]],Table1[],5,FALSE)</f>
        <v>Punjab</v>
      </c>
      <c r="L1446" t="str">
        <f>VLOOKUP(tbl_details5[[#This Row],[Order ID]],Table1[],6,FALSE)</f>
        <v>Chandigarh</v>
      </c>
    </row>
    <row r="1447" spans="1:12" x14ac:dyDescent="0.25">
      <c r="A1447" t="s">
        <v>862</v>
      </c>
      <c r="B1447" s="4">
        <v>1487</v>
      </c>
      <c r="C1447" s="4">
        <v>624</v>
      </c>
      <c r="D1447" s="5">
        <f>tbl_details5[[#This Row],[Profit]]/tbl_details5[[#This Row],[Revenue]]</f>
        <v>0.41963685272360457</v>
      </c>
      <c r="E1447">
        <v>3</v>
      </c>
      <c r="F1447" t="s">
        <v>885</v>
      </c>
      <c r="G1447" t="s">
        <v>892</v>
      </c>
      <c r="H1447" s="1">
        <f>VLOOKUP(tbl_details5[[#This Row],[Order ID]],Orders!A:F,2,FALSE)</f>
        <v>43550</v>
      </c>
      <c r="I1447" s="1" t="str">
        <f>TEXT(tbl_details5[[#This Row],[Order Date]],"mmm-yy")</f>
        <v>Mar-19</v>
      </c>
      <c r="J1447" t="str">
        <f>VLOOKUP(tbl_details5[[#This Row],[Order ID]],Table1[],4,FALSE)</f>
        <v>Shrichand</v>
      </c>
      <c r="K1447" t="str">
        <f>VLOOKUP(tbl_details5[[#This Row],[Order ID]],Table1[],5,FALSE)</f>
        <v>Punjab</v>
      </c>
      <c r="L1447" t="str">
        <f>VLOOKUP(tbl_details5[[#This Row],[Order ID]],Table1[],6,FALSE)</f>
        <v>Chandigarh</v>
      </c>
    </row>
    <row r="1448" spans="1:12" x14ac:dyDescent="0.25">
      <c r="A1448" t="s">
        <v>862</v>
      </c>
      <c r="B1448" s="4">
        <v>40</v>
      </c>
      <c r="C1448" s="4">
        <v>17</v>
      </c>
      <c r="D1448" s="5">
        <f>tbl_details5[[#This Row],[Profit]]/tbl_details5[[#This Row],[Revenue]]</f>
        <v>0.42499999999999999</v>
      </c>
      <c r="E1448">
        <v>2</v>
      </c>
      <c r="F1448" t="s">
        <v>885</v>
      </c>
      <c r="G1448" t="s">
        <v>886</v>
      </c>
      <c r="H1448" s="1">
        <f>VLOOKUP(tbl_details5[[#This Row],[Order ID]],Orders!A:F,2,FALSE)</f>
        <v>43550</v>
      </c>
      <c r="I1448" s="1" t="str">
        <f>TEXT(tbl_details5[[#This Row],[Order Date]],"mmm-yy")</f>
        <v>Mar-19</v>
      </c>
      <c r="J1448" t="str">
        <f>VLOOKUP(tbl_details5[[#This Row],[Order ID]],Table1[],4,FALSE)</f>
        <v>Shrichand</v>
      </c>
      <c r="K1448" t="str">
        <f>VLOOKUP(tbl_details5[[#This Row],[Order ID]],Table1[],5,FALSE)</f>
        <v>Punjab</v>
      </c>
      <c r="L1448" t="str">
        <f>VLOOKUP(tbl_details5[[#This Row],[Order ID]],Table1[],6,FALSE)</f>
        <v>Chandigarh</v>
      </c>
    </row>
    <row r="1449" spans="1:12" x14ac:dyDescent="0.25">
      <c r="A1449" t="s">
        <v>862</v>
      </c>
      <c r="B1449" s="4">
        <v>132</v>
      </c>
      <c r="C1449" s="4">
        <v>-10</v>
      </c>
      <c r="D1449" s="5">
        <f>tbl_details5[[#This Row],[Profit]]/tbl_details5[[#This Row],[Revenue]]</f>
        <v>-7.575757575757576E-2</v>
      </c>
      <c r="E1449">
        <v>3</v>
      </c>
      <c r="F1449" t="s">
        <v>885</v>
      </c>
      <c r="G1449" t="s">
        <v>891</v>
      </c>
      <c r="H1449" s="1">
        <f>VLOOKUP(tbl_details5[[#This Row],[Order ID]],Orders!A:F,2,FALSE)</f>
        <v>43550</v>
      </c>
      <c r="I1449" s="1" t="str">
        <f>TEXT(tbl_details5[[#This Row],[Order Date]],"mmm-yy")</f>
        <v>Mar-19</v>
      </c>
      <c r="J1449" t="str">
        <f>VLOOKUP(tbl_details5[[#This Row],[Order ID]],Table1[],4,FALSE)</f>
        <v>Shrichand</v>
      </c>
      <c r="K1449" t="str">
        <f>VLOOKUP(tbl_details5[[#This Row],[Order ID]],Table1[],5,FALSE)</f>
        <v>Punjab</v>
      </c>
      <c r="L1449" t="str">
        <f>VLOOKUP(tbl_details5[[#This Row],[Order ID]],Table1[],6,FALSE)</f>
        <v>Chandigarh</v>
      </c>
    </row>
    <row r="1450" spans="1:12" x14ac:dyDescent="0.25">
      <c r="A1450" t="s">
        <v>863</v>
      </c>
      <c r="B1450" s="4">
        <v>43</v>
      </c>
      <c r="C1450" s="4">
        <v>17</v>
      </c>
      <c r="D1450" s="5">
        <f>tbl_details5[[#This Row],[Profit]]/tbl_details5[[#This Row],[Revenue]]</f>
        <v>0.39534883720930231</v>
      </c>
      <c r="E1450">
        <v>2</v>
      </c>
      <c r="F1450" t="s">
        <v>885</v>
      </c>
      <c r="G1450" t="s">
        <v>895</v>
      </c>
      <c r="H1450" s="1">
        <f>VLOOKUP(tbl_details5[[#This Row],[Order ID]],Orders!A:F,2,FALSE)</f>
        <v>43550</v>
      </c>
      <c r="I1450" s="1" t="str">
        <f>TEXT(tbl_details5[[#This Row],[Order Date]],"mmm-yy")</f>
        <v>Mar-19</v>
      </c>
      <c r="J1450" t="str">
        <f>VLOOKUP(tbl_details5[[#This Row],[Order ID]],Table1[],4,FALSE)</f>
        <v>Mukesh</v>
      </c>
      <c r="K1450" t="str">
        <f>VLOOKUP(tbl_details5[[#This Row],[Order ID]],Table1[],5,FALSE)</f>
        <v>Haryana</v>
      </c>
      <c r="L1450" t="str">
        <f>VLOOKUP(tbl_details5[[#This Row],[Order ID]],Table1[],6,FALSE)</f>
        <v>Chandigarh</v>
      </c>
    </row>
    <row r="1451" spans="1:12" x14ac:dyDescent="0.25">
      <c r="A1451" t="s">
        <v>863</v>
      </c>
      <c r="B1451" s="4">
        <v>762</v>
      </c>
      <c r="C1451" s="4">
        <v>101</v>
      </c>
      <c r="D1451" s="5">
        <f>tbl_details5[[#This Row],[Profit]]/tbl_details5[[#This Row],[Revenue]]</f>
        <v>0.13254593175853019</v>
      </c>
      <c r="E1451">
        <v>6</v>
      </c>
      <c r="F1451" t="s">
        <v>888</v>
      </c>
      <c r="G1451" t="s">
        <v>899</v>
      </c>
      <c r="H1451" s="1">
        <f>VLOOKUP(tbl_details5[[#This Row],[Order ID]],Orders!A:F,2,FALSE)</f>
        <v>43550</v>
      </c>
      <c r="I1451" s="1" t="str">
        <f>TEXT(tbl_details5[[#This Row],[Order Date]],"mmm-yy")</f>
        <v>Mar-19</v>
      </c>
      <c r="J1451" t="str">
        <f>VLOOKUP(tbl_details5[[#This Row],[Order ID]],Table1[],4,FALSE)</f>
        <v>Mukesh</v>
      </c>
      <c r="K1451" t="str">
        <f>VLOOKUP(tbl_details5[[#This Row],[Order ID]],Table1[],5,FALSE)</f>
        <v>Haryana</v>
      </c>
      <c r="L1451" t="str">
        <f>VLOOKUP(tbl_details5[[#This Row],[Order ID]],Table1[],6,FALSE)</f>
        <v>Chandigarh</v>
      </c>
    </row>
    <row r="1452" spans="1:12" x14ac:dyDescent="0.25">
      <c r="A1452" t="s">
        <v>863</v>
      </c>
      <c r="B1452" s="4">
        <v>25</v>
      </c>
      <c r="C1452" s="4">
        <v>2</v>
      </c>
      <c r="D1452" s="5">
        <f>tbl_details5[[#This Row],[Profit]]/tbl_details5[[#This Row],[Revenue]]</f>
        <v>0.08</v>
      </c>
      <c r="E1452">
        <v>2</v>
      </c>
      <c r="F1452" t="s">
        <v>885</v>
      </c>
      <c r="G1452" t="s">
        <v>887</v>
      </c>
      <c r="H1452" s="1">
        <f>VLOOKUP(tbl_details5[[#This Row],[Order ID]],Orders!A:F,2,FALSE)</f>
        <v>43550</v>
      </c>
      <c r="I1452" s="1" t="str">
        <f>TEXT(tbl_details5[[#This Row],[Order Date]],"mmm-yy")</f>
        <v>Mar-19</v>
      </c>
      <c r="J1452" t="str">
        <f>VLOOKUP(tbl_details5[[#This Row],[Order ID]],Table1[],4,FALSE)</f>
        <v>Mukesh</v>
      </c>
      <c r="K1452" t="str">
        <f>VLOOKUP(tbl_details5[[#This Row],[Order ID]],Table1[],5,FALSE)</f>
        <v>Haryana</v>
      </c>
      <c r="L1452" t="str">
        <f>VLOOKUP(tbl_details5[[#This Row],[Order ID]],Table1[],6,FALSE)</f>
        <v>Chandigarh</v>
      </c>
    </row>
    <row r="1453" spans="1:12" x14ac:dyDescent="0.25">
      <c r="A1453" t="s">
        <v>864</v>
      </c>
      <c r="B1453" s="4">
        <v>119</v>
      </c>
      <c r="C1453" s="4">
        <v>56</v>
      </c>
      <c r="D1453" s="5">
        <f>tbl_details5[[#This Row],[Profit]]/tbl_details5[[#This Row],[Revenue]]</f>
        <v>0.47058823529411764</v>
      </c>
      <c r="E1453">
        <v>7</v>
      </c>
      <c r="F1453" t="s">
        <v>885</v>
      </c>
      <c r="G1453" t="s">
        <v>891</v>
      </c>
      <c r="H1453" s="1">
        <f>VLOOKUP(tbl_details5[[#This Row],[Order ID]],Orders!A:F,2,FALSE)</f>
        <v>43550</v>
      </c>
      <c r="I1453" s="1" t="str">
        <f>TEXT(tbl_details5[[#This Row],[Order Date]],"mmm-yy")</f>
        <v>Mar-19</v>
      </c>
      <c r="J1453" t="str">
        <f>VLOOKUP(tbl_details5[[#This Row],[Order ID]],Table1[],4,FALSE)</f>
        <v>Vandana</v>
      </c>
      <c r="K1453" t="str">
        <f>VLOOKUP(tbl_details5[[#This Row],[Order ID]],Table1[],5,FALSE)</f>
        <v>Himachal Pradesh</v>
      </c>
      <c r="L1453" t="str">
        <f>VLOOKUP(tbl_details5[[#This Row],[Order ID]],Table1[],6,FALSE)</f>
        <v>Simla</v>
      </c>
    </row>
    <row r="1454" spans="1:12" x14ac:dyDescent="0.25">
      <c r="A1454" t="s">
        <v>864</v>
      </c>
      <c r="B1454" s="4">
        <v>46</v>
      </c>
      <c r="C1454" s="4">
        <v>13</v>
      </c>
      <c r="D1454" s="5">
        <f>tbl_details5[[#This Row],[Profit]]/tbl_details5[[#This Row],[Revenue]]</f>
        <v>0.28260869565217389</v>
      </c>
      <c r="E1454">
        <v>3</v>
      </c>
      <c r="F1454" t="s">
        <v>885</v>
      </c>
      <c r="G1454" t="s">
        <v>887</v>
      </c>
      <c r="H1454" s="1">
        <f>VLOOKUP(tbl_details5[[#This Row],[Order ID]],Orders!A:F,2,FALSE)</f>
        <v>43550</v>
      </c>
      <c r="I1454" s="1" t="str">
        <f>TEXT(tbl_details5[[#This Row],[Order Date]],"mmm-yy")</f>
        <v>Mar-19</v>
      </c>
      <c r="J1454" t="str">
        <f>VLOOKUP(tbl_details5[[#This Row],[Order ID]],Table1[],4,FALSE)</f>
        <v>Vandana</v>
      </c>
      <c r="K1454" t="str">
        <f>VLOOKUP(tbl_details5[[#This Row],[Order ID]],Table1[],5,FALSE)</f>
        <v>Himachal Pradesh</v>
      </c>
      <c r="L1454" t="str">
        <f>VLOOKUP(tbl_details5[[#This Row],[Order ID]],Table1[],6,FALSE)</f>
        <v>Simla</v>
      </c>
    </row>
    <row r="1455" spans="1:12" x14ac:dyDescent="0.25">
      <c r="A1455" t="s">
        <v>864</v>
      </c>
      <c r="B1455" s="4">
        <v>311</v>
      </c>
      <c r="C1455" s="4">
        <v>40</v>
      </c>
      <c r="D1455" s="5">
        <f>tbl_details5[[#This Row],[Profit]]/tbl_details5[[#This Row],[Revenue]]</f>
        <v>0.12861736334405144</v>
      </c>
      <c r="E1455">
        <v>1</v>
      </c>
      <c r="F1455" t="s">
        <v>888</v>
      </c>
      <c r="G1455" t="s">
        <v>889</v>
      </c>
      <c r="H1455" s="1">
        <f>VLOOKUP(tbl_details5[[#This Row],[Order ID]],Orders!A:F,2,FALSE)</f>
        <v>43550</v>
      </c>
      <c r="I1455" s="1" t="str">
        <f>TEXT(tbl_details5[[#This Row],[Order Date]],"mmm-yy")</f>
        <v>Mar-19</v>
      </c>
      <c r="J1455" t="str">
        <f>VLOOKUP(tbl_details5[[#This Row],[Order ID]],Table1[],4,FALSE)</f>
        <v>Vandana</v>
      </c>
      <c r="K1455" t="str">
        <f>VLOOKUP(tbl_details5[[#This Row],[Order ID]],Table1[],5,FALSE)</f>
        <v>Himachal Pradesh</v>
      </c>
      <c r="L1455" t="str">
        <f>VLOOKUP(tbl_details5[[#This Row],[Order ID]],Table1[],6,FALSE)</f>
        <v>Simla</v>
      </c>
    </row>
    <row r="1456" spans="1:12" x14ac:dyDescent="0.25">
      <c r="A1456" t="s">
        <v>864</v>
      </c>
      <c r="B1456" s="4">
        <v>40</v>
      </c>
      <c r="C1456" s="4">
        <v>10</v>
      </c>
      <c r="D1456" s="5">
        <f>tbl_details5[[#This Row],[Profit]]/tbl_details5[[#This Row],[Revenue]]</f>
        <v>0.25</v>
      </c>
      <c r="E1456">
        <v>2</v>
      </c>
      <c r="F1456" t="s">
        <v>885</v>
      </c>
      <c r="G1456" t="s">
        <v>886</v>
      </c>
      <c r="H1456" s="1">
        <f>VLOOKUP(tbl_details5[[#This Row],[Order ID]],Orders!A:F,2,FALSE)</f>
        <v>43550</v>
      </c>
      <c r="I1456" s="1" t="str">
        <f>TEXT(tbl_details5[[#This Row],[Order Date]],"mmm-yy")</f>
        <v>Mar-19</v>
      </c>
      <c r="J1456" t="str">
        <f>VLOOKUP(tbl_details5[[#This Row],[Order ID]],Table1[],4,FALSE)</f>
        <v>Vandana</v>
      </c>
      <c r="K1456" t="str">
        <f>VLOOKUP(tbl_details5[[#This Row],[Order ID]],Table1[],5,FALSE)</f>
        <v>Himachal Pradesh</v>
      </c>
      <c r="L1456" t="str">
        <f>VLOOKUP(tbl_details5[[#This Row],[Order ID]],Table1[],6,FALSE)</f>
        <v>Simla</v>
      </c>
    </row>
    <row r="1457" spans="1:12" x14ac:dyDescent="0.25">
      <c r="A1457" t="s">
        <v>864</v>
      </c>
      <c r="B1457" s="4">
        <v>180</v>
      </c>
      <c r="C1457" s="4">
        <v>0</v>
      </c>
      <c r="D1457" s="5">
        <f>tbl_details5[[#This Row],[Profit]]/tbl_details5[[#This Row],[Revenue]]</f>
        <v>0</v>
      </c>
      <c r="E1457">
        <v>8</v>
      </c>
      <c r="F1457" t="s">
        <v>885</v>
      </c>
      <c r="G1457" t="s">
        <v>886</v>
      </c>
      <c r="H1457" s="1">
        <f>VLOOKUP(tbl_details5[[#This Row],[Order ID]],Orders!A:F,2,FALSE)</f>
        <v>43550</v>
      </c>
      <c r="I1457" s="1" t="str">
        <f>TEXT(tbl_details5[[#This Row],[Order Date]],"mmm-yy")</f>
        <v>Mar-19</v>
      </c>
      <c r="J1457" t="str">
        <f>VLOOKUP(tbl_details5[[#This Row],[Order ID]],Table1[],4,FALSE)</f>
        <v>Vandana</v>
      </c>
      <c r="K1457" t="str">
        <f>VLOOKUP(tbl_details5[[#This Row],[Order ID]],Table1[],5,FALSE)</f>
        <v>Himachal Pradesh</v>
      </c>
      <c r="L1457" t="str">
        <f>VLOOKUP(tbl_details5[[#This Row],[Order ID]],Table1[],6,FALSE)</f>
        <v>Simla</v>
      </c>
    </row>
    <row r="1458" spans="1:12" x14ac:dyDescent="0.25">
      <c r="A1458" t="s">
        <v>865</v>
      </c>
      <c r="B1458" s="4">
        <v>11</v>
      </c>
      <c r="C1458" s="4">
        <v>5</v>
      </c>
      <c r="D1458" s="5">
        <f>tbl_details5[[#This Row],[Profit]]/tbl_details5[[#This Row],[Revenue]]</f>
        <v>0.45454545454545453</v>
      </c>
      <c r="E1458">
        <v>2</v>
      </c>
      <c r="F1458" t="s">
        <v>885</v>
      </c>
      <c r="G1458" t="s">
        <v>887</v>
      </c>
      <c r="H1458" s="1">
        <f>VLOOKUP(tbl_details5[[#This Row],[Order ID]],Orders!A:F,2,FALSE)</f>
        <v>43550</v>
      </c>
      <c r="I1458" s="1" t="str">
        <f>TEXT(tbl_details5[[#This Row],[Order Date]],"mmm-yy")</f>
        <v>Mar-19</v>
      </c>
      <c r="J1458" t="str">
        <f>VLOOKUP(tbl_details5[[#This Row],[Order ID]],Table1[],4,FALSE)</f>
        <v>Bhavna</v>
      </c>
      <c r="K1458" t="str">
        <f>VLOOKUP(tbl_details5[[#This Row],[Order ID]],Table1[],5,FALSE)</f>
        <v>Sikkim</v>
      </c>
      <c r="L1458" t="str">
        <f>VLOOKUP(tbl_details5[[#This Row],[Order ID]],Table1[],6,FALSE)</f>
        <v>Gangtok</v>
      </c>
    </row>
    <row r="1459" spans="1:12" x14ac:dyDescent="0.25">
      <c r="A1459" t="s">
        <v>866</v>
      </c>
      <c r="B1459" s="4">
        <v>59</v>
      </c>
      <c r="C1459" s="4">
        <v>24</v>
      </c>
      <c r="D1459" s="5">
        <f>tbl_details5[[#This Row],[Profit]]/tbl_details5[[#This Row],[Revenue]]</f>
        <v>0.40677966101694918</v>
      </c>
      <c r="E1459">
        <v>6</v>
      </c>
      <c r="F1459" t="s">
        <v>885</v>
      </c>
      <c r="G1459" t="s">
        <v>894</v>
      </c>
      <c r="H1459" s="1">
        <f>VLOOKUP(tbl_details5[[#This Row],[Order ID]],Orders!A:F,2,FALSE)</f>
        <v>43550</v>
      </c>
      <c r="I1459" s="1" t="str">
        <f>TEXT(tbl_details5[[#This Row],[Order Date]],"mmm-yy")</f>
        <v>Mar-19</v>
      </c>
      <c r="J1459" t="str">
        <f>VLOOKUP(tbl_details5[[#This Row],[Order ID]],Table1[],4,FALSE)</f>
        <v>Kanak</v>
      </c>
      <c r="K1459" t="str">
        <f>VLOOKUP(tbl_details5[[#This Row],[Order ID]],Table1[],5,FALSE)</f>
        <v>Goa</v>
      </c>
      <c r="L1459" t="str">
        <f>VLOOKUP(tbl_details5[[#This Row],[Order ID]],Table1[],6,FALSE)</f>
        <v>Goa</v>
      </c>
    </row>
    <row r="1460" spans="1:12" x14ac:dyDescent="0.25">
      <c r="A1460" t="s">
        <v>866</v>
      </c>
      <c r="B1460" s="4">
        <v>27</v>
      </c>
      <c r="C1460" s="4">
        <v>4</v>
      </c>
      <c r="D1460" s="5">
        <f>tbl_details5[[#This Row],[Profit]]/tbl_details5[[#This Row],[Revenue]]</f>
        <v>0.14814814814814814</v>
      </c>
      <c r="E1460">
        <v>1</v>
      </c>
      <c r="F1460" t="s">
        <v>885</v>
      </c>
      <c r="G1460" t="s">
        <v>887</v>
      </c>
      <c r="H1460" s="1">
        <f>VLOOKUP(tbl_details5[[#This Row],[Order ID]],Orders!A:F,2,FALSE)</f>
        <v>43550</v>
      </c>
      <c r="I1460" s="1" t="str">
        <f>TEXT(tbl_details5[[#This Row],[Order Date]],"mmm-yy")</f>
        <v>Mar-19</v>
      </c>
      <c r="J1460" t="str">
        <f>VLOOKUP(tbl_details5[[#This Row],[Order ID]],Table1[],4,FALSE)</f>
        <v>Kanak</v>
      </c>
      <c r="K1460" t="str">
        <f>VLOOKUP(tbl_details5[[#This Row],[Order ID]],Table1[],5,FALSE)</f>
        <v>Goa</v>
      </c>
      <c r="L1460" t="str">
        <f>VLOOKUP(tbl_details5[[#This Row],[Order ID]],Table1[],6,FALSE)</f>
        <v>Goa</v>
      </c>
    </row>
    <row r="1461" spans="1:12" x14ac:dyDescent="0.25">
      <c r="A1461" t="s">
        <v>866</v>
      </c>
      <c r="B1461" s="4">
        <v>139</v>
      </c>
      <c r="C1461" s="4">
        <v>14</v>
      </c>
      <c r="D1461" s="5">
        <f>tbl_details5[[#This Row],[Profit]]/tbl_details5[[#This Row],[Revenue]]</f>
        <v>0.10071942446043165</v>
      </c>
      <c r="E1461">
        <v>3</v>
      </c>
      <c r="F1461" t="s">
        <v>885</v>
      </c>
      <c r="G1461" t="s">
        <v>894</v>
      </c>
      <c r="H1461" s="1">
        <f>VLOOKUP(tbl_details5[[#This Row],[Order ID]],Orders!A:F,2,FALSE)</f>
        <v>43550</v>
      </c>
      <c r="I1461" s="1" t="str">
        <f>TEXT(tbl_details5[[#This Row],[Order Date]],"mmm-yy")</f>
        <v>Mar-19</v>
      </c>
      <c r="J1461" t="str">
        <f>VLOOKUP(tbl_details5[[#This Row],[Order ID]],Table1[],4,FALSE)</f>
        <v>Kanak</v>
      </c>
      <c r="K1461" t="str">
        <f>VLOOKUP(tbl_details5[[#This Row],[Order ID]],Table1[],5,FALSE)</f>
        <v>Goa</v>
      </c>
      <c r="L1461" t="str">
        <f>VLOOKUP(tbl_details5[[#This Row],[Order ID]],Table1[],6,FALSE)</f>
        <v>Goa</v>
      </c>
    </row>
    <row r="1462" spans="1:12" x14ac:dyDescent="0.25">
      <c r="A1462" t="s">
        <v>867</v>
      </c>
      <c r="B1462" s="4">
        <v>80</v>
      </c>
      <c r="C1462" s="4">
        <v>22</v>
      </c>
      <c r="D1462" s="5">
        <f>tbl_details5[[#This Row],[Profit]]/tbl_details5[[#This Row],[Revenue]]</f>
        <v>0.27500000000000002</v>
      </c>
      <c r="E1462">
        <v>3</v>
      </c>
      <c r="F1462" t="s">
        <v>885</v>
      </c>
      <c r="G1462" t="s">
        <v>886</v>
      </c>
      <c r="H1462" s="1">
        <f>VLOOKUP(tbl_details5[[#This Row],[Order ID]],Orders!A:F,2,FALSE)</f>
        <v>43551</v>
      </c>
      <c r="I1462" s="1" t="str">
        <f>TEXT(tbl_details5[[#This Row],[Order Date]],"mmm-yy")</f>
        <v>Mar-19</v>
      </c>
      <c r="J1462" t="str">
        <f>VLOOKUP(tbl_details5[[#This Row],[Order ID]],Table1[],4,FALSE)</f>
        <v>Sagar</v>
      </c>
      <c r="K1462" t="str">
        <f>VLOOKUP(tbl_details5[[#This Row],[Order ID]],Table1[],5,FALSE)</f>
        <v>Nagaland</v>
      </c>
      <c r="L1462" t="str">
        <f>VLOOKUP(tbl_details5[[#This Row],[Order ID]],Table1[],6,FALSE)</f>
        <v>Kohima</v>
      </c>
    </row>
    <row r="1463" spans="1:12" x14ac:dyDescent="0.25">
      <c r="A1463" t="s">
        <v>868</v>
      </c>
      <c r="B1463" s="4">
        <v>158</v>
      </c>
      <c r="C1463" s="4">
        <v>69</v>
      </c>
      <c r="D1463" s="5">
        <f>tbl_details5[[#This Row],[Profit]]/tbl_details5[[#This Row],[Revenue]]</f>
        <v>0.43670886075949367</v>
      </c>
      <c r="E1463">
        <v>3</v>
      </c>
      <c r="F1463" t="s">
        <v>885</v>
      </c>
      <c r="G1463" t="s">
        <v>886</v>
      </c>
      <c r="H1463" s="1">
        <f>VLOOKUP(tbl_details5[[#This Row],[Order ID]],Orders!A:F,2,FALSE)</f>
        <v>43551</v>
      </c>
      <c r="I1463" s="1" t="str">
        <f>TEXT(tbl_details5[[#This Row],[Order Date]],"mmm-yy")</f>
        <v>Mar-19</v>
      </c>
      <c r="J1463" t="str">
        <f>VLOOKUP(tbl_details5[[#This Row],[Order ID]],Table1[],4,FALSE)</f>
        <v>Manju</v>
      </c>
      <c r="K1463" t="str">
        <f>VLOOKUP(tbl_details5[[#This Row],[Order ID]],Table1[],5,FALSE)</f>
        <v>Andhra Pradesh</v>
      </c>
      <c r="L1463" t="str">
        <f>VLOOKUP(tbl_details5[[#This Row],[Order ID]],Table1[],6,FALSE)</f>
        <v>Hyderabad</v>
      </c>
    </row>
    <row r="1464" spans="1:12" x14ac:dyDescent="0.25">
      <c r="A1464" t="s">
        <v>868</v>
      </c>
      <c r="B1464" s="4">
        <v>29</v>
      </c>
      <c r="C1464" s="4">
        <v>10</v>
      </c>
      <c r="D1464" s="5">
        <f>tbl_details5[[#This Row],[Profit]]/tbl_details5[[#This Row],[Revenue]]</f>
        <v>0.34482758620689657</v>
      </c>
      <c r="E1464">
        <v>4</v>
      </c>
      <c r="F1464" t="s">
        <v>885</v>
      </c>
      <c r="G1464" t="s">
        <v>887</v>
      </c>
      <c r="H1464" s="1">
        <f>VLOOKUP(tbl_details5[[#This Row],[Order ID]],Orders!A:F,2,FALSE)</f>
        <v>43551</v>
      </c>
      <c r="I1464" s="1" t="str">
        <f>TEXT(tbl_details5[[#This Row],[Order Date]],"mmm-yy")</f>
        <v>Mar-19</v>
      </c>
      <c r="J1464" t="str">
        <f>VLOOKUP(tbl_details5[[#This Row],[Order ID]],Table1[],4,FALSE)</f>
        <v>Manju</v>
      </c>
      <c r="K1464" t="str">
        <f>VLOOKUP(tbl_details5[[#This Row],[Order ID]],Table1[],5,FALSE)</f>
        <v>Andhra Pradesh</v>
      </c>
      <c r="L1464" t="str">
        <f>VLOOKUP(tbl_details5[[#This Row],[Order ID]],Table1[],6,FALSE)</f>
        <v>Hyderabad</v>
      </c>
    </row>
    <row r="1465" spans="1:12" x14ac:dyDescent="0.25">
      <c r="A1465" t="s">
        <v>868</v>
      </c>
      <c r="B1465" s="4">
        <v>59</v>
      </c>
      <c r="C1465" s="4">
        <v>10</v>
      </c>
      <c r="D1465" s="5">
        <f>tbl_details5[[#This Row],[Profit]]/tbl_details5[[#This Row],[Revenue]]</f>
        <v>0.16949152542372881</v>
      </c>
      <c r="E1465">
        <v>4</v>
      </c>
      <c r="F1465" t="s">
        <v>885</v>
      </c>
      <c r="G1465" t="s">
        <v>897</v>
      </c>
      <c r="H1465" s="1">
        <f>VLOOKUP(tbl_details5[[#This Row],[Order ID]],Orders!A:F,2,FALSE)</f>
        <v>43551</v>
      </c>
      <c r="I1465" s="1" t="str">
        <f>TEXT(tbl_details5[[#This Row],[Order Date]],"mmm-yy")</f>
        <v>Mar-19</v>
      </c>
      <c r="J1465" t="str">
        <f>VLOOKUP(tbl_details5[[#This Row],[Order ID]],Table1[],4,FALSE)</f>
        <v>Manju</v>
      </c>
      <c r="K1465" t="str">
        <f>VLOOKUP(tbl_details5[[#This Row],[Order ID]],Table1[],5,FALSE)</f>
        <v>Andhra Pradesh</v>
      </c>
      <c r="L1465" t="str">
        <f>VLOOKUP(tbl_details5[[#This Row],[Order ID]],Table1[],6,FALSE)</f>
        <v>Hyderabad</v>
      </c>
    </row>
    <row r="1466" spans="1:12" x14ac:dyDescent="0.25">
      <c r="A1466" t="s">
        <v>869</v>
      </c>
      <c r="B1466" s="4">
        <v>97</v>
      </c>
      <c r="C1466" s="4">
        <v>14</v>
      </c>
      <c r="D1466" s="5">
        <f>tbl_details5[[#This Row],[Profit]]/tbl_details5[[#This Row],[Revenue]]</f>
        <v>0.14432989690721648</v>
      </c>
      <c r="E1466">
        <v>2</v>
      </c>
      <c r="F1466" t="s">
        <v>885</v>
      </c>
      <c r="G1466" t="s">
        <v>895</v>
      </c>
      <c r="H1466" s="1">
        <f>VLOOKUP(tbl_details5[[#This Row],[Order ID]],Orders!A:F,2,FALSE)</f>
        <v>43551</v>
      </c>
      <c r="I1466" s="1" t="str">
        <f>TEXT(tbl_details5[[#This Row],[Order Date]],"mmm-yy")</f>
        <v>Mar-19</v>
      </c>
      <c r="J1466" t="str">
        <f>VLOOKUP(tbl_details5[[#This Row],[Order ID]],Table1[],4,FALSE)</f>
        <v>Ramesh</v>
      </c>
      <c r="K1466" t="str">
        <f>VLOOKUP(tbl_details5[[#This Row],[Order ID]],Table1[],5,FALSE)</f>
        <v>Gujarat</v>
      </c>
      <c r="L1466" t="str">
        <f>VLOOKUP(tbl_details5[[#This Row],[Order ID]],Table1[],6,FALSE)</f>
        <v>Ahmedabad</v>
      </c>
    </row>
    <row r="1467" spans="1:12" x14ac:dyDescent="0.25">
      <c r="A1467" t="s">
        <v>870</v>
      </c>
      <c r="B1467" s="4">
        <v>33</v>
      </c>
      <c r="C1467" s="4">
        <v>-1</v>
      </c>
      <c r="D1467" s="5">
        <f>tbl_details5[[#This Row],[Profit]]/tbl_details5[[#This Row],[Revenue]]</f>
        <v>-3.0303030303030304E-2</v>
      </c>
      <c r="E1467">
        <v>1</v>
      </c>
      <c r="F1467" t="s">
        <v>885</v>
      </c>
      <c r="G1467" t="s">
        <v>891</v>
      </c>
      <c r="H1467" s="1">
        <f>VLOOKUP(tbl_details5[[#This Row],[Order ID]],Orders!A:F,2,FALSE)</f>
        <v>43551</v>
      </c>
      <c r="I1467" s="1" t="str">
        <f>TEXT(tbl_details5[[#This Row],[Order Date]],"mmm-yy")</f>
        <v>Mar-19</v>
      </c>
      <c r="J1467" t="str">
        <f>VLOOKUP(tbl_details5[[#This Row],[Order ID]],Table1[],4,FALSE)</f>
        <v>Sarita</v>
      </c>
      <c r="K1467" t="str">
        <f>VLOOKUP(tbl_details5[[#This Row],[Order ID]],Table1[],5,FALSE)</f>
        <v>Maharashtra</v>
      </c>
      <c r="L1467" t="str">
        <f>VLOOKUP(tbl_details5[[#This Row],[Order ID]],Table1[],6,FALSE)</f>
        <v>Pune</v>
      </c>
    </row>
    <row r="1468" spans="1:12" x14ac:dyDescent="0.25">
      <c r="A1468" t="s">
        <v>870</v>
      </c>
      <c r="B1468" s="4">
        <v>2847</v>
      </c>
      <c r="C1468" s="4">
        <v>712</v>
      </c>
      <c r="D1468" s="5">
        <f>tbl_details5[[#This Row],[Profit]]/tbl_details5[[#This Row],[Revenue]]</f>
        <v>0.25008781173164735</v>
      </c>
      <c r="E1468">
        <v>8</v>
      </c>
      <c r="F1468" t="s">
        <v>888</v>
      </c>
      <c r="G1468" t="s">
        <v>899</v>
      </c>
      <c r="H1468" s="1">
        <f>VLOOKUP(tbl_details5[[#This Row],[Order ID]],Orders!A:F,2,FALSE)</f>
        <v>43551</v>
      </c>
      <c r="I1468" s="1" t="str">
        <f>TEXT(tbl_details5[[#This Row],[Order Date]],"mmm-yy")</f>
        <v>Mar-19</v>
      </c>
      <c r="J1468" t="str">
        <f>VLOOKUP(tbl_details5[[#This Row],[Order ID]],Table1[],4,FALSE)</f>
        <v>Sarita</v>
      </c>
      <c r="K1468" t="str">
        <f>VLOOKUP(tbl_details5[[#This Row],[Order ID]],Table1[],5,FALSE)</f>
        <v>Maharashtra</v>
      </c>
      <c r="L1468" t="str">
        <f>VLOOKUP(tbl_details5[[#This Row],[Order ID]],Table1[],6,FALSE)</f>
        <v>Pune</v>
      </c>
    </row>
    <row r="1469" spans="1:12" x14ac:dyDescent="0.25">
      <c r="A1469" t="s">
        <v>870</v>
      </c>
      <c r="B1469" s="4">
        <v>852</v>
      </c>
      <c r="C1469" s="4">
        <v>51</v>
      </c>
      <c r="D1469" s="5">
        <f>tbl_details5[[#This Row],[Profit]]/tbl_details5[[#This Row],[Revenue]]</f>
        <v>5.9859154929577461E-2</v>
      </c>
      <c r="E1469">
        <v>5</v>
      </c>
      <c r="F1469" t="s">
        <v>883</v>
      </c>
      <c r="G1469" t="s">
        <v>884</v>
      </c>
      <c r="H1469" s="1">
        <f>VLOOKUP(tbl_details5[[#This Row],[Order ID]],Orders!A:F,2,FALSE)</f>
        <v>43551</v>
      </c>
      <c r="I1469" s="1" t="str">
        <f>TEXT(tbl_details5[[#This Row],[Order Date]],"mmm-yy")</f>
        <v>Mar-19</v>
      </c>
      <c r="J1469" t="str">
        <f>VLOOKUP(tbl_details5[[#This Row],[Order ID]],Table1[],4,FALSE)</f>
        <v>Sarita</v>
      </c>
      <c r="K1469" t="str">
        <f>VLOOKUP(tbl_details5[[#This Row],[Order ID]],Table1[],5,FALSE)</f>
        <v>Maharashtra</v>
      </c>
      <c r="L1469" t="str">
        <f>VLOOKUP(tbl_details5[[#This Row],[Order ID]],Table1[],6,FALSE)</f>
        <v>Pune</v>
      </c>
    </row>
    <row r="1470" spans="1:12" x14ac:dyDescent="0.25">
      <c r="A1470" t="s">
        <v>870</v>
      </c>
      <c r="B1470" s="4">
        <v>492</v>
      </c>
      <c r="C1470" s="4">
        <v>187</v>
      </c>
      <c r="D1470" s="5">
        <f>tbl_details5[[#This Row],[Profit]]/tbl_details5[[#This Row],[Revenue]]</f>
        <v>0.38008130081300812</v>
      </c>
      <c r="E1470">
        <v>2</v>
      </c>
      <c r="F1470" t="s">
        <v>888</v>
      </c>
      <c r="G1470" t="s">
        <v>900</v>
      </c>
      <c r="H1470" s="1">
        <f>VLOOKUP(tbl_details5[[#This Row],[Order ID]],Orders!A:F,2,FALSE)</f>
        <v>43551</v>
      </c>
      <c r="I1470" s="1" t="str">
        <f>TEXT(tbl_details5[[#This Row],[Order Date]],"mmm-yy")</f>
        <v>Mar-19</v>
      </c>
      <c r="J1470" t="str">
        <f>VLOOKUP(tbl_details5[[#This Row],[Order ID]],Table1[],4,FALSE)</f>
        <v>Sarita</v>
      </c>
      <c r="K1470" t="str">
        <f>VLOOKUP(tbl_details5[[#This Row],[Order ID]],Table1[],5,FALSE)</f>
        <v>Maharashtra</v>
      </c>
      <c r="L1470" t="str">
        <f>VLOOKUP(tbl_details5[[#This Row],[Order ID]],Table1[],6,FALSE)</f>
        <v>Pune</v>
      </c>
    </row>
    <row r="1471" spans="1:12" x14ac:dyDescent="0.25">
      <c r="A1471" t="s">
        <v>870</v>
      </c>
      <c r="B1471" s="4">
        <v>81</v>
      </c>
      <c r="C1471" s="4">
        <v>41</v>
      </c>
      <c r="D1471" s="5">
        <f>tbl_details5[[#This Row],[Profit]]/tbl_details5[[#This Row],[Revenue]]</f>
        <v>0.50617283950617287</v>
      </c>
      <c r="E1471">
        <v>5</v>
      </c>
      <c r="F1471" t="s">
        <v>885</v>
      </c>
      <c r="G1471" t="s">
        <v>897</v>
      </c>
      <c r="H1471" s="1">
        <f>VLOOKUP(tbl_details5[[#This Row],[Order ID]],Orders!A:F,2,FALSE)</f>
        <v>43551</v>
      </c>
      <c r="I1471" s="1" t="str">
        <f>TEXT(tbl_details5[[#This Row],[Order Date]],"mmm-yy")</f>
        <v>Mar-19</v>
      </c>
      <c r="J1471" t="str">
        <f>VLOOKUP(tbl_details5[[#This Row],[Order ID]],Table1[],4,FALSE)</f>
        <v>Sarita</v>
      </c>
      <c r="K1471" t="str">
        <f>VLOOKUP(tbl_details5[[#This Row],[Order ID]],Table1[],5,FALSE)</f>
        <v>Maharashtra</v>
      </c>
      <c r="L1471" t="str">
        <f>VLOOKUP(tbl_details5[[#This Row],[Order ID]],Table1[],6,FALSE)</f>
        <v>Pune</v>
      </c>
    </row>
    <row r="1472" spans="1:12" x14ac:dyDescent="0.25">
      <c r="A1472" t="s">
        <v>870</v>
      </c>
      <c r="B1472" s="4">
        <v>49</v>
      </c>
      <c r="C1472" s="4">
        <v>5</v>
      </c>
      <c r="D1472" s="5">
        <f>tbl_details5[[#This Row],[Profit]]/tbl_details5[[#This Row],[Revenue]]</f>
        <v>0.10204081632653061</v>
      </c>
      <c r="E1472">
        <v>4</v>
      </c>
      <c r="F1472" t="s">
        <v>885</v>
      </c>
      <c r="G1472" t="s">
        <v>887</v>
      </c>
      <c r="H1472" s="1">
        <f>VLOOKUP(tbl_details5[[#This Row],[Order ID]],Orders!A:F,2,FALSE)</f>
        <v>43551</v>
      </c>
      <c r="I1472" s="1" t="str">
        <f>TEXT(tbl_details5[[#This Row],[Order Date]],"mmm-yy")</f>
        <v>Mar-19</v>
      </c>
      <c r="J1472" t="str">
        <f>VLOOKUP(tbl_details5[[#This Row],[Order ID]],Table1[],4,FALSE)</f>
        <v>Sarita</v>
      </c>
      <c r="K1472" t="str">
        <f>VLOOKUP(tbl_details5[[#This Row],[Order ID]],Table1[],5,FALSE)</f>
        <v>Maharashtra</v>
      </c>
      <c r="L1472" t="str">
        <f>VLOOKUP(tbl_details5[[#This Row],[Order ID]],Table1[],6,FALSE)</f>
        <v>Pune</v>
      </c>
    </row>
    <row r="1473" spans="1:12" x14ac:dyDescent="0.25">
      <c r="A1473" t="s">
        <v>870</v>
      </c>
      <c r="B1473" s="4">
        <v>148</v>
      </c>
      <c r="C1473" s="4">
        <v>25</v>
      </c>
      <c r="D1473" s="5">
        <f>tbl_details5[[#This Row],[Profit]]/tbl_details5[[#This Row],[Revenue]]</f>
        <v>0.16891891891891891</v>
      </c>
      <c r="E1473">
        <v>3</v>
      </c>
      <c r="F1473" t="s">
        <v>885</v>
      </c>
      <c r="G1473" t="s">
        <v>891</v>
      </c>
      <c r="H1473" s="1">
        <f>VLOOKUP(tbl_details5[[#This Row],[Order ID]],Orders!A:F,2,FALSE)</f>
        <v>43551</v>
      </c>
      <c r="I1473" s="1" t="str">
        <f>TEXT(tbl_details5[[#This Row],[Order Date]],"mmm-yy")</f>
        <v>Mar-19</v>
      </c>
      <c r="J1473" t="str">
        <f>VLOOKUP(tbl_details5[[#This Row],[Order ID]],Table1[],4,FALSE)</f>
        <v>Sarita</v>
      </c>
      <c r="K1473" t="str">
        <f>VLOOKUP(tbl_details5[[#This Row],[Order ID]],Table1[],5,FALSE)</f>
        <v>Maharashtra</v>
      </c>
      <c r="L1473" t="str">
        <f>VLOOKUP(tbl_details5[[#This Row],[Order ID]],Table1[],6,FALSE)</f>
        <v>Pune</v>
      </c>
    </row>
    <row r="1474" spans="1:12" x14ac:dyDescent="0.25">
      <c r="A1474" t="s">
        <v>871</v>
      </c>
      <c r="B1474" s="4">
        <v>152</v>
      </c>
      <c r="C1474" s="4">
        <v>50</v>
      </c>
      <c r="D1474" s="5">
        <f>tbl_details5[[#This Row],[Profit]]/tbl_details5[[#This Row],[Revenue]]</f>
        <v>0.32894736842105265</v>
      </c>
      <c r="E1474">
        <v>6</v>
      </c>
      <c r="F1474" t="s">
        <v>885</v>
      </c>
      <c r="G1474" t="s">
        <v>886</v>
      </c>
      <c r="H1474" s="1">
        <f>VLOOKUP(tbl_details5[[#This Row],[Order ID]],Orders!A:F,2,FALSE)</f>
        <v>43551</v>
      </c>
      <c r="I1474" s="1" t="str">
        <f>TEXT(tbl_details5[[#This Row],[Order Date]],"mmm-yy")</f>
        <v>Mar-19</v>
      </c>
      <c r="J1474" t="str">
        <f>VLOOKUP(tbl_details5[[#This Row],[Order ID]],Table1[],4,FALSE)</f>
        <v>Deepak</v>
      </c>
      <c r="K1474" t="str">
        <f>VLOOKUP(tbl_details5[[#This Row],[Order ID]],Table1[],5,FALSE)</f>
        <v>Madhya Pradesh</v>
      </c>
      <c r="L1474" t="str">
        <f>VLOOKUP(tbl_details5[[#This Row],[Order ID]],Table1[],6,FALSE)</f>
        <v>Bhopal</v>
      </c>
    </row>
    <row r="1475" spans="1:12" x14ac:dyDescent="0.25">
      <c r="A1475" t="s">
        <v>872</v>
      </c>
      <c r="B1475" s="4">
        <v>6</v>
      </c>
      <c r="C1475" s="4">
        <v>1</v>
      </c>
      <c r="D1475" s="5">
        <f>tbl_details5[[#This Row],[Profit]]/tbl_details5[[#This Row],[Revenue]]</f>
        <v>0.16666666666666666</v>
      </c>
      <c r="E1475">
        <v>1</v>
      </c>
      <c r="F1475" t="s">
        <v>885</v>
      </c>
      <c r="G1475" t="s">
        <v>894</v>
      </c>
      <c r="H1475" s="1">
        <f>VLOOKUP(tbl_details5[[#This Row],[Order ID]],Orders!A:F,2,FALSE)</f>
        <v>43552</v>
      </c>
      <c r="I1475" s="1" t="str">
        <f>TEXT(tbl_details5[[#This Row],[Order Date]],"mmm-yy")</f>
        <v>Mar-19</v>
      </c>
      <c r="J1475" t="str">
        <f>VLOOKUP(tbl_details5[[#This Row],[Order ID]],Table1[],4,FALSE)</f>
        <v>Monisha</v>
      </c>
      <c r="K1475" t="str">
        <f>VLOOKUP(tbl_details5[[#This Row],[Order ID]],Table1[],5,FALSE)</f>
        <v>Rajasthan</v>
      </c>
      <c r="L1475" t="str">
        <f>VLOOKUP(tbl_details5[[#This Row],[Order ID]],Table1[],6,FALSE)</f>
        <v>Jaipur</v>
      </c>
    </row>
    <row r="1476" spans="1:12" x14ac:dyDescent="0.25">
      <c r="A1476" t="s">
        <v>873</v>
      </c>
      <c r="B1476" s="4">
        <v>45</v>
      </c>
      <c r="C1476" s="4">
        <v>9</v>
      </c>
      <c r="D1476" s="5">
        <f>tbl_details5[[#This Row],[Profit]]/tbl_details5[[#This Row],[Revenue]]</f>
        <v>0.2</v>
      </c>
      <c r="E1476">
        <v>3</v>
      </c>
      <c r="F1476" t="s">
        <v>885</v>
      </c>
      <c r="G1476" t="s">
        <v>897</v>
      </c>
      <c r="H1476" s="1">
        <f>VLOOKUP(tbl_details5[[#This Row],[Order ID]],Orders!A:F,2,FALSE)</f>
        <v>43552</v>
      </c>
      <c r="I1476" s="1" t="str">
        <f>TEXT(tbl_details5[[#This Row],[Order Date]],"mmm-yy")</f>
        <v>Mar-19</v>
      </c>
      <c r="J1476" t="str">
        <f>VLOOKUP(tbl_details5[[#This Row],[Order ID]],Table1[],4,FALSE)</f>
        <v>Atharv</v>
      </c>
      <c r="K1476" t="str">
        <f>VLOOKUP(tbl_details5[[#This Row],[Order ID]],Table1[],5,FALSE)</f>
        <v>West Bengal</v>
      </c>
      <c r="L1476" t="str">
        <f>VLOOKUP(tbl_details5[[#This Row],[Order ID]],Table1[],6,FALSE)</f>
        <v>Kolkata</v>
      </c>
    </row>
    <row r="1477" spans="1:12" x14ac:dyDescent="0.25">
      <c r="A1477" t="s">
        <v>873</v>
      </c>
      <c r="B1477" s="4">
        <v>103</v>
      </c>
      <c r="C1477" s="4">
        <v>46</v>
      </c>
      <c r="D1477" s="5">
        <f>tbl_details5[[#This Row],[Profit]]/tbl_details5[[#This Row],[Revenue]]</f>
        <v>0.44660194174757284</v>
      </c>
      <c r="E1477">
        <v>2</v>
      </c>
      <c r="F1477" t="s">
        <v>885</v>
      </c>
      <c r="G1477" t="s">
        <v>891</v>
      </c>
      <c r="H1477" s="1">
        <f>VLOOKUP(tbl_details5[[#This Row],[Order ID]],Orders!A:F,2,FALSE)</f>
        <v>43552</v>
      </c>
      <c r="I1477" s="1" t="str">
        <f>TEXT(tbl_details5[[#This Row],[Order Date]],"mmm-yy")</f>
        <v>Mar-19</v>
      </c>
      <c r="J1477" t="str">
        <f>VLOOKUP(tbl_details5[[#This Row],[Order ID]],Table1[],4,FALSE)</f>
        <v>Atharv</v>
      </c>
      <c r="K1477" t="str">
        <f>VLOOKUP(tbl_details5[[#This Row],[Order ID]],Table1[],5,FALSE)</f>
        <v>West Bengal</v>
      </c>
      <c r="L1477" t="str">
        <f>VLOOKUP(tbl_details5[[#This Row],[Order ID]],Table1[],6,FALSE)</f>
        <v>Kolkata</v>
      </c>
    </row>
    <row r="1478" spans="1:12" x14ac:dyDescent="0.25">
      <c r="A1478" t="s">
        <v>873</v>
      </c>
      <c r="B1478" s="4">
        <v>140</v>
      </c>
      <c r="C1478" s="4">
        <v>56</v>
      </c>
      <c r="D1478" s="5">
        <f>tbl_details5[[#This Row],[Profit]]/tbl_details5[[#This Row],[Revenue]]</f>
        <v>0.4</v>
      </c>
      <c r="E1478">
        <v>4</v>
      </c>
      <c r="F1478" t="s">
        <v>885</v>
      </c>
      <c r="G1478" t="s">
        <v>896</v>
      </c>
      <c r="H1478" s="1">
        <f>VLOOKUP(tbl_details5[[#This Row],[Order ID]],Orders!A:F,2,FALSE)</f>
        <v>43552</v>
      </c>
      <c r="I1478" s="1" t="str">
        <f>TEXT(tbl_details5[[#This Row],[Order Date]],"mmm-yy")</f>
        <v>Mar-19</v>
      </c>
      <c r="J1478" t="str">
        <f>VLOOKUP(tbl_details5[[#This Row],[Order ID]],Table1[],4,FALSE)</f>
        <v>Atharv</v>
      </c>
      <c r="K1478" t="str">
        <f>VLOOKUP(tbl_details5[[#This Row],[Order ID]],Table1[],5,FALSE)</f>
        <v>West Bengal</v>
      </c>
      <c r="L1478" t="str">
        <f>VLOOKUP(tbl_details5[[#This Row],[Order ID]],Table1[],6,FALSE)</f>
        <v>Kolkata</v>
      </c>
    </row>
    <row r="1479" spans="1:12" x14ac:dyDescent="0.25">
      <c r="A1479" t="s">
        <v>873</v>
      </c>
      <c r="B1479" s="4">
        <v>88</v>
      </c>
      <c r="C1479" s="4">
        <v>11</v>
      </c>
      <c r="D1479" s="5">
        <f>tbl_details5[[#This Row],[Profit]]/tbl_details5[[#This Row],[Revenue]]</f>
        <v>0.125</v>
      </c>
      <c r="E1479">
        <v>3</v>
      </c>
      <c r="F1479" t="s">
        <v>888</v>
      </c>
      <c r="G1479" t="s">
        <v>900</v>
      </c>
      <c r="H1479" s="1">
        <f>VLOOKUP(tbl_details5[[#This Row],[Order ID]],Orders!A:F,2,FALSE)</f>
        <v>43552</v>
      </c>
      <c r="I1479" s="1" t="str">
        <f>TEXT(tbl_details5[[#This Row],[Order Date]],"mmm-yy")</f>
        <v>Mar-19</v>
      </c>
      <c r="J1479" t="str">
        <f>VLOOKUP(tbl_details5[[#This Row],[Order ID]],Table1[],4,FALSE)</f>
        <v>Atharv</v>
      </c>
      <c r="K1479" t="str">
        <f>VLOOKUP(tbl_details5[[#This Row],[Order ID]],Table1[],5,FALSE)</f>
        <v>West Bengal</v>
      </c>
      <c r="L1479" t="str">
        <f>VLOOKUP(tbl_details5[[#This Row],[Order ID]],Table1[],6,FALSE)</f>
        <v>Kolkata</v>
      </c>
    </row>
    <row r="1480" spans="1:12" x14ac:dyDescent="0.25">
      <c r="A1480" t="s">
        <v>873</v>
      </c>
      <c r="B1480" s="4">
        <v>451</v>
      </c>
      <c r="C1480" s="4">
        <v>25</v>
      </c>
      <c r="D1480" s="5">
        <f>tbl_details5[[#This Row],[Profit]]/tbl_details5[[#This Row],[Revenue]]</f>
        <v>5.543237250554324E-2</v>
      </c>
      <c r="E1480">
        <v>3</v>
      </c>
      <c r="F1480" t="s">
        <v>888</v>
      </c>
      <c r="G1480" t="s">
        <v>890</v>
      </c>
      <c r="H1480" s="1">
        <f>VLOOKUP(tbl_details5[[#This Row],[Order ID]],Orders!A:F,2,FALSE)</f>
        <v>43552</v>
      </c>
      <c r="I1480" s="1" t="str">
        <f>TEXT(tbl_details5[[#This Row],[Order Date]],"mmm-yy")</f>
        <v>Mar-19</v>
      </c>
      <c r="J1480" t="str">
        <f>VLOOKUP(tbl_details5[[#This Row],[Order ID]],Table1[],4,FALSE)</f>
        <v>Atharv</v>
      </c>
      <c r="K1480" t="str">
        <f>VLOOKUP(tbl_details5[[#This Row],[Order ID]],Table1[],5,FALSE)</f>
        <v>West Bengal</v>
      </c>
      <c r="L1480" t="str">
        <f>VLOOKUP(tbl_details5[[#This Row],[Order ID]],Table1[],6,FALSE)</f>
        <v>Kolkata</v>
      </c>
    </row>
    <row r="1481" spans="1:12" x14ac:dyDescent="0.25">
      <c r="A1481" t="s">
        <v>873</v>
      </c>
      <c r="B1481" s="4">
        <v>264</v>
      </c>
      <c r="C1481" s="4">
        <v>-26</v>
      </c>
      <c r="D1481" s="5">
        <f>tbl_details5[[#This Row],[Profit]]/tbl_details5[[#This Row],[Revenue]]</f>
        <v>-9.8484848484848481E-2</v>
      </c>
      <c r="E1481">
        <v>3</v>
      </c>
      <c r="F1481" t="s">
        <v>885</v>
      </c>
      <c r="G1481" t="s">
        <v>892</v>
      </c>
      <c r="H1481" s="1">
        <f>VLOOKUP(tbl_details5[[#This Row],[Order ID]],Orders!A:F,2,FALSE)</f>
        <v>43552</v>
      </c>
      <c r="I1481" s="1" t="str">
        <f>TEXT(tbl_details5[[#This Row],[Order Date]],"mmm-yy")</f>
        <v>Mar-19</v>
      </c>
      <c r="J1481" t="str">
        <f>VLOOKUP(tbl_details5[[#This Row],[Order ID]],Table1[],4,FALSE)</f>
        <v>Atharv</v>
      </c>
      <c r="K1481" t="str">
        <f>VLOOKUP(tbl_details5[[#This Row],[Order ID]],Table1[],5,FALSE)</f>
        <v>West Bengal</v>
      </c>
      <c r="L1481" t="str">
        <f>VLOOKUP(tbl_details5[[#This Row],[Order ID]],Table1[],6,FALSE)</f>
        <v>Kolkata</v>
      </c>
    </row>
    <row r="1482" spans="1:12" x14ac:dyDescent="0.25">
      <c r="A1482" t="s">
        <v>874</v>
      </c>
      <c r="B1482" s="4">
        <v>97</v>
      </c>
      <c r="C1482" s="4">
        <v>12</v>
      </c>
      <c r="D1482" s="5">
        <f>tbl_details5[[#This Row],[Profit]]/tbl_details5[[#This Row],[Revenue]]</f>
        <v>0.12371134020618557</v>
      </c>
      <c r="E1482">
        <v>2</v>
      </c>
      <c r="F1482" t="s">
        <v>885</v>
      </c>
      <c r="G1482" t="s">
        <v>887</v>
      </c>
      <c r="H1482" s="1">
        <f>VLOOKUP(tbl_details5[[#This Row],[Order ID]],Orders!A:F,2,FALSE)</f>
        <v>43552</v>
      </c>
      <c r="I1482" s="1" t="str">
        <f>TEXT(tbl_details5[[#This Row],[Order Date]],"mmm-yy")</f>
        <v>Mar-19</v>
      </c>
      <c r="J1482" t="str">
        <f>VLOOKUP(tbl_details5[[#This Row],[Order ID]],Table1[],4,FALSE)</f>
        <v>Vini</v>
      </c>
      <c r="K1482" t="str">
        <f>VLOOKUP(tbl_details5[[#This Row],[Order ID]],Table1[],5,FALSE)</f>
        <v>Karnataka</v>
      </c>
      <c r="L1482" t="str">
        <f>VLOOKUP(tbl_details5[[#This Row],[Order ID]],Table1[],6,FALSE)</f>
        <v>Bangalore</v>
      </c>
    </row>
    <row r="1483" spans="1:12" x14ac:dyDescent="0.25">
      <c r="A1483" t="s">
        <v>874</v>
      </c>
      <c r="B1483" s="4">
        <v>14</v>
      </c>
      <c r="C1483" s="4">
        <v>5</v>
      </c>
      <c r="D1483" s="5">
        <f>tbl_details5[[#This Row],[Profit]]/tbl_details5[[#This Row],[Revenue]]</f>
        <v>0.35714285714285715</v>
      </c>
      <c r="E1483">
        <v>1</v>
      </c>
      <c r="F1483" t="s">
        <v>885</v>
      </c>
      <c r="G1483" t="s">
        <v>887</v>
      </c>
      <c r="H1483" s="1">
        <f>VLOOKUP(tbl_details5[[#This Row],[Order ID]],Orders!A:F,2,FALSE)</f>
        <v>43552</v>
      </c>
      <c r="I1483" s="1" t="str">
        <f>TEXT(tbl_details5[[#This Row],[Order Date]],"mmm-yy")</f>
        <v>Mar-19</v>
      </c>
      <c r="J1483" t="str">
        <f>VLOOKUP(tbl_details5[[#This Row],[Order ID]],Table1[],4,FALSE)</f>
        <v>Vini</v>
      </c>
      <c r="K1483" t="str">
        <f>VLOOKUP(tbl_details5[[#This Row],[Order ID]],Table1[],5,FALSE)</f>
        <v>Karnataka</v>
      </c>
      <c r="L1483" t="str">
        <f>VLOOKUP(tbl_details5[[#This Row],[Order ID]],Table1[],6,FALSE)</f>
        <v>Bangalore</v>
      </c>
    </row>
    <row r="1484" spans="1:12" x14ac:dyDescent="0.25">
      <c r="A1484" t="s">
        <v>874</v>
      </c>
      <c r="B1484" s="4">
        <v>19</v>
      </c>
      <c r="C1484" s="4">
        <v>8</v>
      </c>
      <c r="D1484" s="5">
        <f>tbl_details5[[#This Row],[Profit]]/tbl_details5[[#This Row],[Revenue]]</f>
        <v>0.42105263157894735</v>
      </c>
      <c r="E1484">
        <v>2</v>
      </c>
      <c r="F1484" t="s">
        <v>885</v>
      </c>
      <c r="G1484" t="s">
        <v>887</v>
      </c>
      <c r="H1484" s="1">
        <f>VLOOKUP(tbl_details5[[#This Row],[Order ID]],Orders!A:F,2,FALSE)</f>
        <v>43552</v>
      </c>
      <c r="I1484" s="1" t="str">
        <f>TEXT(tbl_details5[[#This Row],[Order Date]],"mmm-yy")</f>
        <v>Mar-19</v>
      </c>
      <c r="J1484" t="str">
        <f>VLOOKUP(tbl_details5[[#This Row],[Order ID]],Table1[],4,FALSE)</f>
        <v>Vini</v>
      </c>
      <c r="K1484" t="str">
        <f>VLOOKUP(tbl_details5[[#This Row],[Order ID]],Table1[],5,FALSE)</f>
        <v>Karnataka</v>
      </c>
      <c r="L1484" t="str">
        <f>VLOOKUP(tbl_details5[[#This Row],[Order ID]],Table1[],6,FALSE)</f>
        <v>Bangalore</v>
      </c>
    </row>
    <row r="1485" spans="1:12" x14ac:dyDescent="0.25">
      <c r="A1485" t="s">
        <v>874</v>
      </c>
      <c r="B1485" s="4">
        <v>39</v>
      </c>
      <c r="C1485" s="4">
        <v>18</v>
      </c>
      <c r="D1485" s="5">
        <f>tbl_details5[[#This Row],[Profit]]/tbl_details5[[#This Row],[Revenue]]</f>
        <v>0.46153846153846156</v>
      </c>
      <c r="E1485">
        <v>2</v>
      </c>
      <c r="F1485" t="s">
        <v>885</v>
      </c>
      <c r="G1485" t="s">
        <v>897</v>
      </c>
      <c r="H1485" s="1">
        <f>VLOOKUP(tbl_details5[[#This Row],[Order ID]],Orders!A:F,2,FALSE)</f>
        <v>43552</v>
      </c>
      <c r="I1485" s="1" t="str">
        <f>TEXT(tbl_details5[[#This Row],[Order Date]],"mmm-yy")</f>
        <v>Mar-19</v>
      </c>
      <c r="J1485" t="str">
        <f>VLOOKUP(tbl_details5[[#This Row],[Order ID]],Table1[],4,FALSE)</f>
        <v>Vini</v>
      </c>
      <c r="K1485" t="str">
        <f>VLOOKUP(tbl_details5[[#This Row],[Order ID]],Table1[],5,FALSE)</f>
        <v>Karnataka</v>
      </c>
      <c r="L1485" t="str">
        <f>VLOOKUP(tbl_details5[[#This Row],[Order ID]],Table1[],6,FALSE)</f>
        <v>Bangalore</v>
      </c>
    </row>
    <row r="1486" spans="1:12" x14ac:dyDescent="0.25">
      <c r="A1486" t="s">
        <v>874</v>
      </c>
      <c r="B1486" s="4">
        <v>185</v>
      </c>
      <c r="C1486" s="4">
        <v>-26</v>
      </c>
      <c r="D1486" s="5">
        <f>tbl_details5[[#This Row],[Profit]]/tbl_details5[[#This Row],[Revenue]]</f>
        <v>-0.14054054054054055</v>
      </c>
      <c r="E1486">
        <v>6</v>
      </c>
      <c r="F1486" t="s">
        <v>883</v>
      </c>
      <c r="G1486" t="s">
        <v>893</v>
      </c>
      <c r="H1486" s="1">
        <f>VLOOKUP(tbl_details5[[#This Row],[Order ID]],Orders!A:F,2,FALSE)</f>
        <v>43552</v>
      </c>
      <c r="I1486" s="1" t="str">
        <f>TEXT(tbl_details5[[#This Row],[Order Date]],"mmm-yy")</f>
        <v>Mar-19</v>
      </c>
      <c r="J1486" t="str">
        <f>VLOOKUP(tbl_details5[[#This Row],[Order ID]],Table1[],4,FALSE)</f>
        <v>Vini</v>
      </c>
      <c r="K1486" t="str">
        <f>VLOOKUP(tbl_details5[[#This Row],[Order ID]],Table1[],5,FALSE)</f>
        <v>Karnataka</v>
      </c>
      <c r="L1486" t="str">
        <f>VLOOKUP(tbl_details5[[#This Row],[Order ID]],Table1[],6,FALSE)</f>
        <v>Bangalore</v>
      </c>
    </row>
    <row r="1487" spans="1:12" x14ac:dyDescent="0.25">
      <c r="A1487" t="s">
        <v>874</v>
      </c>
      <c r="B1487" s="4">
        <v>663</v>
      </c>
      <c r="C1487" s="4">
        <v>-212</v>
      </c>
      <c r="D1487" s="5">
        <f>tbl_details5[[#This Row],[Profit]]/tbl_details5[[#This Row],[Revenue]]</f>
        <v>-0.31975867269984914</v>
      </c>
      <c r="E1487">
        <v>5</v>
      </c>
      <c r="F1487" t="s">
        <v>888</v>
      </c>
      <c r="G1487" t="s">
        <v>899</v>
      </c>
      <c r="H1487" s="1">
        <f>VLOOKUP(tbl_details5[[#This Row],[Order ID]],Orders!A:F,2,FALSE)</f>
        <v>43552</v>
      </c>
      <c r="I1487" s="1" t="str">
        <f>TEXT(tbl_details5[[#This Row],[Order Date]],"mmm-yy")</f>
        <v>Mar-19</v>
      </c>
      <c r="J1487" t="str">
        <f>VLOOKUP(tbl_details5[[#This Row],[Order ID]],Table1[],4,FALSE)</f>
        <v>Vini</v>
      </c>
      <c r="K1487" t="str">
        <f>VLOOKUP(tbl_details5[[#This Row],[Order ID]],Table1[],5,FALSE)</f>
        <v>Karnataka</v>
      </c>
      <c r="L1487" t="str">
        <f>VLOOKUP(tbl_details5[[#This Row],[Order ID]],Table1[],6,FALSE)</f>
        <v>Bangalore</v>
      </c>
    </row>
    <row r="1488" spans="1:12" x14ac:dyDescent="0.25">
      <c r="A1488" t="s">
        <v>874</v>
      </c>
      <c r="B1488" s="4">
        <v>671</v>
      </c>
      <c r="C1488" s="4">
        <v>-309</v>
      </c>
      <c r="D1488" s="5">
        <f>tbl_details5[[#This Row],[Profit]]/tbl_details5[[#This Row],[Revenue]]</f>
        <v>-0.46050670640834573</v>
      </c>
      <c r="E1488">
        <v>5</v>
      </c>
      <c r="F1488" t="s">
        <v>888</v>
      </c>
      <c r="G1488" t="s">
        <v>889</v>
      </c>
      <c r="H1488" s="1">
        <f>VLOOKUP(tbl_details5[[#This Row],[Order ID]],Orders!A:F,2,FALSE)</f>
        <v>43552</v>
      </c>
      <c r="I1488" s="1" t="str">
        <f>TEXT(tbl_details5[[#This Row],[Order Date]],"mmm-yy")</f>
        <v>Mar-19</v>
      </c>
      <c r="J1488" t="str">
        <f>VLOOKUP(tbl_details5[[#This Row],[Order ID]],Table1[],4,FALSE)</f>
        <v>Vini</v>
      </c>
      <c r="K1488" t="str">
        <f>VLOOKUP(tbl_details5[[#This Row],[Order ID]],Table1[],5,FALSE)</f>
        <v>Karnataka</v>
      </c>
      <c r="L1488" t="str">
        <f>VLOOKUP(tbl_details5[[#This Row],[Order ID]],Table1[],6,FALSE)</f>
        <v>Bangalore</v>
      </c>
    </row>
    <row r="1489" spans="1:12" x14ac:dyDescent="0.25">
      <c r="A1489" t="s">
        <v>875</v>
      </c>
      <c r="B1489" s="4">
        <v>82</v>
      </c>
      <c r="C1489" s="4">
        <v>8</v>
      </c>
      <c r="D1489" s="5">
        <f>tbl_details5[[#This Row],[Profit]]/tbl_details5[[#This Row],[Revenue]]</f>
        <v>9.7560975609756101E-2</v>
      </c>
      <c r="E1489">
        <v>3</v>
      </c>
      <c r="F1489" t="s">
        <v>888</v>
      </c>
      <c r="G1489" t="s">
        <v>900</v>
      </c>
      <c r="H1489" s="1">
        <f>VLOOKUP(tbl_details5[[#This Row],[Order ID]],Orders!A:F,2,FALSE)</f>
        <v>43553</v>
      </c>
      <c r="I1489" s="1" t="str">
        <f>TEXT(tbl_details5[[#This Row],[Order Date]],"mmm-yy")</f>
        <v>Mar-19</v>
      </c>
      <c r="J1489" t="str">
        <f>VLOOKUP(tbl_details5[[#This Row],[Order ID]],Table1[],4,FALSE)</f>
        <v>Pinky</v>
      </c>
      <c r="K1489" t="str">
        <f>VLOOKUP(tbl_details5[[#This Row],[Order ID]],Table1[],5,FALSE)</f>
        <v>Jammu and Kashmir</v>
      </c>
      <c r="L1489" t="str">
        <f>VLOOKUP(tbl_details5[[#This Row],[Order ID]],Table1[],6,FALSE)</f>
        <v>Kashmir</v>
      </c>
    </row>
    <row r="1490" spans="1:12" x14ac:dyDescent="0.25">
      <c r="A1490" t="s">
        <v>875</v>
      </c>
      <c r="B1490" s="4">
        <v>497</v>
      </c>
      <c r="C1490" s="4">
        <v>179</v>
      </c>
      <c r="D1490" s="5">
        <f>tbl_details5[[#This Row],[Profit]]/tbl_details5[[#This Row],[Revenue]]</f>
        <v>0.36016096579476864</v>
      </c>
      <c r="E1490">
        <v>3</v>
      </c>
      <c r="F1490" t="s">
        <v>883</v>
      </c>
      <c r="G1490" t="s">
        <v>893</v>
      </c>
      <c r="H1490" s="1">
        <f>VLOOKUP(tbl_details5[[#This Row],[Order ID]],Orders!A:F,2,FALSE)</f>
        <v>43553</v>
      </c>
      <c r="I1490" s="1" t="str">
        <f>TEXT(tbl_details5[[#This Row],[Order Date]],"mmm-yy")</f>
        <v>Mar-19</v>
      </c>
      <c r="J1490" t="str">
        <f>VLOOKUP(tbl_details5[[#This Row],[Order ID]],Table1[],4,FALSE)</f>
        <v>Pinky</v>
      </c>
      <c r="K1490" t="str">
        <f>VLOOKUP(tbl_details5[[#This Row],[Order ID]],Table1[],5,FALSE)</f>
        <v>Jammu and Kashmir</v>
      </c>
      <c r="L1490" t="str">
        <f>VLOOKUP(tbl_details5[[#This Row],[Order ID]],Table1[],6,FALSE)</f>
        <v>Kashmir</v>
      </c>
    </row>
    <row r="1491" spans="1:12" x14ac:dyDescent="0.25">
      <c r="A1491" t="s">
        <v>875</v>
      </c>
      <c r="B1491" s="4">
        <v>96</v>
      </c>
      <c r="C1491" s="4">
        <v>48</v>
      </c>
      <c r="D1491" s="5">
        <f>tbl_details5[[#This Row],[Profit]]/tbl_details5[[#This Row],[Revenue]]</f>
        <v>0.5</v>
      </c>
      <c r="E1491">
        <v>5</v>
      </c>
      <c r="F1491" t="s">
        <v>885</v>
      </c>
      <c r="G1491" t="s">
        <v>897</v>
      </c>
      <c r="H1491" s="1">
        <f>VLOOKUP(tbl_details5[[#This Row],[Order ID]],Orders!A:F,2,FALSE)</f>
        <v>43553</v>
      </c>
      <c r="I1491" s="1" t="str">
        <f>TEXT(tbl_details5[[#This Row],[Order Date]],"mmm-yy")</f>
        <v>Mar-19</v>
      </c>
      <c r="J1491" t="str">
        <f>VLOOKUP(tbl_details5[[#This Row],[Order ID]],Table1[],4,FALSE)</f>
        <v>Pinky</v>
      </c>
      <c r="K1491" t="str">
        <f>VLOOKUP(tbl_details5[[#This Row],[Order ID]],Table1[],5,FALSE)</f>
        <v>Jammu and Kashmir</v>
      </c>
      <c r="L1491" t="str">
        <f>VLOOKUP(tbl_details5[[#This Row],[Order ID]],Table1[],6,FALSE)</f>
        <v>Kashmir</v>
      </c>
    </row>
    <row r="1492" spans="1:12" x14ac:dyDescent="0.25">
      <c r="A1492" t="s">
        <v>875</v>
      </c>
      <c r="B1492" s="4">
        <v>409</v>
      </c>
      <c r="C1492" s="4">
        <v>86</v>
      </c>
      <c r="D1492" s="5">
        <f>tbl_details5[[#This Row],[Profit]]/tbl_details5[[#This Row],[Revenue]]</f>
        <v>0.21026894865525672</v>
      </c>
      <c r="E1492">
        <v>3</v>
      </c>
      <c r="F1492" t="s">
        <v>885</v>
      </c>
      <c r="G1492" t="s">
        <v>891</v>
      </c>
      <c r="H1492" s="1">
        <f>VLOOKUP(tbl_details5[[#This Row],[Order ID]],Orders!A:F,2,FALSE)</f>
        <v>43553</v>
      </c>
      <c r="I1492" s="1" t="str">
        <f>TEXT(tbl_details5[[#This Row],[Order Date]],"mmm-yy")</f>
        <v>Mar-19</v>
      </c>
      <c r="J1492" t="str">
        <f>VLOOKUP(tbl_details5[[#This Row],[Order ID]],Table1[],4,FALSE)</f>
        <v>Pinky</v>
      </c>
      <c r="K1492" t="str">
        <f>VLOOKUP(tbl_details5[[#This Row],[Order ID]],Table1[],5,FALSE)</f>
        <v>Jammu and Kashmir</v>
      </c>
      <c r="L1492" t="str">
        <f>VLOOKUP(tbl_details5[[#This Row],[Order ID]],Table1[],6,FALSE)</f>
        <v>Kashmir</v>
      </c>
    </row>
    <row r="1493" spans="1:12" x14ac:dyDescent="0.25">
      <c r="A1493" t="s">
        <v>875</v>
      </c>
      <c r="B1493" s="4">
        <v>59</v>
      </c>
      <c r="C1493" s="4">
        <v>15</v>
      </c>
      <c r="D1493" s="5">
        <f>tbl_details5[[#This Row],[Profit]]/tbl_details5[[#This Row],[Revenue]]</f>
        <v>0.25423728813559321</v>
      </c>
      <c r="E1493">
        <v>2</v>
      </c>
      <c r="F1493" t="s">
        <v>885</v>
      </c>
      <c r="G1493" t="s">
        <v>895</v>
      </c>
      <c r="H1493" s="1">
        <f>VLOOKUP(tbl_details5[[#This Row],[Order ID]],Orders!A:F,2,FALSE)</f>
        <v>43553</v>
      </c>
      <c r="I1493" s="1" t="str">
        <f>TEXT(tbl_details5[[#This Row],[Order Date]],"mmm-yy")</f>
        <v>Mar-19</v>
      </c>
      <c r="J1493" t="str">
        <f>VLOOKUP(tbl_details5[[#This Row],[Order ID]],Table1[],4,FALSE)</f>
        <v>Pinky</v>
      </c>
      <c r="K1493" t="str">
        <f>VLOOKUP(tbl_details5[[#This Row],[Order ID]],Table1[],5,FALSE)</f>
        <v>Jammu and Kashmir</v>
      </c>
      <c r="L1493" t="str">
        <f>VLOOKUP(tbl_details5[[#This Row],[Order ID]],Table1[],6,FALSE)</f>
        <v>Kashmir</v>
      </c>
    </row>
    <row r="1494" spans="1:12" x14ac:dyDescent="0.25">
      <c r="A1494" t="s">
        <v>875</v>
      </c>
      <c r="B1494" s="4">
        <v>46</v>
      </c>
      <c r="C1494" s="4">
        <v>14</v>
      </c>
      <c r="D1494" s="5">
        <f>tbl_details5[[#This Row],[Profit]]/tbl_details5[[#This Row],[Revenue]]</f>
        <v>0.30434782608695654</v>
      </c>
      <c r="E1494">
        <v>5</v>
      </c>
      <c r="F1494" t="s">
        <v>885</v>
      </c>
      <c r="G1494" t="s">
        <v>902</v>
      </c>
      <c r="H1494" s="1">
        <f>VLOOKUP(tbl_details5[[#This Row],[Order ID]],Orders!A:F,2,FALSE)</f>
        <v>43553</v>
      </c>
      <c r="I1494" s="1" t="str">
        <f>TEXT(tbl_details5[[#This Row],[Order Date]],"mmm-yy")</f>
        <v>Mar-19</v>
      </c>
      <c r="J1494" t="str">
        <f>VLOOKUP(tbl_details5[[#This Row],[Order ID]],Table1[],4,FALSE)</f>
        <v>Pinky</v>
      </c>
      <c r="K1494" t="str">
        <f>VLOOKUP(tbl_details5[[#This Row],[Order ID]],Table1[],5,FALSE)</f>
        <v>Jammu and Kashmir</v>
      </c>
      <c r="L1494" t="str">
        <f>VLOOKUP(tbl_details5[[#This Row],[Order ID]],Table1[],6,FALSE)</f>
        <v>Kashmir</v>
      </c>
    </row>
    <row r="1495" spans="1:12" x14ac:dyDescent="0.25">
      <c r="A1495" t="s">
        <v>876</v>
      </c>
      <c r="B1495" s="4">
        <v>9</v>
      </c>
      <c r="C1495" s="4">
        <v>3</v>
      </c>
      <c r="D1495" s="5">
        <f>tbl_details5[[#This Row],[Profit]]/tbl_details5[[#This Row],[Revenue]]</f>
        <v>0.33333333333333331</v>
      </c>
      <c r="E1495">
        <v>1</v>
      </c>
      <c r="F1495" t="s">
        <v>885</v>
      </c>
      <c r="G1495" t="s">
        <v>902</v>
      </c>
      <c r="H1495" s="1">
        <f>VLOOKUP(tbl_details5[[#This Row],[Order ID]],Orders!A:F,2,FALSE)</f>
        <v>43554</v>
      </c>
      <c r="I1495" s="1" t="str">
        <f>TEXT(tbl_details5[[#This Row],[Order Date]],"mmm-yy")</f>
        <v>Mar-19</v>
      </c>
      <c r="J1495" t="str">
        <f>VLOOKUP(tbl_details5[[#This Row],[Order ID]],Table1[],4,FALSE)</f>
        <v>Bhishm</v>
      </c>
      <c r="K1495" t="str">
        <f>VLOOKUP(tbl_details5[[#This Row],[Order ID]],Table1[],5,FALSE)</f>
        <v>Maharashtra</v>
      </c>
      <c r="L1495" t="str">
        <f>VLOOKUP(tbl_details5[[#This Row],[Order ID]],Table1[],6,FALSE)</f>
        <v>Mumbai</v>
      </c>
    </row>
    <row r="1496" spans="1:12" x14ac:dyDescent="0.25">
      <c r="A1496" t="s">
        <v>876</v>
      </c>
      <c r="B1496" s="4">
        <v>207</v>
      </c>
      <c r="C1496" s="4">
        <v>37</v>
      </c>
      <c r="D1496" s="5">
        <f>tbl_details5[[#This Row],[Profit]]/tbl_details5[[#This Row],[Revenue]]</f>
        <v>0.17874396135265699</v>
      </c>
      <c r="E1496">
        <v>4</v>
      </c>
      <c r="F1496" t="s">
        <v>885</v>
      </c>
      <c r="G1496" t="s">
        <v>887</v>
      </c>
      <c r="H1496" s="1">
        <f>VLOOKUP(tbl_details5[[#This Row],[Order ID]],Orders!A:F,2,FALSE)</f>
        <v>43554</v>
      </c>
      <c r="I1496" s="1" t="str">
        <f>TEXT(tbl_details5[[#This Row],[Order Date]],"mmm-yy")</f>
        <v>Mar-19</v>
      </c>
      <c r="J1496" t="str">
        <f>VLOOKUP(tbl_details5[[#This Row],[Order ID]],Table1[],4,FALSE)</f>
        <v>Bhishm</v>
      </c>
      <c r="K1496" t="str">
        <f>VLOOKUP(tbl_details5[[#This Row],[Order ID]],Table1[],5,FALSE)</f>
        <v>Maharashtra</v>
      </c>
      <c r="L1496" t="str">
        <f>VLOOKUP(tbl_details5[[#This Row],[Order ID]],Table1[],6,FALSE)</f>
        <v>Mumbai</v>
      </c>
    </row>
    <row r="1497" spans="1:12" x14ac:dyDescent="0.25">
      <c r="A1497" t="s">
        <v>876</v>
      </c>
      <c r="B1497" s="4">
        <v>835</v>
      </c>
      <c r="C1497" s="4">
        <v>267</v>
      </c>
      <c r="D1497" s="5">
        <f>tbl_details5[[#This Row],[Profit]]/tbl_details5[[#This Row],[Revenue]]</f>
        <v>0.31976047904191618</v>
      </c>
      <c r="E1497">
        <v>5</v>
      </c>
      <c r="F1497" t="s">
        <v>888</v>
      </c>
      <c r="G1497" t="s">
        <v>890</v>
      </c>
      <c r="H1497" s="1">
        <f>VLOOKUP(tbl_details5[[#This Row],[Order ID]],Orders!A:F,2,FALSE)</f>
        <v>43554</v>
      </c>
      <c r="I1497" s="1" t="str">
        <f>TEXT(tbl_details5[[#This Row],[Order Date]],"mmm-yy")</f>
        <v>Mar-19</v>
      </c>
      <c r="J1497" t="str">
        <f>VLOOKUP(tbl_details5[[#This Row],[Order ID]],Table1[],4,FALSE)</f>
        <v>Bhishm</v>
      </c>
      <c r="K1497" t="str">
        <f>VLOOKUP(tbl_details5[[#This Row],[Order ID]],Table1[],5,FALSE)</f>
        <v>Maharashtra</v>
      </c>
      <c r="L1497" t="str">
        <f>VLOOKUP(tbl_details5[[#This Row],[Order ID]],Table1[],6,FALSE)</f>
        <v>Mumbai</v>
      </c>
    </row>
    <row r="1498" spans="1:12" x14ac:dyDescent="0.25">
      <c r="A1498" t="s">
        <v>876</v>
      </c>
      <c r="B1498" s="4">
        <v>2366</v>
      </c>
      <c r="C1498" s="4">
        <v>552</v>
      </c>
      <c r="D1498" s="5">
        <f>tbl_details5[[#This Row],[Profit]]/tbl_details5[[#This Row],[Revenue]]</f>
        <v>0.23330515638207946</v>
      </c>
      <c r="E1498">
        <v>5</v>
      </c>
      <c r="F1498" t="s">
        <v>885</v>
      </c>
      <c r="G1498" t="s">
        <v>892</v>
      </c>
      <c r="H1498" s="1">
        <f>VLOOKUP(tbl_details5[[#This Row],[Order ID]],Orders!A:F,2,FALSE)</f>
        <v>43554</v>
      </c>
      <c r="I1498" s="1" t="str">
        <f>TEXT(tbl_details5[[#This Row],[Order Date]],"mmm-yy")</f>
        <v>Mar-19</v>
      </c>
      <c r="J1498" t="str">
        <f>VLOOKUP(tbl_details5[[#This Row],[Order ID]],Table1[],4,FALSE)</f>
        <v>Bhishm</v>
      </c>
      <c r="K1498" t="str">
        <f>VLOOKUP(tbl_details5[[#This Row],[Order ID]],Table1[],5,FALSE)</f>
        <v>Maharashtra</v>
      </c>
      <c r="L1498" t="str">
        <f>VLOOKUP(tbl_details5[[#This Row],[Order ID]],Table1[],6,FALSE)</f>
        <v>Mumbai</v>
      </c>
    </row>
    <row r="1499" spans="1:12" x14ac:dyDescent="0.25">
      <c r="A1499" t="s">
        <v>877</v>
      </c>
      <c r="B1499" s="4">
        <v>828</v>
      </c>
      <c r="C1499" s="4">
        <v>230</v>
      </c>
      <c r="D1499" s="5">
        <f>tbl_details5[[#This Row],[Profit]]/tbl_details5[[#This Row],[Revenue]]</f>
        <v>0.27777777777777779</v>
      </c>
      <c r="E1499">
        <v>2</v>
      </c>
      <c r="F1499" t="s">
        <v>883</v>
      </c>
      <c r="G1499" t="s">
        <v>893</v>
      </c>
      <c r="H1499" s="1">
        <f>VLOOKUP(tbl_details5[[#This Row],[Order ID]],Orders!A:F,2,FALSE)</f>
        <v>43555</v>
      </c>
      <c r="I1499" s="1" t="str">
        <f>TEXT(tbl_details5[[#This Row],[Order Date]],"mmm-yy")</f>
        <v>Mar-19</v>
      </c>
      <c r="J1499" t="str">
        <f>VLOOKUP(tbl_details5[[#This Row],[Order ID]],Table1[],4,FALSE)</f>
        <v>Hitika</v>
      </c>
      <c r="K1499" t="str">
        <f>VLOOKUP(tbl_details5[[#This Row],[Order ID]],Table1[],5,FALSE)</f>
        <v>Madhya Pradesh</v>
      </c>
      <c r="L1499" t="str">
        <f>VLOOKUP(tbl_details5[[#This Row],[Order ID]],Table1[],6,FALSE)</f>
        <v>Indore</v>
      </c>
    </row>
    <row r="1500" spans="1:12" x14ac:dyDescent="0.25">
      <c r="A1500" t="s">
        <v>877</v>
      </c>
      <c r="B1500" s="4">
        <v>34</v>
      </c>
      <c r="C1500" s="4">
        <v>10</v>
      </c>
      <c r="D1500" s="5">
        <f>tbl_details5[[#This Row],[Profit]]/tbl_details5[[#This Row],[Revenue]]</f>
        <v>0.29411764705882354</v>
      </c>
      <c r="E1500">
        <v>2</v>
      </c>
      <c r="F1500" t="s">
        <v>885</v>
      </c>
      <c r="G1500" t="s">
        <v>895</v>
      </c>
      <c r="H1500" s="1">
        <f>VLOOKUP(tbl_details5[[#This Row],[Order ID]],Orders!A:F,2,FALSE)</f>
        <v>43555</v>
      </c>
      <c r="I1500" s="1" t="str">
        <f>TEXT(tbl_details5[[#This Row],[Order Date]],"mmm-yy")</f>
        <v>Mar-19</v>
      </c>
      <c r="J1500" t="str">
        <f>VLOOKUP(tbl_details5[[#This Row],[Order ID]],Table1[],4,FALSE)</f>
        <v>Hitika</v>
      </c>
      <c r="K1500" t="str">
        <f>VLOOKUP(tbl_details5[[#This Row],[Order ID]],Table1[],5,FALSE)</f>
        <v>Madhya Pradesh</v>
      </c>
      <c r="L1500" t="str">
        <f>VLOOKUP(tbl_details5[[#This Row],[Order ID]],Table1[],6,FALSE)</f>
        <v>Indore</v>
      </c>
    </row>
    <row r="1501" spans="1:12" x14ac:dyDescent="0.25">
      <c r="A1501" t="s">
        <v>877</v>
      </c>
      <c r="B1501" s="4">
        <v>72</v>
      </c>
      <c r="C1501" s="4">
        <v>16</v>
      </c>
      <c r="D1501" s="5">
        <f>tbl_details5[[#This Row],[Profit]]/tbl_details5[[#This Row],[Revenue]]</f>
        <v>0.22222222222222221</v>
      </c>
      <c r="E1501">
        <v>2</v>
      </c>
      <c r="F1501" t="s">
        <v>885</v>
      </c>
      <c r="G1501" t="s">
        <v>896</v>
      </c>
      <c r="H1501" s="1">
        <f>VLOOKUP(tbl_details5[[#This Row],[Order ID]],Orders!A:F,2,FALSE)</f>
        <v>43555</v>
      </c>
      <c r="I1501" s="1" t="str">
        <f>TEXT(tbl_details5[[#This Row],[Order Date]],"mmm-yy")</f>
        <v>Mar-19</v>
      </c>
      <c r="J1501" t="str">
        <f>VLOOKUP(tbl_details5[[#This Row],[Order ID]],Table1[],4,FALSE)</f>
        <v>Hitika</v>
      </c>
      <c r="K1501" t="str">
        <f>VLOOKUP(tbl_details5[[#This Row],[Order ID]],Table1[],5,FALSE)</f>
        <v>Madhya Pradesh</v>
      </c>
      <c r="L1501" t="str">
        <f>VLOOKUP(tbl_details5[[#This Row],[Order ID]],Table1[],6,FALSE)</f>
        <v>Indore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6E297-C6CD-4491-B8C8-1B117C86BA80}">
  <sheetPr codeName="Sheet5"/>
  <dimension ref="A1:J1544"/>
  <sheetViews>
    <sheetView zoomScale="90" zoomScaleNormal="90" workbookViewId="0">
      <selection activeCell="E7" sqref="E7"/>
    </sheetView>
  </sheetViews>
  <sheetFormatPr defaultRowHeight="15" x14ac:dyDescent="0.25"/>
  <cols>
    <col min="1" max="1" width="14.7109375" style="1" customWidth="1"/>
    <col min="2" max="2" width="15.85546875" customWidth="1"/>
    <col min="3" max="3" width="14.140625" bestFit="1" customWidth="1"/>
    <col min="4" max="4" width="12.7109375" customWidth="1"/>
    <col min="5" max="5" width="17.7109375" bestFit="1" customWidth="1"/>
    <col min="6" max="6" width="16.85546875" bestFit="1" customWidth="1"/>
    <col min="7" max="7" width="19" bestFit="1" customWidth="1"/>
  </cols>
  <sheetData>
    <row r="1" spans="1:10" ht="18.75" x14ac:dyDescent="0.3">
      <c r="A1" s="21" t="s">
        <v>955</v>
      </c>
      <c r="B1" s="21"/>
      <c r="C1" s="21"/>
      <c r="D1" s="9"/>
      <c r="E1" s="9"/>
      <c r="F1" s="9"/>
    </row>
    <row r="2" spans="1:10" x14ac:dyDescent="0.25">
      <c r="A2" s="1" t="s">
        <v>904</v>
      </c>
      <c r="B2" t="s">
        <v>921</v>
      </c>
      <c r="C2" t="s">
        <v>922</v>
      </c>
      <c r="J2" s="11"/>
    </row>
    <row r="3" spans="1:10" x14ac:dyDescent="0.25">
      <c r="A3" s="3" t="s">
        <v>909</v>
      </c>
      <c r="B3" s="25">
        <f>SUMIF(tbl_details5[[Order Month ]],Table5[[#This Row],[Order Month]],tbl_details5[Revenue])</f>
        <v>32726</v>
      </c>
      <c r="C3">
        <f>COUNTIF(tbl_details5[[Order Month ]],Table5[[#This Row],[Order Month]])</f>
        <v>101</v>
      </c>
      <c r="J3" s="11"/>
    </row>
    <row r="4" spans="1:10" x14ac:dyDescent="0.25">
      <c r="A4" s="3" t="s">
        <v>910</v>
      </c>
      <c r="B4" s="25">
        <f>SUMIF(tbl_details5[[Order Month ]],Table5[[#This Row],[Order Month]],tbl_details5[Revenue])</f>
        <v>28545</v>
      </c>
      <c r="C4">
        <f>COUNTIF(tbl_details5[[Order Month ]],Table5[[#This Row],[Order Month]])</f>
        <v>118</v>
      </c>
      <c r="J4" s="11"/>
    </row>
    <row r="5" spans="1:10" x14ac:dyDescent="0.25">
      <c r="A5" s="3" t="s">
        <v>911</v>
      </c>
      <c r="B5" s="25">
        <f>SUMIF(tbl_details5[[Order Month ]],Table5[[#This Row],[Order Month]],tbl_details5[Revenue])</f>
        <v>23658</v>
      </c>
      <c r="C5">
        <f>COUNTIF(tbl_details5[[Order Month ]],Table5[[#This Row],[Order Month]])</f>
        <v>101</v>
      </c>
      <c r="J5" s="11"/>
    </row>
    <row r="6" spans="1:10" x14ac:dyDescent="0.25">
      <c r="A6" s="3" t="s">
        <v>912</v>
      </c>
      <c r="B6" s="25">
        <f>SUMIF(tbl_details5[[Order Month ]],Table5[[#This Row],[Order Month]],tbl_details5[Revenue])</f>
        <v>12966</v>
      </c>
      <c r="C6">
        <f>COUNTIF(tbl_details5[[Order Month ]],Table5[[#This Row],[Order Month]])</f>
        <v>64</v>
      </c>
      <c r="J6" s="11"/>
    </row>
    <row r="7" spans="1:10" x14ac:dyDescent="0.25">
      <c r="A7" s="3" t="s">
        <v>913</v>
      </c>
      <c r="B7" s="25">
        <f>SUMIF(tbl_details5[[Order Month ]],Table5[[#This Row],[Order Month]],tbl_details5[Revenue])</f>
        <v>30899</v>
      </c>
      <c r="C7">
        <f>COUNTIF(tbl_details5[[Order Month ]],Table5[[#This Row],[Order Month]])</f>
        <v>120</v>
      </c>
      <c r="J7" s="11"/>
    </row>
    <row r="8" spans="1:10" x14ac:dyDescent="0.25">
      <c r="A8" s="3" t="s">
        <v>914</v>
      </c>
      <c r="B8" s="25">
        <f>SUMIF(tbl_details5[[Order Month ]],Table5[[#This Row],[Order Month]],tbl_details5[Revenue])</f>
        <v>26628</v>
      </c>
      <c r="C8">
        <f>COUNTIF(tbl_details5[[Order Month ]],Table5[[#This Row],[Order Month]])</f>
        <v>83</v>
      </c>
      <c r="J8" s="11"/>
    </row>
    <row r="9" spans="1:10" x14ac:dyDescent="0.25">
      <c r="A9" s="3" t="s">
        <v>915</v>
      </c>
      <c r="B9" s="25">
        <f>SUMIF(tbl_details5[[Order Month ]],Table5[[#This Row],[Order Month]],tbl_details5[Revenue])</f>
        <v>31615</v>
      </c>
      <c r="C9">
        <f>COUNTIF(tbl_details5[[Order Month ]],Table5[[#This Row],[Order Month]])</f>
        <v>106</v>
      </c>
      <c r="J9" s="11"/>
    </row>
    <row r="10" spans="1:10" x14ac:dyDescent="0.25">
      <c r="A10" s="3" t="s">
        <v>916</v>
      </c>
      <c r="B10" s="25">
        <f>SUMIF(tbl_details5[[Order Month ]],Table5[[#This Row],[Order Month]],tbl_details5[Revenue])</f>
        <v>48086</v>
      </c>
      <c r="C10">
        <f>COUNTIF(tbl_details5[[Order Month ]],Table5[[#This Row],[Order Month]])</f>
        <v>159</v>
      </c>
      <c r="J10" s="11"/>
    </row>
    <row r="11" spans="1:10" x14ac:dyDescent="0.25">
      <c r="A11" s="3" t="s">
        <v>917</v>
      </c>
      <c r="B11" s="25">
        <f>SUMIF(tbl_details5[[Order Month ]],Table5[[#This Row],[Order Month]],tbl_details5[Revenue])</f>
        <v>37579</v>
      </c>
      <c r="C11">
        <f>COUNTIF(tbl_details5[[Order Month ]],Table5[[#This Row],[Order Month]])</f>
        <v>111</v>
      </c>
      <c r="J11" s="11"/>
    </row>
    <row r="12" spans="1:10" x14ac:dyDescent="0.25">
      <c r="A12" s="3" t="s">
        <v>918</v>
      </c>
      <c r="B12" s="25">
        <f>SUMIF(tbl_details5[[Order Month ]],Table5[[#This Row],[Order Month]],tbl_details5[Revenue])</f>
        <v>61439</v>
      </c>
      <c r="C12">
        <f>COUNTIF(tbl_details5[[Order Month ]],Table5[[#This Row],[Order Month]])</f>
        <v>192</v>
      </c>
      <c r="J12" s="11"/>
    </row>
    <row r="13" spans="1:10" x14ac:dyDescent="0.25">
      <c r="A13" s="3" t="s">
        <v>919</v>
      </c>
      <c r="B13" s="25">
        <f>SUMIF(tbl_details5[[Order Month ]],Table5[[#This Row],[Order Month]],tbl_details5[Revenue])</f>
        <v>38424</v>
      </c>
      <c r="C13">
        <f>COUNTIF(tbl_details5[[Order Month ]],Table5[[#This Row],[Order Month]])</f>
        <v>140</v>
      </c>
      <c r="J13" s="11"/>
    </row>
    <row r="14" spans="1:10" x14ac:dyDescent="0.25">
      <c r="A14" s="3" t="s">
        <v>920</v>
      </c>
      <c r="B14" s="25">
        <f>SUMIF(tbl_details5[[Order Month ]],Table5[[#This Row],[Order Month]],tbl_details5[Revenue])</f>
        <v>58937</v>
      </c>
      <c r="C14">
        <f>COUNTIF(tbl_details5[[Order Month ]],Table5[[#This Row],[Order Month]])</f>
        <v>205</v>
      </c>
    </row>
    <row r="15" spans="1:10" x14ac:dyDescent="0.25">
      <c r="A15"/>
    </row>
    <row r="16" spans="1:10" x14ac:dyDescent="0.25">
      <c r="A16"/>
    </row>
    <row r="17" spans="1:7" x14ac:dyDescent="0.25">
      <c r="A17"/>
    </row>
    <row r="18" spans="1:7" ht="18.75" x14ac:dyDescent="0.3">
      <c r="A18" s="19" t="s">
        <v>923</v>
      </c>
      <c r="B18" s="20"/>
      <c r="C18" s="20"/>
      <c r="D18" s="20"/>
    </row>
    <row r="19" spans="1:7" x14ac:dyDescent="0.25">
      <c r="A19" s="7" t="s">
        <v>904</v>
      </c>
      <c r="B19" s="8" t="s">
        <v>883</v>
      </c>
      <c r="C19" s="8" t="s">
        <v>885</v>
      </c>
      <c r="D19" s="8" t="s">
        <v>888</v>
      </c>
      <c r="E19" s="10" t="s">
        <v>924</v>
      </c>
      <c r="F19" s="10" t="s">
        <v>925</v>
      </c>
      <c r="G19" s="10" t="s">
        <v>926</v>
      </c>
    </row>
    <row r="20" spans="1:7" x14ac:dyDescent="0.25">
      <c r="A20" s="11">
        <v>43191</v>
      </c>
      <c r="B20" s="27">
        <f>SUMIFS(tbl_details5[Revenue],tbl_details5[[Order Month ]],Table6[[#This Row],[Order Month]],tbl_details5[Category],Table6[[#Headers],[Furniture]])</f>
        <v>8121</v>
      </c>
      <c r="C20" s="27">
        <f>SUMIFS(tbl_details5[Revenue],tbl_details5[[Order Month ]],Table6[[#This Row],[Order Month]],tbl_details5[Category],Table6[[#Headers],[Clothing]])</f>
        <v>13478</v>
      </c>
      <c r="D20" s="27">
        <f>SUMIFS(tbl_details5[Revenue],tbl_details5[[Order Month ]],Table6[[#This Row],[Order Month]],tbl_details5[Category],Table6[[#Headers],[Electronics]])</f>
        <v>11127</v>
      </c>
      <c r="E20" s="28">
        <f t="array" ref="E20">INDEX(Sales_Target!$C:$C, MATCH(1, (Sales_Target!$A:$A=$A20)*(Sales_Target!$B:$B="Furniture"), 0))</f>
        <v>10400</v>
      </c>
      <c r="F20" s="29">
        <f t="array" ref="F20">INDEX(Sales_Target!$C:$C,MATCH(1,(Sales_Target!$A:$A=$A20)*(Sales_Target!$B:$B="Clothing"),0))</f>
        <v>12000</v>
      </c>
      <c r="G20" s="29">
        <f t="array" ref="G20">INDEX(Sales_Target!$C:$C,MATCH(1,(Sales_Target!$A:$A=$A20)*(Sales_Target!B:B="Electronics"),0))</f>
        <v>9000</v>
      </c>
    </row>
    <row r="21" spans="1:7" x14ac:dyDescent="0.25">
      <c r="A21" s="11">
        <v>43221</v>
      </c>
      <c r="B21" s="27">
        <f>SUMIFS(tbl_details5[Revenue],tbl_details5[[Order Month ]],Table6[[#This Row],[Order Month]],tbl_details5[Category],Table6[[#Headers],[Furniture]])</f>
        <v>6220</v>
      </c>
      <c r="C21" s="27">
        <f>SUMIFS(tbl_details5[Revenue],tbl_details5[[Order Month ]],Table6[[#This Row],[Order Month]],tbl_details5[Category],Table6[[#Headers],[Clothing]])</f>
        <v>9518</v>
      </c>
      <c r="D21" s="27">
        <f>SUMIFS(tbl_details5[Revenue],tbl_details5[[Order Month ]],Table6[[#This Row],[Order Month]],tbl_details5[Category],Table6[[#Headers],[Electronics]])</f>
        <v>12807</v>
      </c>
      <c r="E21" s="29">
        <f t="array" ref="E21">INDEX(Sales_Target!$C:$C, MATCH(1, (Sales_Target!$A:$A=$A21)*(Sales_Target!$B:$B="Furniture"), 0))</f>
        <v>10500</v>
      </c>
      <c r="F21" s="29">
        <f t="array" ref="F21">INDEX(Sales_Target!$C:$C,MATCH(1,(Sales_Target!$A:$A=$A21)*(Sales_Target!$B:$B="Clothing"),0))</f>
        <v>12000</v>
      </c>
      <c r="G21" s="29">
        <f t="array" ref="G21">INDEX(Sales_Target!$C:$C,MATCH(1,(Sales_Target!$A:$A=$A21)*(Sales_Target!B:B="Electronics"),0))</f>
        <v>9000</v>
      </c>
    </row>
    <row r="22" spans="1:7" x14ac:dyDescent="0.25">
      <c r="A22" s="11">
        <v>43252</v>
      </c>
      <c r="B22" s="27">
        <f>SUMIFS(tbl_details5[Revenue],tbl_details5[[Order Month ]],Table6[[#This Row],[Order Month]],tbl_details5[Category],Table6[[#Headers],[Furniture]])</f>
        <v>5532</v>
      </c>
      <c r="C22" s="27">
        <f>SUMIFS(tbl_details5[Revenue],tbl_details5[[Order Month ]],Table6[[#This Row],[Order Month]],tbl_details5[Category],Table6[[#Headers],[Clothing]])</f>
        <v>8782</v>
      </c>
      <c r="D22" s="27">
        <f>SUMIFS(tbl_details5[Revenue],tbl_details5[[Order Month ]],Table6[[#This Row],[Order Month]],tbl_details5[Category],Table6[[#Headers],[Electronics]])</f>
        <v>9344</v>
      </c>
      <c r="E22" s="29">
        <f t="array" ref="E22">INDEX(Sales_Target!$C:$C, MATCH(1, (Sales_Target!$A:$A=$A22)*(Sales_Target!$B:$B="Furniture"), 0))</f>
        <v>10600</v>
      </c>
      <c r="F22" s="29">
        <f t="array" ref="F22">INDEX(Sales_Target!$C:$C,MATCH(1,(Sales_Target!$A:$A=$A22)*(Sales_Target!$B:$B="Clothing"),0))</f>
        <v>12000</v>
      </c>
      <c r="G22" s="29">
        <f t="array" ref="G22">INDEX(Sales_Target!$C:$C,MATCH(1,(Sales_Target!$A:$A=$A22)*(Sales_Target!B:B="Electronics"),0))</f>
        <v>9000</v>
      </c>
    </row>
    <row r="23" spans="1:7" x14ac:dyDescent="0.25">
      <c r="A23" s="11">
        <v>43282</v>
      </c>
      <c r="B23" s="27">
        <f>SUMIFS(tbl_details5[Revenue],tbl_details5[[Order Month ]],Table6[[#This Row],[Order Month]],tbl_details5[Category],Table6[[#Headers],[Furniture]])</f>
        <v>3483</v>
      </c>
      <c r="C23" s="27">
        <f>SUMIFS(tbl_details5[Revenue],tbl_details5[[Order Month ]],Table6[[#This Row],[Order Month]],tbl_details5[Category],Table6[[#Headers],[Clothing]])</f>
        <v>2981</v>
      </c>
      <c r="D23" s="27">
        <f>SUMIFS(tbl_details5[Revenue],tbl_details5[[Order Month ]],Table6[[#This Row],[Order Month]],tbl_details5[Category],Table6[[#Headers],[Electronics]])</f>
        <v>6502</v>
      </c>
      <c r="E23" s="29">
        <f t="array" ref="E23">INDEX(Sales_Target!$C:$C, MATCH(1, (Sales_Target!$A:$A=$A23)*(Sales_Target!$B:$B="Furniture"), 0))</f>
        <v>10800</v>
      </c>
      <c r="F23" s="29">
        <f t="array" ref="F23">INDEX(Sales_Target!$C:$C,MATCH(1,(Sales_Target!$A:$A=$A23)*(Sales_Target!$B:$B="Clothing"),0))</f>
        <v>14000</v>
      </c>
      <c r="G23" s="29">
        <f t="array" ref="G23">INDEX(Sales_Target!$C:$C,MATCH(1,(Sales_Target!$A:$A=$A23)*(Sales_Target!B:B="Electronics"),0))</f>
        <v>9000</v>
      </c>
    </row>
    <row r="24" spans="1:7" x14ac:dyDescent="0.25">
      <c r="A24" s="11">
        <v>43313</v>
      </c>
      <c r="B24" s="27">
        <f>SUMIFS(tbl_details5[Revenue],tbl_details5[[Order Month ]],Table6[[#This Row],[Order Month]],tbl_details5[Category],Table6[[#Headers],[Furniture]])</f>
        <v>9538</v>
      </c>
      <c r="C24" s="27">
        <f>SUMIFS(tbl_details5[Revenue],tbl_details5[[Order Month ]],Table6[[#This Row],[Order Month]],tbl_details5[Category],Table6[[#Headers],[Clothing]])</f>
        <v>11822</v>
      </c>
      <c r="D24" s="27">
        <f>SUMIFS(tbl_details5[Revenue],tbl_details5[[Order Month ]],Table6[[#This Row],[Order Month]],tbl_details5[Category],Table6[[#Headers],[Electronics]])</f>
        <v>9539</v>
      </c>
      <c r="E24" s="29">
        <f t="array" ref="E24">INDEX(Sales_Target!$C:$C, MATCH(1, (Sales_Target!$A:$A=$A24)*(Sales_Target!$B:$B="Furniture"), 0))</f>
        <v>10900</v>
      </c>
      <c r="F24" s="29">
        <f t="array" ref="F24">INDEX(Sales_Target!$C:$C,MATCH(1,(Sales_Target!$A:$A=$A24)*(Sales_Target!$B:$B="Clothing"),0))</f>
        <v>14000</v>
      </c>
      <c r="G24" s="29">
        <f t="array" ref="G24">INDEX(Sales_Target!$C:$C,MATCH(1,(Sales_Target!$A:$A=$A24)*(Sales_Target!B:B="Electronics"),0))</f>
        <v>9000</v>
      </c>
    </row>
    <row r="25" spans="1:7" x14ac:dyDescent="0.25">
      <c r="A25" s="11">
        <v>43344</v>
      </c>
      <c r="B25" s="27">
        <f>SUMIFS(tbl_details5[Revenue],tbl_details5[[Order Month ]],Table6[[#This Row],[Order Month]],tbl_details5[Category],Table6[[#Headers],[Furniture]])</f>
        <v>8704</v>
      </c>
      <c r="C25" s="27">
        <f>SUMIFS(tbl_details5[Revenue],tbl_details5[[Order Month ]],Table6[[#This Row],[Order Month]],tbl_details5[Category],Table6[[#Headers],[Clothing]])</f>
        <v>10717</v>
      </c>
      <c r="D25" s="27">
        <f>SUMIFS(tbl_details5[Revenue],tbl_details5[[Order Month ]],Table6[[#This Row],[Order Month]],tbl_details5[Category],Table6[[#Headers],[Electronics]])</f>
        <v>7207</v>
      </c>
      <c r="E25" s="29">
        <f t="array" ref="E25">INDEX(Sales_Target!$C:$C, MATCH(1, (Sales_Target!$A:$A=$A25)*(Sales_Target!$B:$B="Furniture"), 0))</f>
        <v>11000</v>
      </c>
      <c r="F25" s="29">
        <f t="array" ref="F25">INDEX(Sales_Target!$C:$C,MATCH(1,(Sales_Target!$A:$A=$A25)*(Sales_Target!$B:$B="Clothing"),0))</f>
        <v>14000</v>
      </c>
      <c r="G25" s="29">
        <f t="array" ref="G25">INDEX(Sales_Target!$C:$C,MATCH(1,(Sales_Target!$A:$A=$A25)*(Sales_Target!B:B="Electronics"),0))</f>
        <v>9000</v>
      </c>
    </row>
    <row r="26" spans="1:7" x14ac:dyDescent="0.25">
      <c r="A26" s="11">
        <v>43374</v>
      </c>
      <c r="B26" s="27">
        <f>SUMIFS(tbl_details5[Revenue],tbl_details5[[Order Month ]],Table6[[#This Row],[Order Month]],tbl_details5[Category],Table6[[#Headers],[Furniture]])</f>
        <v>6766</v>
      </c>
      <c r="C26" s="27">
        <f>SUMIFS(tbl_details5[Revenue],tbl_details5[[Order Month ]],Table6[[#This Row],[Order Month]],tbl_details5[Category],Table6[[#Headers],[Clothing]])</f>
        <v>11488</v>
      </c>
      <c r="D26" s="27">
        <f>SUMIFS(tbl_details5[Revenue],tbl_details5[[Order Month ]],Table6[[#This Row],[Order Month]],tbl_details5[Category],Table6[[#Headers],[Electronics]])</f>
        <v>13361</v>
      </c>
      <c r="E26" s="29">
        <f t="array" ref="E26">INDEX(Sales_Target!$C:$C, MATCH(1, (Sales_Target!$A:$A=$A26)*(Sales_Target!$B:$B="Furniture"), 0))</f>
        <v>11100</v>
      </c>
      <c r="F26" s="29">
        <f t="array" ref="F26">INDEX(Sales_Target!$C:$C,MATCH(1,(Sales_Target!$A:$A=$A26)*(Sales_Target!$B:$B="Clothing"),0))</f>
        <v>16000</v>
      </c>
      <c r="G26" s="29">
        <f t="array" ref="G26">INDEX(Sales_Target!$C:$C,MATCH(1,(Sales_Target!$A:$A=$A26)*(Sales_Target!B:B="Electronics"),0))</f>
        <v>9000</v>
      </c>
    </row>
    <row r="27" spans="1:7" x14ac:dyDescent="0.25">
      <c r="A27" s="11">
        <v>43405</v>
      </c>
      <c r="B27" s="27">
        <f>SUMIFS(tbl_details5[Revenue],tbl_details5[[Order Month ]],Table6[[#This Row],[Order Month]],tbl_details5[Category],Table6[[#Headers],[Furniture]])</f>
        <v>15165</v>
      </c>
      <c r="C27" s="27">
        <f>SUMIFS(tbl_details5[Revenue],tbl_details5[[Order Month ]],Table6[[#This Row],[Order Month]],tbl_details5[Category],Table6[[#Headers],[Clothing]])</f>
        <v>16270</v>
      </c>
      <c r="D27" s="27">
        <f>SUMIFS(tbl_details5[Revenue],tbl_details5[[Order Month ]],Table6[[#This Row],[Order Month]],tbl_details5[Category],Table6[[#Headers],[Electronics]])</f>
        <v>16651</v>
      </c>
      <c r="E27" s="29">
        <f t="array" ref="E27">INDEX(Sales_Target!$C:$C, MATCH(1, (Sales_Target!$A:$A=$A27)*(Sales_Target!$B:$B="Furniture"), 0))</f>
        <v>11300</v>
      </c>
      <c r="F27" s="29">
        <f t="array" ref="F27">INDEX(Sales_Target!$C:$C,MATCH(1,(Sales_Target!$A:$A=$A27)*(Sales_Target!$B:$B="Clothing"),0))</f>
        <v>16000</v>
      </c>
      <c r="G27" s="29">
        <f t="array" ref="G27">INDEX(Sales_Target!$C:$C,MATCH(1,(Sales_Target!$A:$A=$A27)*(Sales_Target!B:B="Electronics"),0))</f>
        <v>9000</v>
      </c>
    </row>
    <row r="28" spans="1:7" x14ac:dyDescent="0.25">
      <c r="A28" s="11">
        <v>43435</v>
      </c>
      <c r="B28" s="27">
        <f>SUMIFS(tbl_details5[Revenue],tbl_details5[[Order Month ]],Table6[[#This Row],[Order Month]],tbl_details5[Category],Table6[[#Headers],[Furniture]])</f>
        <v>9474</v>
      </c>
      <c r="C28" s="27">
        <f>SUMIFS(tbl_details5[Revenue],tbl_details5[[Order Month ]],Table6[[#This Row],[Order Month]],tbl_details5[Category],Table6[[#Headers],[Clothing]])</f>
        <v>9545</v>
      </c>
      <c r="D28" s="27">
        <f>SUMIFS(tbl_details5[Revenue],tbl_details5[[Order Month ]],Table6[[#This Row],[Order Month]],tbl_details5[Category],Table6[[#Headers],[Electronics]])</f>
        <v>18560</v>
      </c>
      <c r="E28" s="29">
        <f t="array" ref="E28">INDEX(Sales_Target!$C:$C, MATCH(1, (Sales_Target!$A:$A=$A28)*(Sales_Target!$B:$B="Furniture"), 0))</f>
        <v>11400</v>
      </c>
      <c r="F28" s="29">
        <f t="array" ref="F28">INDEX(Sales_Target!$C:$C,MATCH(1,(Sales_Target!$A:$A=$A28)*(Sales_Target!$B:$B="Clothing"),0))</f>
        <v>16000</v>
      </c>
      <c r="G28" s="29">
        <f t="array" ref="G28">INDEX(Sales_Target!$C:$C,MATCH(1,(Sales_Target!$A:$A=$A28)*(Sales_Target!B:B="Electronics"),0))</f>
        <v>9000</v>
      </c>
    </row>
    <row r="29" spans="1:7" x14ac:dyDescent="0.25">
      <c r="A29" s="11">
        <v>43466</v>
      </c>
      <c r="B29" s="27">
        <f>SUMIFS(tbl_details5[Revenue],tbl_details5[[Order Month ]],Table6[[#This Row],[Order Month]],tbl_details5[Category],Table6[[#Headers],[Furniture]])</f>
        <v>21257</v>
      </c>
      <c r="C29" s="27">
        <f>SUMIFS(tbl_details5[Revenue],tbl_details5[[Order Month ]],Table6[[#This Row],[Order Month]],tbl_details5[Category],Table6[[#Headers],[Clothing]])</f>
        <v>13466</v>
      </c>
      <c r="D29" s="27">
        <f>SUMIFS(tbl_details5[Revenue],tbl_details5[[Order Month ]],Table6[[#This Row],[Order Month]],tbl_details5[Category],Table6[[#Headers],[Electronics]])</f>
        <v>26716</v>
      </c>
      <c r="E29" s="29">
        <f t="array" ref="E29">INDEX(Sales_Target!$C:$C, MATCH(1, (Sales_Target!$A:$A=$A29)*(Sales_Target!$B:$B="Furniture"), 0))</f>
        <v>11500</v>
      </c>
      <c r="F29" s="29">
        <f t="array" ref="F29">INDEX(Sales_Target!$C:$C,MATCH(1,(Sales_Target!$A:$A=$A29)*(Sales_Target!$B:$B="Clothing"),0))</f>
        <v>16000</v>
      </c>
      <c r="G29" s="29">
        <f t="array" ref="G29">INDEX(Sales_Target!$C:$C,MATCH(1,(Sales_Target!$A:$A=$A29)*(Sales_Target!B:B="Electronics"),0))</f>
        <v>16000</v>
      </c>
    </row>
    <row r="30" spans="1:7" x14ac:dyDescent="0.25">
      <c r="A30" s="11">
        <v>43497</v>
      </c>
      <c r="B30" s="27">
        <f>SUMIFS(tbl_details5[Revenue],tbl_details5[[Order Month ]],Table6[[#This Row],[Order Month]],tbl_details5[Category],Table6[[#Headers],[Furniture]])</f>
        <v>16262</v>
      </c>
      <c r="C30" s="27">
        <f>SUMIFS(tbl_details5[Revenue],tbl_details5[[Order Month ]],Table6[[#This Row],[Order Month]],tbl_details5[Category],Table6[[#Headers],[Clothing]])</f>
        <v>9569</v>
      </c>
      <c r="D30" s="27">
        <f>SUMIFS(tbl_details5[Revenue],tbl_details5[[Order Month ]],Table6[[#This Row],[Order Month]],tbl_details5[Category],Table6[[#Headers],[Electronics]])</f>
        <v>12593</v>
      </c>
      <c r="E30" s="29">
        <f t="array" ref="E30">INDEX(Sales_Target!$C:$C, MATCH(1, (Sales_Target!$A:$A=$A30)*(Sales_Target!$B:$B="Furniture"), 0))</f>
        <v>11600</v>
      </c>
      <c r="F30" s="29">
        <f t="array" ref="F30">INDEX(Sales_Target!$C:$C,MATCH(1,(Sales_Target!$A:$A=$A30)*(Sales_Target!$B:$B="Clothing"),0))</f>
        <v>16000</v>
      </c>
      <c r="G30" s="29">
        <f t="array" ref="G30">INDEX(Sales_Target!$C:$C,MATCH(1,(Sales_Target!$A:$A=$A30)*(Sales_Target!B:B="Electronics"),0))</f>
        <v>16000</v>
      </c>
    </row>
    <row r="31" spans="1:7" x14ac:dyDescent="0.25">
      <c r="A31" s="11">
        <v>43525</v>
      </c>
      <c r="B31" s="27">
        <f>SUMIFS(tbl_details5[Revenue],tbl_details5[[Order Month ]],Table6[[#This Row],[Order Month]],tbl_details5[Category],Table6[[#Headers],[Furniture]])</f>
        <v>16659</v>
      </c>
      <c r="C31" s="27">
        <f>SUMIFS(tbl_details5[Revenue],tbl_details5[[Order Month ]],Table6[[#This Row],[Order Month]],tbl_details5[Category],Table6[[#Headers],[Clothing]])</f>
        <v>21418</v>
      </c>
      <c r="D31" s="27">
        <f>SUMIFS(tbl_details5[Revenue],tbl_details5[[Order Month ]],Table6[[#This Row],[Order Month]],tbl_details5[Category],Table6[[#Headers],[Electronics]])</f>
        <v>20860</v>
      </c>
      <c r="E31" s="29">
        <f t="array" ref="E31">INDEX(Sales_Target!$C:$C, MATCH(1, (Sales_Target!$A:$A=$A31)*(Sales_Target!$B:$B="Furniture"), 0))</f>
        <v>11800</v>
      </c>
      <c r="F31" s="29">
        <f t="array" ref="F31">INDEX(Sales_Target!$C:$C,MATCH(1,(Sales_Target!$A:$A=$A31)*(Sales_Target!$B:$B="Clothing"),0))</f>
        <v>16000</v>
      </c>
      <c r="G31" s="29">
        <f t="array" ref="G31">INDEX(Sales_Target!$C:$C,MATCH(1,(Sales_Target!$A:$A=$A31)*(Sales_Target!B:B="Electronics"),0))</f>
        <v>16000</v>
      </c>
    </row>
    <row r="32" spans="1:7" x14ac:dyDescent="0.25">
      <c r="A32"/>
    </row>
    <row r="33" spans="1:5" x14ac:dyDescent="0.25">
      <c r="A33"/>
    </row>
    <row r="34" spans="1:5" x14ac:dyDescent="0.25">
      <c r="A34"/>
    </row>
    <row r="35" spans="1:5" ht="18.75" x14ac:dyDescent="0.3">
      <c r="A35" s="22" t="s">
        <v>954</v>
      </c>
      <c r="B35" s="22"/>
      <c r="C35" s="22"/>
      <c r="D35" s="22"/>
      <c r="E35" s="22"/>
    </row>
    <row r="36" spans="1:5" x14ac:dyDescent="0.25">
      <c r="A36" t="s">
        <v>881</v>
      </c>
      <c r="B36" t="s">
        <v>951</v>
      </c>
      <c r="C36" t="s">
        <v>903</v>
      </c>
      <c r="D36" t="s">
        <v>952</v>
      </c>
      <c r="E36" t="s">
        <v>953</v>
      </c>
    </row>
    <row r="37" spans="1:5" x14ac:dyDescent="0.25">
      <c r="A37" t="s">
        <v>885</v>
      </c>
      <c r="B37" s="25">
        <f>SUM(Table6[Clothing])</f>
        <v>139054</v>
      </c>
      <c r="C37" s="25">
        <f>SUM(Table6[Target Clothing])</f>
        <v>174000</v>
      </c>
      <c r="D37" s="25">
        <f>B37-C37</f>
        <v>-34946</v>
      </c>
      <c r="E37" s="26">
        <f>B37/C37</f>
        <v>0.79916091954022983</v>
      </c>
    </row>
    <row r="38" spans="1:5" x14ac:dyDescent="0.25">
      <c r="A38" t="s">
        <v>883</v>
      </c>
      <c r="B38" s="25">
        <f>SUM(Table6[Furniture])</f>
        <v>127181</v>
      </c>
      <c r="C38" s="25">
        <f>SUM(Table6[Target Furniture])</f>
        <v>132900</v>
      </c>
      <c r="D38" s="25">
        <f t="shared" ref="D38:D39" si="0">B38-C38</f>
        <v>-5719</v>
      </c>
      <c r="E38" s="26">
        <f t="shared" ref="E38:E39" si="1">B38/C38</f>
        <v>0.9569676448457487</v>
      </c>
    </row>
    <row r="39" spans="1:5" x14ac:dyDescent="0.25">
      <c r="A39" t="s">
        <v>888</v>
      </c>
      <c r="B39" s="25">
        <f>SUM(Table6[Electronics])</f>
        <v>165267</v>
      </c>
      <c r="C39" s="25">
        <f>SUM(Table6[Target Electronics])</f>
        <v>129000</v>
      </c>
      <c r="D39" s="25">
        <f t="shared" si="0"/>
        <v>36267</v>
      </c>
      <c r="E39" s="26">
        <f t="shared" si="1"/>
        <v>1.2811395348837209</v>
      </c>
    </row>
    <row r="40" spans="1:5" x14ac:dyDescent="0.25">
      <c r="A40"/>
    </row>
    <row r="41" spans="1:5" x14ac:dyDescent="0.25">
      <c r="A41"/>
    </row>
    <row r="42" spans="1:5" x14ac:dyDescent="0.25">
      <c r="A42"/>
    </row>
    <row r="43" spans="1:5" ht="21" x14ac:dyDescent="0.35">
      <c r="A43" s="22" t="s">
        <v>950</v>
      </c>
      <c r="B43" s="23"/>
    </row>
    <row r="44" spans="1:5" x14ac:dyDescent="0.25">
      <c r="A44" t="s">
        <v>927</v>
      </c>
      <c r="B44" t="s">
        <v>907</v>
      </c>
    </row>
    <row r="45" spans="1:5" hidden="1" x14ac:dyDescent="0.25">
      <c r="A45" t="s">
        <v>6</v>
      </c>
      <c r="B45">
        <f>SUMIF(tbl_details5[Customer Name],MIS_Report!A45,tbl_details5[Revenue])</f>
        <v>1579</v>
      </c>
    </row>
    <row r="46" spans="1:5" hidden="1" x14ac:dyDescent="0.25">
      <c r="A46" t="s">
        <v>10</v>
      </c>
      <c r="B46">
        <f>SUMIF(tbl_details5[Customer Name],MIS_Report!A46,tbl_details5[Revenue])</f>
        <v>3944</v>
      </c>
    </row>
    <row r="47" spans="1:5" hidden="1" x14ac:dyDescent="0.25">
      <c r="A47" t="s">
        <v>14</v>
      </c>
      <c r="B47">
        <f>SUMIF(tbl_details5[Customer Name],MIS_Report!A47,tbl_details5[Revenue])</f>
        <v>2807</v>
      </c>
    </row>
    <row r="48" spans="1:5" hidden="1" x14ac:dyDescent="0.25">
      <c r="A48" t="s">
        <v>18</v>
      </c>
      <c r="B48">
        <f>SUMIF(tbl_details5[Customer Name],MIS_Report!A48,tbl_details5[Revenue])</f>
        <v>968</v>
      </c>
    </row>
    <row r="49" spans="1:2" hidden="1" x14ac:dyDescent="0.25">
      <c r="A49" t="s">
        <v>22</v>
      </c>
      <c r="B49">
        <f>SUMIF(tbl_details5[Customer Name],MIS_Report!A49,tbl_details5[Revenue])</f>
        <v>958</v>
      </c>
    </row>
    <row r="50" spans="1:2" hidden="1" x14ac:dyDescent="0.25">
      <c r="A50" t="s">
        <v>26</v>
      </c>
      <c r="B50">
        <f>SUMIF(tbl_details5[Customer Name],MIS_Report!A50,tbl_details5[Revenue])</f>
        <v>944</v>
      </c>
    </row>
    <row r="51" spans="1:2" hidden="1" x14ac:dyDescent="0.25">
      <c r="A51" t="s">
        <v>30</v>
      </c>
      <c r="B51">
        <f>SUMIF(tbl_details5[Customer Name],MIS_Report!A51,tbl_details5[Revenue])</f>
        <v>237</v>
      </c>
    </row>
    <row r="52" spans="1:2" hidden="1" x14ac:dyDescent="0.25">
      <c r="A52" t="s">
        <v>34</v>
      </c>
      <c r="B52">
        <f>SUMIF(tbl_details5[Customer Name],MIS_Report!A52,tbl_details5[Revenue])</f>
        <v>4701</v>
      </c>
    </row>
    <row r="53" spans="1:2" hidden="1" x14ac:dyDescent="0.25">
      <c r="A53" t="s">
        <v>38</v>
      </c>
      <c r="B53">
        <f>SUMIF(tbl_details5[Customer Name],MIS_Report!A53,tbl_details5[Revenue])</f>
        <v>1190</v>
      </c>
    </row>
    <row r="54" spans="1:2" hidden="1" x14ac:dyDescent="0.25">
      <c r="A54" t="s">
        <v>42</v>
      </c>
      <c r="B54">
        <f>SUMIF(tbl_details5[Customer Name],MIS_Report!A54,tbl_details5[Revenue])</f>
        <v>5421</v>
      </c>
    </row>
    <row r="55" spans="1:2" hidden="1" x14ac:dyDescent="0.25">
      <c r="A55" t="s">
        <v>46</v>
      </c>
      <c r="B55">
        <f>SUMIF(tbl_details5[Customer Name],MIS_Report!A55,tbl_details5[Revenue])</f>
        <v>561</v>
      </c>
    </row>
    <row r="56" spans="1:2" hidden="1" x14ac:dyDescent="0.25">
      <c r="A56" t="s">
        <v>50</v>
      </c>
      <c r="B56">
        <f>SUMIF(tbl_details5[Customer Name],MIS_Report!A56,tbl_details5[Revenue])</f>
        <v>3828</v>
      </c>
    </row>
    <row r="57" spans="1:2" hidden="1" x14ac:dyDescent="0.25">
      <c r="A57" t="s">
        <v>54</v>
      </c>
      <c r="B57">
        <f>SUMIF(tbl_details5[Customer Name],MIS_Report!A57,tbl_details5[Revenue])</f>
        <v>3704</v>
      </c>
    </row>
    <row r="58" spans="1:2" hidden="1" x14ac:dyDescent="0.25">
      <c r="A58" t="s">
        <v>57</v>
      </c>
      <c r="B58">
        <f>SUMIF(tbl_details5[Customer Name],MIS_Report!A58,tbl_details5[Revenue])</f>
        <v>1456</v>
      </c>
    </row>
    <row r="59" spans="1:2" hidden="1" x14ac:dyDescent="0.25">
      <c r="A59" t="s">
        <v>61</v>
      </c>
      <c r="B59">
        <f>SUMIF(tbl_details5[Customer Name],MIS_Report!A59,tbl_details5[Revenue])</f>
        <v>307</v>
      </c>
    </row>
    <row r="60" spans="1:2" hidden="1" x14ac:dyDescent="0.25">
      <c r="A60" t="s">
        <v>65</v>
      </c>
      <c r="B60">
        <f>SUMIF(tbl_details5[Customer Name],MIS_Report!A60,tbl_details5[Revenue])</f>
        <v>699</v>
      </c>
    </row>
    <row r="61" spans="1:2" hidden="1" x14ac:dyDescent="0.25">
      <c r="A61" t="s">
        <v>68</v>
      </c>
      <c r="B61">
        <f>SUMIF(tbl_details5[Customer Name],MIS_Report!A61,tbl_details5[Revenue])</f>
        <v>439</v>
      </c>
    </row>
    <row r="62" spans="1:2" hidden="1" x14ac:dyDescent="0.25">
      <c r="A62" t="s">
        <v>72</v>
      </c>
      <c r="B62">
        <f>SUMIF(tbl_details5[Customer Name],MIS_Report!A62,tbl_details5[Revenue])</f>
        <v>2084</v>
      </c>
    </row>
    <row r="63" spans="1:2" hidden="1" x14ac:dyDescent="0.25">
      <c r="A63" t="s">
        <v>76</v>
      </c>
      <c r="B63">
        <f>SUMIF(tbl_details5[Customer Name],MIS_Report!A63,tbl_details5[Revenue])</f>
        <v>471</v>
      </c>
    </row>
    <row r="64" spans="1:2" hidden="1" x14ac:dyDescent="0.25">
      <c r="A64" t="s">
        <v>78</v>
      </c>
      <c r="B64">
        <f>SUMIF(tbl_details5[Customer Name],MIS_Report!A64,tbl_details5[Revenue])</f>
        <v>5449</v>
      </c>
    </row>
    <row r="65" spans="1:2" hidden="1" x14ac:dyDescent="0.25">
      <c r="A65" t="s">
        <v>80</v>
      </c>
      <c r="B65">
        <f>SUMIF(tbl_details5[Customer Name],MIS_Report!A65,tbl_details5[Revenue])</f>
        <v>1013</v>
      </c>
    </row>
    <row r="66" spans="1:2" hidden="1" x14ac:dyDescent="0.25">
      <c r="A66" t="s">
        <v>82</v>
      </c>
      <c r="B66">
        <f>SUMIF(tbl_details5[Customer Name],MIS_Report!A66,tbl_details5[Revenue])</f>
        <v>587</v>
      </c>
    </row>
    <row r="67" spans="1:2" hidden="1" x14ac:dyDescent="0.25">
      <c r="A67" t="s">
        <v>84</v>
      </c>
      <c r="B67">
        <f>SUMIF(tbl_details5[Customer Name],MIS_Report!A67,tbl_details5[Revenue])</f>
        <v>2584</v>
      </c>
    </row>
    <row r="68" spans="1:2" hidden="1" x14ac:dyDescent="0.25">
      <c r="A68" t="s">
        <v>86</v>
      </c>
      <c r="B68">
        <f>SUMIF(tbl_details5[Customer Name],MIS_Report!A68,tbl_details5[Revenue])</f>
        <v>2139</v>
      </c>
    </row>
    <row r="69" spans="1:2" hidden="1" x14ac:dyDescent="0.25">
      <c r="A69" t="s">
        <v>88</v>
      </c>
      <c r="B69">
        <f>SUMIF(tbl_details5[Customer Name],MIS_Report!A69,tbl_details5[Revenue])</f>
        <v>3160</v>
      </c>
    </row>
    <row r="70" spans="1:2" hidden="1" x14ac:dyDescent="0.25">
      <c r="A70" t="s">
        <v>90</v>
      </c>
      <c r="B70">
        <f>SUMIF(tbl_details5[Customer Name],MIS_Report!A70,tbl_details5[Revenue])</f>
        <v>4907</v>
      </c>
    </row>
    <row r="71" spans="1:2" hidden="1" x14ac:dyDescent="0.25">
      <c r="A71" t="s">
        <v>93</v>
      </c>
      <c r="B71">
        <f>SUMIF(tbl_details5[Customer Name],MIS_Report!A71,tbl_details5[Revenue])</f>
        <v>1160</v>
      </c>
    </row>
    <row r="72" spans="1:2" x14ac:dyDescent="0.25">
      <c r="A72" t="s">
        <v>96</v>
      </c>
      <c r="B72" s="28">
        <f>SUMIF(tbl_details5[Customer Name],MIS_Report!A72,tbl_details5[Revenue])</f>
        <v>9030</v>
      </c>
    </row>
    <row r="73" spans="1:2" hidden="1" x14ac:dyDescent="0.25">
      <c r="A73" t="s">
        <v>98</v>
      </c>
      <c r="B73">
        <f>SUMIF(tbl_details5[Customer Name],MIS_Report!A73,tbl_details5[Revenue])</f>
        <v>1643</v>
      </c>
    </row>
    <row r="74" spans="1:2" hidden="1" x14ac:dyDescent="0.25">
      <c r="A74" t="s">
        <v>100</v>
      </c>
      <c r="B74">
        <f>SUMIF(tbl_details5[Customer Name],MIS_Report!A74,tbl_details5[Revenue])</f>
        <v>1490</v>
      </c>
    </row>
    <row r="75" spans="1:2" hidden="1" x14ac:dyDescent="0.25">
      <c r="A75" t="s">
        <v>102</v>
      </c>
      <c r="B75">
        <f>SUMIF(tbl_details5[Customer Name],MIS_Report!A75,tbl_details5[Revenue])</f>
        <v>265</v>
      </c>
    </row>
    <row r="76" spans="1:2" hidden="1" x14ac:dyDescent="0.25">
      <c r="A76" t="s">
        <v>104</v>
      </c>
      <c r="B76">
        <f>SUMIF(tbl_details5[Customer Name],MIS_Report!A76,tbl_details5[Revenue])</f>
        <v>55</v>
      </c>
    </row>
    <row r="77" spans="1:2" hidden="1" x14ac:dyDescent="0.25">
      <c r="A77" t="s">
        <v>106</v>
      </c>
      <c r="B77">
        <f>SUMIF(tbl_details5[Customer Name],MIS_Report!A77,tbl_details5[Revenue])</f>
        <v>1934</v>
      </c>
    </row>
    <row r="78" spans="1:2" hidden="1" x14ac:dyDescent="0.25">
      <c r="A78" t="s">
        <v>108</v>
      </c>
      <c r="B78">
        <f>SUMIF(tbl_details5[Customer Name],MIS_Report!A78,tbl_details5[Revenue])</f>
        <v>517</v>
      </c>
    </row>
    <row r="79" spans="1:2" hidden="1" x14ac:dyDescent="0.25">
      <c r="A79" t="s">
        <v>110</v>
      </c>
      <c r="B79">
        <f>SUMIF(tbl_details5[Customer Name],MIS_Report!A79,tbl_details5[Revenue])</f>
        <v>1329</v>
      </c>
    </row>
    <row r="80" spans="1:2" hidden="1" x14ac:dyDescent="0.25">
      <c r="A80" t="s">
        <v>112</v>
      </c>
      <c r="B80">
        <f>SUMIF(tbl_details5[Customer Name],MIS_Report!A80,tbl_details5[Revenue])</f>
        <v>669</v>
      </c>
    </row>
    <row r="81" spans="1:2" hidden="1" x14ac:dyDescent="0.25">
      <c r="A81" t="s">
        <v>114</v>
      </c>
      <c r="B81">
        <f>SUMIF(tbl_details5[Customer Name],MIS_Report!A81,tbl_details5[Revenue])</f>
        <v>172</v>
      </c>
    </row>
    <row r="82" spans="1:2" hidden="1" x14ac:dyDescent="0.25">
      <c r="A82" t="s">
        <v>116</v>
      </c>
      <c r="B82">
        <f>SUMIF(tbl_details5[Customer Name],MIS_Report!A82,tbl_details5[Revenue])</f>
        <v>5161</v>
      </c>
    </row>
    <row r="83" spans="1:2" hidden="1" x14ac:dyDescent="0.25">
      <c r="A83" t="s">
        <v>118</v>
      </c>
      <c r="B83">
        <f>SUMIF(tbl_details5[Customer Name],MIS_Report!A83,tbl_details5[Revenue])</f>
        <v>1729</v>
      </c>
    </row>
    <row r="84" spans="1:2" hidden="1" x14ac:dyDescent="0.25">
      <c r="A84" t="s">
        <v>120</v>
      </c>
      <c r="B84">
        <f>SUMIF(tbl_details5[Customer Name],MIS_Report!A84,tbl_details5[Revenue])</f>
        <v>2466</v>
      </c>
    </row>
    <row r="85" spans="1:2" hidden="1" x14ac:dyDescent="0.25">
      <c r="A85" t="s">
        <v>122</v>
      </c>
      <c r="B85">
        <f>SUMIF(tbl_details5[Customer Name],MIS_Report!A85,tbl_details5[Revenue])</f>
        <v>4741</v>
      </c>
    </row>
    <row r="86" spans="1:2" hidden="1" x14ac:dyDescent="0.25">
      <c r="A86" t="s">
        <v>124</v>
      </c>
      <c r="B86">
        <f>SUMIF(tbl_details5[Customer Name],MIS_Report!A86,tbl_details5[Revenue])</f>
        <v>1922</v>
      </c>
    </row>
    <row r="87" spans="1:2" hidden="1" x14ac:dyDescent="0.25">
      <c r="A87" t="s">
        <v>126</v>
      </c>
      <c r="B87">
        <f>SUMIF(tbl_details5[Customer Name],MIS_Report!A87,tbl_details5[Revenue])</f>
        <v>3216</v>
      </c>
    </row>
    <row r="88" spans="1:2" hidden="1" x14ac:dyDescent="0.25">
      <c r="A88" t="s">
        <v>128</v>
      </c>
      <c r="B88">
        <f>SUMIF(tbl_details5[Customer Name],MIS_Report!A88,tbl_details5[Revenue])</f>
        <v>1629</v>
      </c>
    </row>
    <row r="89" spans="1:2" x14ac:dyDescent="0.25">
      <c r="A89" t="s">
        <v>130</v>
      </c>
      <c r="B89" s="28">
        <f>SUMIF(tbl_details5[Customer Name],MIS_Report!A89,tbl_details5[Revenue])</f>
        <v>9177</v>
      </c>
    </row>
    <row r="90" spans="1:2" hidden="1" x14ac:dyDescent="0.25">
      <c r="A90" t="s">
        <v>132</v>
      </c>
      <c r="B90">
        <f>SUMIF(tbl_details5[Customer Name],MIS_Report!A90,tbl_details5[Revenue])</f>
        <v>1790</v>
      </c>
    </row>
    <row r="91" spans="1:2" hidden="1" x14ac:dyDescent="0.25">
      <c r="A91" t="s">
        <v>134</v>
      </c>
      <c r="B91">
        <f>SUMIF(tbl_details5[Customer Name],MIS_Report!A91,tbl_details5[Revenue])</f>
        <v>1715</v>
      </c>
    </row>
    <row r="92" spans="1:2" hidden="1" x14ac:dyDescent="0.25">
      <c r="A92" t="s">
        <v>136</v>
      </c>
      <c r="B92">
        <f>SUMIF(tbl_details5[Customer Name],MIS_Report!A92,tbl_details5[Revenue])</f>
        <v>703</v>
      </c>
    </row>
    <row r="93" spans="1:2" hidden="1" x14ac:dyDescent="0.25">
      <c r="A93" t="s">
        <v>138</v>
      </c>
      <c r="B93">
        <f>SUMIF(tbl_details5[Customer Name],MIS_Report!A93,tbl_details5[Revenue])</f>
        <v>47</v>
      </c>
    </row>
    <row r="94" spans="1:2" hidden="1" x14ac:dyDescent="0.25">
      <c r="A94" t="s">
        <v>140</v>
      </c>
      <c r="B94">
        <f>SUMIF(tbl_details5[Customer Name],MIS_Report!A94,tbl_details5[Revenue])</f>
        <v>3192</v>
      </c>
    </row>
    <row r="95" spans="1:2" hidden="1" x14ac:dyDescent="0.25">
      <c r="A95" t="s">
        <v>142</v>
      </c>
      <c r="B95">
        <f>SUMIF(tbl_details5[Customer Name],MIS_Report!A95,tbl_details5[Revenue])</f>
        <v>4259</v>
      </c>
    </row>
    <row r="96" spans="1:2" hidden="1" x14ac:dyDescent="0.25">
      <c r="A96" t="s">
        <v>144</v>
      </c>
      <c r="B96">
        <f>SUMIF(tbl_details5[Customer Name],MIS_Report!A96,tbl_details5[Revenue])</f>
        <v>600</v>
      </c>
    </row>
    <row r="97" spans="1:2" hidden="1" x14ac:dyDescent="0.25">
      <c r="A97" t="s">
        <v>146</v>
      </c>
      <c r="B97">
        <f>SUMIF(tbl_details5[Customer Name],MIS_Report!A97,tbl_details5[Revenue])</f>
        <v>4675</v>
      </c>
    </row>
    <row r="98" spans="1:2" hidden="1" x14ac:dyDescent="0.25">
      <c r="A98" t="s">
        <v>148</v>
      </c>
      <c r="B98">
        <f>SUMIF(tbl_details5[Customer Name],MIS_Report!A98,tbl_details5[Revenue])</f>
        <v>1384</v>
      </c>
    </row>
    <row r="99" spans="1:2" hidden="1" x14ac:dyDescent="0.25">
      <c r="A99" t="s">
        <v>150</v>
      </c>
      <c r="B99">
        <f>SUMIF(tbl_details5[Customer Name],MIS_Report!A99,tbl_details5[Revenue])</f>
        <v>1201</v>
      </c>
    </row>
    <row r="100" spans="1:2" hidden="1" x14ac:dyDescent="0.25">
      <c r="A100" t="s">
        <v>152</v>
      </c>
      <c r="B100">
        <f>SUMIF(tbl_details5[Customer Name],MIS_Report!A100,tbl_details5[Revenue])</f>
        <v>5762</v>
      </c>
    </row>
    <row r="101" spans="1:2" hidden="1" x14ac:dyDescent="0.25">
      <c r="A101" t="s">
        <v>154</v>
      </c>
      <c r="B101">
        <f>SUMIF(tbl_details5[Customer Name],MIS_Report!A101,tbl_details5[Revenue])</f>
        <v>4668</v>
      </c>
    </row>
    <row r="102" spans="1:2" hidden="1" x14ac:dyDescent="0.25">
      <c r="A102" t="s">
        <v>156</v>
      </c>
      <c r="B102">
        <f>SUMIF(tbl_details5[Customer Name],MIS_Report!A102,tbl_details5[Revenue])</f>
        <v>220</v>
      </c>
    </row>
    <row r="103" spans="1:2" hidden="1" x14ac:dyDescent="0.25">
      <c r="A103" t="s">
        <v>158</v>
      </c>
      <c r="B103">
        <f>SUMIF(tbl_details5[Customer Name],MIS_Report!A103,tbl_details5[Revenue])</f>
        <v>203</v>
      </c>
    </row>
    <row r="104" spans="1:2" hidden="1" x14ac:dyDescent="0.25">
      <c r="A104" t="s">
        <v>160</v>
      </c>
      <c r="B104">
        <f>SUMIF(tbl_details5[Customer Name],MIS_Report!A104,tbl_details5[Revenue])</f>
        <v>5750</v>
      </c>
    </row>
    <row r="105" spans="1:2" hidden="1" x14ac:dyDescent="0.25">
      <c r="A105" t="s">
        <v>162</v>
      </c>
      <c r="B105">
        <f>SUMIF(tbl_details5[Customer Name],MIS_Report!A105,tbl_details5[Revenue])</f>
        <v>529</v>
      </c>
    </row>
    <row r="106" spans="1:2" hidden="1" x14ac:dyDescent="0.25">
      <c r="A106" t="s">
        <v>164</v>
      </c>
      <c r="B106">
        <f>SUMIF(tbl_details5[Customer Name],MIS_Report!A106,tbl_details5[Revenue])</f>
        <v>808</v>
      </c>
    </row>
    <row r="107" spans="1:2" hidden="1" x14ac:dyDescent="0.25">
      <c r="A107" t="s">
        <v>166</v>
      </c>
      <c r="B107">
        <f>SUMIF(tbl_details5[Customer Name],MIS_Report!A107,tbl_details5[Revenue])</f>
        <v>2286</v>
      </c>
    </row>
    <row r="108" spans="1:2" hidden="1" x14ac:dyDescent="0.25">
      <c r="A108" t="s">
        <v>168</v>
      </c>
      <c r="B108">
        <f>SUMIF(tbl_details5[Customer Name],MIS_Report!A108,tbl_details5[Revenue])</f>
        <v>1570</v>
      </c>
    </row>
    <row r="109" spans="1:2" hidden="1" x14ac:dyDescent="0.25">
      <c r="A109" t="s">
        <v>170</v>
      </c>
      <c r="B109">
        <f>SUMIF(tbl_details5[Customer Name],MIS_Report!A109,tbl_details5[Revenue])</f>
        <v>166</v>
      </c>
    </row>
    <row r="110" spans="1:2" hidden="1" x14ac:dyDescent="0.25">
      <c r="A110" t="s">
        <v>172</v>
      </c>
      <c r="B110">
        <f>SUMIF(tbl_details5[Customer Name],MIS_Report!A110,tbl_details5[Revenue])</f>
        <v>934</v>
      </c>
    </row>
    <row r="111" spans="1:2" hidden="1" x14ac:dyDescent="0.25">
      <c r="A111" t="s">
        <v>174</v>
      </c>
      <c r="B111">
        <f>SUMIF(tbl_details5[Customer Name],MIS_Report!A111,tbl_details5[Revenue])</f>
        <v>3537</v>
      </c>
    </row>
    <row r="112" spans="1:2" hidden="1" x14ac:dyDescent="0.25">
      <c r="A112" t="s">
        <v>176</v>
      </c>
      <c r="B112">
        <f>SUMIF(tbl_details5[Customer Name],MIS_Report!A112,tbl_details5[Revenue])</f>
        <v>1544</v>
      </c>
    </row>
    <row r="113" spans="1:2" hidden="1" x14ac:dyDescent="0.25">
      <c r="A113" t="s">
        <v>178</v>
      </c>
      <c r="B113">
        <f>SUMIF(tbl_details5[Customer Name],MIS_Report!A113,tbl_details5[Revenue])</f>
        <v>610</v>
      </c>
    </row>
    <row r="114" spans="1:2" hidden="1" x14ac:dyDescent="0.25">
      <c r="A114" t="s">
        <v>180</v>
      </c>
      <c r="B114">
        <f>SUMIF(tbl_details5[Customer Name],MIS_Report!A114,tbl_details5[Revenue])</f>
        <v>768</v>
      </c>
    </row>
    <row r="115" spans="1:2" hidden="1" x14ac:dyDescent="0.25">
      <c r="A115" t="s">
        <v>182</v>
      </c>
      <c r="B115">
        <f>SUMIF(tbl_details5[Customer Name],MIS_Report!A115,tbl_details5[Revenue])</f>
        <v>1076</v>
      </c>
    </row>
    <row r="116" spans="1:2" hidden="1" x14ac:dyDescent="0.25">
      <c r="A116" t="s">
        <v>184</v>
      </c>
      <c r="B116">
        <f>SUMIF(tbl_details5[Customer Name],MIS_Report!A116,tbl_details5[Revenue])</f>
        <v>27</v>
      </c>
    </row>
    <row r="117" spans="1:2" hidden="1" x14ac:dyDescent="0.25">
      <c r="A117" t="s">
        <v>186</v>
      </c>
      <c r="B117">
        <f>SUMIF(tbl_details5[Customer Name],MIS_Report!A117,tbl_details5[Revenue])</f>
        <v>285</v>
      </c>
    </row>
    <row r="118" spans="1:2" hidden="1" x14ac:dyDescent="0.25">
      <c r="A118" t="s">
        <v>188</v>
      </c>
      <c r="B118">
        <f>SUMIF(tbl_details5[Customer Name],MIS_Report!A118,tbl_details5[Revenue])</f>
        <v>2030</v>
      </c>
    </row>
    <row r="119" spans="1:2" hidden="1" x14ac:dyDescent="0.25">
      <c r="A119" t="s">
        <v>190</v>
      </c>
      <c r="B119">
        <f>SUMIF(tbl_details5[Customer Name],MIS_Report!A119,tbl_details5[Revenue])</f>
        <v>3952</v>
      </c>
    </row>
    <row r="120" spans="1:2" hidden="1" x14ac:dyDescent="0.25">
      <c r="A120" t="s">
        <v>192</v>
      </c>
      <c r="B120">
        <f>SUMIF(tbl_details5[Customer Name],MIS_Report!A120,tbl_details5[Revenue])</f>
        <v>2390</v>
      </c>
    </row>
    <row r="121" spans="1:2" hidden="1" x14ac:dyDescent="0.25">
      <c r="A121" t="s">
        <v>194</v>
      </c>
      <c r="B121">
        <f>SUMIF(tbl_details5[Customer Name],MIS_Report!A121,tbl_details5[Revenue])</f>
        <v>694</v>
      </c>
    </row>
    <row r="122" spans="1:2" hidden="1" x14ac:dyDescent="0.25">
      <c r="A122" t="s">
        <v>196</v>
      </c>
      <c r="B122">
        <f>SUMIF(tbl_details5[Customer Name],MIS_Report!A122,tbl_details5[Revenue])</f>
        <v>425</v>
      </c>
    </row>
    <row r="123" spans="1:2" hidden="1" x14ac:dyDescent="0.25">
      <c r="A123" t="s">
        <v>198</v>
      </c>
      <c r="B123">
        <f>SUMIF(tbl_details5[Customer Name],MIS_Report!A123,tbl_details5[Revenue])</f>
        <v>76</v>
      </c>
    </row>
    <row r="124" spans="1:2" hidden="1" x14ac:dyDescent="0.25">
      <c r="A124" t="s">
        <v>200</v>
      </c>
      <c r="B124">
        <f>SUMIF(tbl_details5[Customer Name],MIS_Report!A124,tbl_details5[Revenue])</f>
        <v>689</v>
      </c>
    </row>
    <row r="125" spans="1:2" hidden="1" x14ac:dyDescent="0.25">
      <c r="A125" t="s">
        <v>202</v>
      </c>
      <c r="B125">
        <f>SUMIF(tbl_details5[Customer Name],MIS_Report!A125,tbl_details5[Revenue])</f>
        <v>3599</v>
      </c>
    </row>
    <row r="126" spans="1:2" hidden="1" x14ac:dyDescent="0.25">
      <c r="A126" t="s">
        <v>204</v>
      </c>
      <c r="B126">
        <f>SUMIF(tbl_details5[Customer Name],MIS_Report!A126,tbl_details5[Revenue])</f>
        <v>3112</v>
      </c>
    </row>
    <row r="127" spans="1:2" hidden="1" x14ac:dyDescent="0.25">
      <c r="A127" t="s">
        <v>207</v>
      </c>
      <c r="B127">
        <f>SUMIF(tbl_details5[Customer Name],MIS_Report!A127,tbl_details5[Revenue])</f>
        <v>134</v>
      </c>
    </row>
    <row r="128" spans="1:2" hidden="1" x14ac:dyDescent="0.25">
      <c r="A128" t="s">
        <v>209</v>
      </c>
      <c r="B128">
        <f>SUMIF(tbl_details5[Customer Name],MIS_Report!A128,tbl_details5[Revenue])</f>
        <v>2756</v>
      </c>
    </row>
    <row r="129" spans="1:2" hidden="1" x14ac:dyDescent="0.25">
      <c r="A129" t="s">
        <v>212</v>
      </c>
      <c r="B129">
        <f>SUMIF(tbl_details5[Customer Name],MIS_Report!A129,tbl_details5[Revenue])</f>
        <v>826</v>
      </c>
    </row>
    <row r="130" spans="1:2" hidden="1" x14ac:dyDescent="0.25">
      <c r="A130" t="s">
        <v>214</v>
      </c>
      <c r="B130">
        <f>SUMIF(tbl_details5[Customer Name],MIS_Report!A130,tbl_details5[Revenue])</f>
        <v>352</v>
      </c>
    </row>
    <row r="131" spans="1:2" hidden="1" x14ac:dyDescent="0.25">
      <c r="A131" t="s">
        <v>216</v>
      </c>
      <c r="B131">
        <f>SUMIF(tbl_details5[Customer Name],MIS_Report!A131,tbl_details5[Revenue])</f>
        <v>715</v>
      </c>
    </row>
    <row r="132" spans="1:2" hidden="1" x14ac:dyDescent="0.25">
      <c r="A132" t="s">
        <v>218</v>
      </c>
      <c r="B132">
        <f>SUMIF(tbl_details5[Customer Name],MIS_Report!A132,tbl_details5[Revenue])</f>
        <v>31</v>
      </c>
    </row>
    <row r="133" spans="1:2" hidden="1" x14ac:dyDescent="0.25">
      <c r="A133" t="s">
        <v>220</v>
      </c>
      <c r="B133">
        <f>SUMIF(tbl_details5[Customer Name],MIS_Report!A133,tbl_details5[Revenue])</f>
        <v>806</v>
      </c>
    </row>
    <row r="134" spans="1:2" hidden="1" x14ac:dyDescent="0.25">
      <c r="A134" t="s">
        <v>222</v>
      </c>
      <c r="B134">
        <f>SUMIF(tbl_details5[Customer Name],MIS_Report!A134,tbl_details5[Revenue])</f>
        <v>170</v>
      </c>
    </row>
    <row r="135" spans="1:2" hidden="1" x14ac:dyDescent="0.25">
      <c r="A135" t="s">
        <v>224</v>
      </c>
      <c r="B135">
        <f>SUMIF(tbl_details5[Customer Name],MIS_Report!A135,tbl_details5[Revenue])</f>
        <v>975</v>
      </c>
    </row>
    <row r="136" spans="1:2" hidden="1" x14ac:dyDescent="0.25">
      <c r="A136" t="s">
        <v>226</v>
      </c>
      <c r="B136">
        <f>SUMIF(tbl_details5[Customer Name],MIS_Report!A136,tbl_details5[Revenue])</f>
        <v>167</v>
      </c>
    </row>
    <row r="137" spans="1:2" hidden="1" x14ac:dyDescent="0.25">
      <c r="A137" t="s">
        <v>228</v>
      </c>
      <c r="B137">
        <f>SUMIF(tbl_details5[Customer Name],MIS_Report!A137,tbl_details5[Revenue])</f>
        <v>171</v>
      </c>
    </row>
    <row r="138" spans="1:2" hidden="1" x14ac:dyDescent="0.25">
      <c r="A138" t="s">
        <v>230</v>
      </c>
      <c r="B138">
        <f>SUMIF(tbl_details5[Customer Name],MIS_Report!A138,tbl_details5[Revenue])</f>
        <v>1607</v>
      </c>
    </row>
    <row r="139" spans="1:2" hidden="1" x14ac:dyDescent="0.25">
      <c r="A139" t="s">
        <v>232</v>
      </c>
      <c r="B139">
        <f>SUMIF(tbl_details5[Customer Name],MIS_Report!A139,tbl_details5[Revenue])</f>
        <v>1995</v>
      </c>
    </row>
    <row r="140" spans="1:2" hidden="1" x14ac:dyDescent="0.25">
      <c r="A140" t="s">
        <v>234</v>
      </c>
      <c r="B140">
        <f>SUMIF(tbl_details5[Customer Name],MIS_Report!A140,tbl_details5[Revenue])</f>
        <v>909</v>
      </c>
    </row>
    <row r="141" spans="1:2" hidden="1" x14ac:dyDescent="0.25">
      <c r="A141" t="s">
        <v>236</v>
      </c>
      <c r="B141">
        <f>SUMIF(tbl_details5[Customer Name],MIS_Report!A141,tbl_details5[Revenue])</f>
        <v>124</v>
      </c>
    </row>
    <row r="142" spans="1:2" hidden="1" x14ac:dyDescent="0.25">
      <c r="A142" t="s">
        <v>238</v>
      </c>
      <c r="B142">
        <f>SUMIF(tbl_details5[Customer Name],MIS_Report!A142,tbl_details5[Revenue])</f>
        <v>180</v>
      </c>
    </row>
    <row r="143" spans="1:2" hidden="1" x14ac:dyDescent="0.25">
      <c r="A143" t="s">
        <v>240</v>
      </c>
      <c r="B143">
        <f>SUMIF(tbl_details5[Customer Name],MIS_Report!A143,tbl_details5[Revenue])</f>
        <v>174</v>
      </c>
    </row>
    <row r="144" spans="1:2" hidden="1" x14ac:dyDescent="0.25">
      <c r="A144" t="s">
        <v>242</v>
      </c>
      <c r="B144">
        <f>SUMIF(tbl_details5[Customer Name],MIS_Report!A144,tbl_details5[Revenue])</f>
        <v>1777</v>
      </c>
    </row>
    <row r="145" spans="1:2" hidden="1" x14ac:dyDescent="0.25">
      <c r="A145" t="s">
        <v>245</v>
      </c>
      <c r="B145">
        <f>SUMIF(tbl_details5[Customer Name],MIS_Report!A145,tbl_details5[Revenue])</f>
        <v>228</v>
      </c>
    </row>
    <row r="146" spans="1:2" hidden="1" x14ac:dyDescent="0.25">
      <c r="A146" t="s">
        <v>247</v>
      </c>
      <c r="B146">
        <f>SUMIF(tbl_details5[Customer Name],MIS_Report!A146,tbl_details5[Revenue])</f>
        <v>2293</v>
      </c>
    </row>
    <row r="147" spans="1:2" hidden="1" x14ac:dyDescent="0.25">
      <c r="A147" t="s">
        <v>249</v>
      </c>
      <c r="B147">
        <f>SUMIF(tbl_details5[Customer Name],MIS_Report!A147,tbl_details5[Revenue])</f>
        <v>31</v>
      </c>
    </row>
    <row r="148" spans="1:2" hidden="1" x14ac:dyDescent="0.25">
      <c r="A148" t="s">
        <v>251</v>
      </c>
      <c r="B148">
        <f>SUMIF(tbl_details5[Customer Name],MIS_Report!A148,tbl_details5[Revenue])</f>
        <v>251</v>
      </c>
    </row>
    <row r="149" spans="1:2" hidden="1" x14ac:dyDescent="0.25">
      <c r="A149" t="s">
        <v>253</v>
      </c>
      <c r="B149">
        <f>SUMIF(tbl_details5[Customer Name],MIS_Report!A149,tbl_details5[Revenue])</f>
        <v>1013</v>
      </c>
    </row>
    <row r="150" spans="1:2" hidden="1" x14ac:dyDescent="0.25">
      <c r="A150" t="s">
        <v>255</v>
      </c>
      <c r="B150">
        <f>SUMIF(tbl_details5[Customer Name],MIS_Report!A150,tbl_details5[Revenue])</f>
        <v>74</v>
      </c>
    </row>
    <row r="151" spans="1:2" hidden="1" x14ac:dyDescent="0.25">
      <c r="A151" t="s">
        <v>257</v>
      </c>
      <c r="B151">
        <f>SUMIF(tbl_details5[Customer Name],MIS_Report!A151,tbl_details5[Revenue])</f>
        <v>1057</v>
      </c>
    </row>
    <row r="152" spans="1:2" hidden="1" x14ac:dyDescent="0.25">
      <c r="A152" t="s">
        <v>259</v>
      </c>
      <c r="B152">
        <f>SUMIF(tbl_details5[Customer Name],MIS_Report!A152,tbl_details5[Revenue])</f>
        <v>1171</v>
      </c>
    </row>
    <row r="153" spans="1:2" hidden="1" x14ac:dyDescent="0.25">
      <c r="A153" t="s">
        <v>261</v>
      </c>
      <c r="B153">
        <f>SUMIF(tbl_details5[Customer Name],MIS_Report!A153,tbl_details5[Revenue])</f>
        <v>193</v>
      </c>
    </row>
    <row r="154" spans="1:2" hidden="1" x14ac:dyDescent="0.25">
      <c r="A154" t="s">
        <v>263</v>
      </c>
      <c r="B154">
        <f>SUMIF(tbl_details5[Customer Name],MIS_Report!A154,tbl_details5[Revenue])</f>
        <v>158</v>
      </c>
    </row>
    <row r="155" spans="1:2" hidden="1" x14ac:dyDescent="0.25">
      <c r="A155" t="s">
        <v>265</v>
      </c>
      <c r="B155">
        <f>SUMIF(tbl_details5[Customer Name],MIS_Report!A155,tbl_details5[Revenue])</f>
        <v>351</v>
      </c>
    </row>
    <row r="156" spans="1:2" hidden="1" x14ac:dyDescent="0.25">
      <c r="A156" t="s">
        <v>267</v>
      </c>
      <c r="B156">
        <f>SUMIF(tbl_details5[Customer Name],MIS_Report!A156,tbl_details5[Revenue])</f>
        <v>416</v>
      </c>
    </row>
    <row r="157" spans="1:2" x14ac:dyDescent="0.25">
      <c r="A157" t="s">
        <v>269</v>
      </c>
      <c r="B157" s="28">
        <f>SUMIF(tbl_details5[Customer Name],MIS_Report!A157,tbl_details5[Revenue])</f>
        <v>6889</v>
      </c>
    </row>
    <row r="158" spans="1:2" hidden="1" x14ac:dyDescent="0.25">
      <c r="A158" t="s">
        <v>271</v>
      </c>
      <c r="B158">
        <f>SUMIF(tbl_details5[Customer Name],MIS_Report!A158,tbl_details5[Revenue])</f>
        <v>844</v>
      </c>
    </row>
    <row r="159" spans="1:2" hidden="1" x14ac:dyDescent="0.25">
      <c r="A159" t="s">
        <v>275</v>
      </c>
      <c r="B159">
        <f>SUMIF(tbl_details5[Customer Name],MIS_Report!A159,tbl_details5[Revenue])</f>
        <v>30</v>
      </c>
    </row>
    <row r="160" spans="1:2" hidden="1" x14ac:dyDescent="0.25">
      <c r="A160" t="s">
        <v>277</v>
      </c>
      <c r="B160">
        <f>SUMIF(tbl_details5[Customer Name],MIS_Report!A160,tbl_details5[Revenue])</f>
        <v>369</v>
      </c>
    </row>
    <row r="161" spans="1:2" hidden="1" x14ac:dyDescent="0.25">
      <c r="A161" t="s">
        <v>279</v>
      </c>
      <c r="B161">
        <f>SUMIF(tbl_details5[Customer Name],MIS_Report!A161,tbl_details5[Revenue])</f>
        <v>48</v>
      </c>
    </row>
    <row r="162" spans="1:2" hidden="1" x14ac:dyDescent="0.25">
      <c r="A162" t="s">
        <v>281</v>
      </c>
      <c r="B162">
        <f>SUMIF(tbl_details5[Customer Name],MIS_Report!A162,tbl_details5[Revenue])</f>
        <v>130</v>
      </c>
    </row>
    <row r="163" spans="1:2" hidden="1" x14ac:dyDescent="0.25">
      <c r="A163" t="s">
        <v>284</v>
      </c>
      <c r="B163">
        <f>SUMIF(tbl_details5[Customer Name],MIS_Report!A163,tbl_details5[Revenue])</f>
        <v>193</v>
      </c>
    </row>
    <row r="164" spans="1:2" hidden="1" x14ac:dyDescent="0.25">
      <c r="A164" t="s">
        <v>286</v>
      </c>
      <c r="B164">
        <f>SUMIF(tbl_details5[Customer Name],MIS_Report!A164,tbl_details5[Revenue])</f>
        <v>490</v>
      </c>
    </row>
    <row r="165" spans="1:2" hidden="1" x14ac:dyDescent="0.25">
      <c r="A165" t="s">
        <v>288</v>
      </c>
      <c r="B165">
        <f>SUMIF(tbl_details5[Customer Name],MIS_Report!A165,tbl_details5[Revenue])</f>
        <v>384</v>
      </c>
    </row>
    <row r="166" spans="1:2" hidden="1" x14ac:dyDescent="0.25">
      <c r="A166" t="s">
        <v>290</v>
      </c>
      <c r="B166">
        <f>SUMIF(tbl_details5[Customer Name],MIS_Report!A166,tbl_details5[Revenue])</f>
        <v>2148</v>
      </c>
    </row>
    <row r="167" spans="1:2" hidden="1" x14ac:dyDescent="0.25">
      <c r="A167" t="s">
        <v>292</v>
      </c>
      <c r="B167">
        <f>SUMIF(tbl_details5[Customer Name],MIS_Report!A167,tbl_details5[Revenue])</f>
        <v>1549</v>
      </c>
    </row>
    <row r="168" spans="1:2" hidden="1" x14ac:dyDescent="0.25">
      <c r="A168" t="s">
        <v>294</v>
      </c>
      <c r="B168">
        <f>SUMIF(tbl_details5[Customer Name],MIS_Report!A168,tbl_details5[Revenue])</f>
        <v>2002</v>
      </c>
    </row>
    <row r="169" spans="1:2" hidden="1" x14ac:dyDescent="0.25">
      <c r="A169" t="s">
        <v>296</v>
      </c>
      <c r="B169">
        <f>SUMIF(tbl_details5[Customer Name],MIS_Report!A169,tbl_details5[Revenue])</f>
        <v>131</v>
      </c>
    </row>
    <row r="170" spans="1:2" hidden="1" x14ac:dyDescent="0.25">
      <c r="A170" t="s">
        <v>298</v>
      </c>
      <c r="B170">
        <f>SUMIF(tbl_details5[Customer Name],MIS_Report!A170,tbl_details5[Revenue])</f>
        <v>16</v>
      </c>
    </row>
    <row r="171" spans="1:2" hidden="1" x14ac:dyDescent="0.25">
      <c r="A171" t="s">
        <v>300</v>
      </c>
      <c r="B171">
        <f>SUMIF(tbl_details5[Customer Name],MIS_Report!A171,tbl_details5[Revenue])</f>
        <v>96</v>
      </c>
    </row>
    <row r="172" spans="1:2" hidden="1" x14ac:dyDescent="0.25">
      <c r="A172" t="s">
        <v>302</v>
      </c>
      <c r="B172">
        <f>SUMIF(tbl_details5[Customer Name],MIS_Report!A172,tbl_details5[Revenue])</f>
        <v>1493</v>
      </c>
    </row>
    <row r="173" spans="1:2" hidden="1" x14ac:dyDescent="0.25">
      <c r="A173" t="s">
        <v>304</v>
      </c>
      <c r="B173">
        <f>SUMIF(tbl_details5[Customer Name],MIS_Report!A173,tbl_details5[Revenue])</f>
        <v>34</v>
      </c>
    </row>
    <row r="174" spans="1:2" hidden="1" x14ac:dyDescent="0.25">
      <c r="A174" t="s">
        <v>306</v>
      </c>
      <c r="B174">
        <f>SUMIF(tbl_details5[Customer Name],MIS_Report!A174,tbl_details5[Revenue])</f>
        <v>31</v>
      </c>
    </row>
    <row r="175" spans="1:2" hidden="1" x14ac:dyDescent="0.25">
      <c r="A175" t="s">
        <v>308</v>
      </c>
      <c r="B175">
        <f>SUMIF(tbl_details5[Customer Name],MIS_Report!A175,tbl_details5[Revenue])</f>
        <v>3387</v>
      </c>
    </row>
    <row r="176" spans="1:2" hidden="1" x14ac:dyDescent="0.25">
      <c r="A176" t="s">
        <v>310</v>
      </c>
      <c r="B176">
        <f>SUMIF(tbl_details5[Customer Name],MIS_Report!A176,tbl_details5[Revenue])</f>
        <v>3269</v>
      </c>
    </row>
    <row r="177" spans="1:2" hidden="1" x14ac:dyDescent="0.25">
      <c r="A177" t="s">
        <v>312</v>
      </c>
      <c r="B177">
        <f>SUMIF(tbl_details5[Customer Name],MIS_Report!A177,tbl_details5[Revenue])</f>
        <v>133</v>
      </c>
    </row>
    <row r="178" spans="1:2" hidden="1" x14ac:dyDescent="0.25">
      <c r="A178" t="s">
        <v>314</v>
      </c>
      <c r="B178">
        <f>SUMIF(tbl_details5[Customer Name],MIS_Report!A178,tbl_details5[Revenue])</f>
        <v>105</v>
      </c>
    </row>
    <row r="179" spans="1:2" hidden="1" x14ac:dyDescent="0.25">
      <c r="A179" t="s">
        <v>316</v>
      </c>
      <c r="B179">
        <f>SUMIF(tbl_details5[Customer Name],MIS_Report!A179,tbl_details5[Revenue])</f>
        <v>482</v>
      </c>
    </row>
    <row r="180" spans="1:2" hidden="1" x14ac:dyDescent="0.25">
      <c r="A180" t="s">
        <v>318</v>
      </c>
      <c r="B180">
        <f>SUMIF(tbl_details5[Customer Name],MIS_Report!A180,tbl_details5[Revenue])</f>
        <v>11</v>
      </c>
    </row>
    <row r="181" spans="1:2" hidden="1" x14ac:dyDescent="0.25">
      <c r="A181" t="s">
        <v>320</v>
      </c>
      <c r="B181">
        <f>SUMIF(tbl_details5[Customer Name],MIS_Report!A181,tbl_details5[Revenue])</f>
        <v>1540</v>
      </c>
    </row>
    <row r="182" spans="1:2" hidden="1" x14ac:dyDescent="0.25">
      <c r="A182" t="s">
        <v>322</v>
      </c>
      <c r="B182">
        <f>SUMIF(tbl_details5[Customer Name],MIS_Report!A182,tbl_details5[Revenue])</f>
        <v>373</v>
      </c>
    </row>
    <row r="183" spans="1:2" hidden="1" x14ac:dyDescent="0.25">
      <c r="A183" t="s">
        <v>324</v>
      </c>
      <c r="B183">
        <f>SUMIF(tbl_details5[Customer Name],MIS_Report!A183,tbl_details5[Revenue])</f>
        <v>2308</v>
      </c>
    </row>
    <row r="184" spans="1:2" hidden="1" x14ac:dyDescent="0.25">
      <c r="A184" t="s">
        <v>326</v>
      </c>
      <c r="B184">
        <f>SUMIF(tbl_details5[Customer Name],MIS_Report!A184,tbl_details5[Revenue])</f>
        <v>1587</v>
      </c>
    </row>
    <row r="185" spans="1:2" hidden="1" x14ac:dyDescent="0.25">
      <c r="A185" t="s">
        <v>328</v>
      </c>
      <c r="B185">
        <f>SUMIF(tbl_details5[Customer Name],MIS_Report!A185,tbl_details5[Revenue])</f>
        <v>1593</v>
      </c>
    </row>
    <row r="186" spans="1:2" hidden="1" x14ac:dyDescent="0.25">
      <c r="A186" t="s">
        <v>330</v>
      </c>
      <c r="B186">
        <f>SUMIF(tbl_details5[Customer Name],MIS_Report!A186,tbl_details5[Revenue])</f>
        <v>420</v>
      </c>
    </row>
    <row r="187" spans="1:2" hidden="1" x14ac:dyDescent="0.25">
      <c r="A187" t="s">
        <v>333</v>
      </c>
      <c r="B187">
        <f>SUMIF(tbl_details5[Customer Name],MIS_Report!A187,tbl_details5[Revenue])</f>
        <v>1213</v>
      </c>
    </row>
    <row r="188" spans="1:2" hidden="1" x14ac:dyDescent="0.25">
      <c r="A188" t="s">
        <v>335</v>
      </c>
      <c r="B188">
        <f>SUMIF(tbl_details5[Customer Name],MIS_Report!A188,tbl_details5[Revenue])</f>
        <v>1136</v>
      </c>
    </row>
    <row r="189" spans="1:2" hidden="1" x14ac:dyDescent="0.25">
      <c r="A189" t="s">
        <v>337</v>
      </c>
      <c r="B189">
        <f>SUMIF(tbl_details5[Customer Name],MIS_Report!A189,tbl_details5[Revenue])</f>
        <v>3065</v>
      </c>
    </row>
    <row r="190" spans="1:2" hidden="1" x14ac:dyDescent="0.25">
      <c r="A190" t="s">
        <v>340</v>
      </c>
      <c r="B190">
        <f>SUMIF(tbl_details5[Customer Name],MIS_Report!A190,tbl_details5[Revenue])</f>
        <v>1367</v>
      </c>
    </row>
    <row r="191" spans="1:2" hidden="1" x14ac:dyDescent="0.25">
      <c r="A191" t="s">
        <v>342</v>
      </c>
      <c r="B191">
        <f>SUMIF(tbl_details5[Customer Name],MIS_Report!A191,tbl_details5[Revenue])</f>
        <v>3205</v>
      </c>
    </row>
    <row r="192" spans="1:2" hidden="1" x14ac:dyDescent="0.25">
      <c r="A192" t="s">
        <v>344</v>
      </c>
      <c r="B192">
        <f>SUMIF(tbl_details5[Customer Name],MIS_Report!A192,tbl_details5[Revenue])</f>
        <v>2070</v>
      </c>
    </row>
    <row r="193" spans="1:2" hidden="1" x14ac:dyDescent="0.25">
      <c r="A193" t="s">
        <v>346</v>
      </c>
      <c r="B193">
        <f>SUMIF(tbl_details5[Customer Name],MIS_Report!A193,tbl_details5[Revenue])</f>
        <v>3912</v>
      </c>
    </row>
    <row r="194" spans="1:2" x14ac:dyDescent="0.25">
      <c r="A194" t="s">
        <v>349</v>
      </c>
      <c r="B194" s="28">
        <f>SUMIF(tbl_details5[Customer Name],MIS_Report!A194,tbl_details5[Revenue])</f>
        <v>6869</v>
      </c>
    </row>
    <row r="195" spans="1:2" hidden="1" x14ac:dyDescent="0.25">
      <c r="A195" t="s">
        <v>353</v>
      </c>
      <c r="B195">
        <f>SUMIF(tbl_details5[Customer Name],MIS_Report!A195,tbl_details5[Revenue])</f>
        <v>1441</v>
      </c>
    </row>
    <row r="196" spans="1:2" hidden="1" x14ac:dyDescent="0.25">
      <c r="A196" t="s">
        <v>355</v>
      </c>
      <c r="B196">
        <f>SUMIF(tbl_details5[Customer Name],MIS_Report!A196,tbl_details5[Revenue])</f>
        <v>58</v>
      </c>
    </row>
    <row r="197" spans="1:2" hidden="1" x14ac:dyDescent="0.25">
      <c r="A197" t="s">
        <v>357</v>
      </c>
      <c r="B197">
        <f>SUMIF(tbl_details5[Customer Name],MIS_Report!A197,tbl_details5[Revenue])</f>
        <v>934</v>
      </c>
    </row>
    <row r="198" spans="1:2" hidden="1" x14ac:dyDescent="0.25">
      <c r="A198" t="s">
        <v>359</v>
      </c>
      <c r="B198">
        <f>SUMIF(tbl_details5[Customer Name],MIS_Report!A198,tbl_details5[Revenue])</f>
        <v>139</v>
      </c>
    </row>
    <row r="199" spans="1:2" hidden="1" x14ac:dyDescent="0.25">
      <c r="A199" t="s">
        <v>362</v>
      </c>
      <c r="B199">
        <f>SUMIF(tbl_details5[Customer Name],MIS_Report!A199,tbl_details5[Revenue])</f>
        <v>459</v>
      </c>
    </row>
    <row r="200" spans="1:2" hidden="1" x14ac:dyDescent="0.25">
      <c r="A200" t="s">
        <v>364</v>
      </c>
      <c r="B200">
        <f>SUMIF(tbl_details5[Customer Name],MIS_Report!A200,tbl_details5[Revenue])</f>
        <v>1582</v>
      </c>
    </row>
    <row r="201" spans="1:2" hidden="1" x14ac:dyDescent="0.25">
      <c r="A201" t="s">
        <v>366</v>
      </c>
      <c r="B201">
        <f>SUMIF(tbl_details5[Customer Name],MIS_Report!A201,tbl_details5[Revenue])</f>
        <v>1309</v>
      </c>
    </row>
    <row r="202" spans="1:2" hidden="1" x14ac:dyDescent="0.25">
      <c r="A202" t="s">
        <v>369</v>
      </c>
      <c r="B202">
        <f>SUMIF(tbl_details5[Customer Name],MIS_Report!A202,tbl_details5[Revenue])</f>
        <v>148</v>
      </c>
    </row>
    <row r="203" spans="1:2" hidden="1" x14ac:dyDescent="0.25">
      <c r="A203" t="s">
        <v>371</v>
      </c>
      <c r="B203">
        <f>SUMIF(tbl_details5[Customer Name],MIS_Report!A203,tbl_details5[Revenue])</f>
        <v>2450</v>
      </c>
    </row>
    <row r="204" spans="1:2" hidden="1" x14ac:dyDescent="0.25">
      <c r="A204" t="s">
        <v>374</v>
      </c>
      <c r="B204">
        <f>SUMIF(tbl_details5[Customer Name],MIS_Report!A204,tbl_details5[Revenue])</f>
        <v>38</v>
      </c>
    </row>
    <row r="205" spans="1:2" hidden="1" x14ac:dyDescent="0.25">
      <c r="A205" t="s">
        <v>376</v>
      </c>
      <c r="B205">
        <f>SUMIF(tbl_details5[Customer Name],MIS_Report!A205,tbl_details5[Revenue])</f>
        <v>50</v>
      </c>
    </row>
    <row r="206" spans="1:2" hidden="1" x14ac:dyDescent="0.25">
      <c r="A206" t="s">
        <v>378</v>
      </c>
      <c r="B206">
        <f>SUMIF(tbl_details5[Customer Name],MIS_Report!A206,tbl_details5[Revenue])</f>
        <v>47</v>
      </c>
    </row>
    <row r="207" spans="1:2" hidden="1" x14ac:dyDescent="0.25">
      <c r="A207" t="s">
        <v>380</v>
      </c>
      <c r="B207">
        <f>SUMIF(tbl_details5[Customer Name],MIS_Report!A207,tbl_details5[Revenue])</f>
        <v>1521</v>
      </c>
    </row>
    <row r="208" spans="1:2" hidden="1" x14ac:dyDescent="0.25">
      <c r="A208" t="s">
        <v>383</v>
      </c>
      <c r="B208">
        <f>SUMIF(tbl_details5[Customer Name],MIS_Report!A208,tbl_details5[Revenue])</f>
        <v>1361</v>
      </c>
    </row>
    <row r="209" spans="1:2" hidden="1" x14ac:dyDescent="0.25">
      <c r="A209" t="s">
        <v>385</v>
      </c>
      <c r="B209">
        <f>SUMIF(tbl_details5[Customer Name],MIS_Report!A209,tbl_details5[Revenue])</f>
        <v>137</v>
      </c>
    </row>
    <row r="210" spans="1:2" hidden="1" x14ac:dyDescent="0.25">
      <c r="A210" t="s">
        <v>387</v>
      </c>
      <c r="B210">
        <f>SUMIF(tbl_details5[Customer Name],MIS_Report!A210,tbl_details5[Revenue])</f>
        <v>1511</v>
      </c>
    </row>
    <row r="211" spans="1:2" hidden="1" x14ac:dyDescent="0.25">
      <c r="A211" t="s">
        <v>390</v>
      </c>
      <c r="B211">
        <f>SUMIF(tbl_details5[Customer Name],MIS_Report!A211,tbl_details5[Revenue])</f>
        <v>1130</v>
      </c>
    </row>
    <row r="212" spans="1:2" hidden="1" x14ac:dyDescent="0.25">
      <c r="A212" t="s">
        <v>392</v>
      </c>
      <c r="B212">
        <f>SUMIF(tbl_details5[Customer Name],MIS_Report!A212,tbl_details5[Revenue])</f>
        <v>15</v>
      </c>
    </row>
    <row r="213" spans="1:2" x14ac:dyDescent="0.25">
      <c r="A213" t="s">
        <v>395</v>
      </c>
      <c r="B213" s="28">
        <f>SUMIF(tbl_details5[Customer Name],MIS_Report!A213,tbl_details5[Revenue])</f>
        <v>8135</v>
      </c>
    </row>
    <row r="214" spans="1:2" hidden="1" x14ac:dyDescent="0.25">
      <c r="A214" t="s">
        <v>397</v>
      </c>
      <c r="B214">
        <f>SUMIF(tbl_details5[Customer Name],MIS_Report!A214,tbl_details5[Revenue])</f>
        <v>965</v>
      </c>
    </row>
    <row r="215" spans="1:2" hidden="1" x14ac:dyDescent="0.25">
      <c r="A215" t="s">
        <v>399</v>
      </c>
      <c r="B215">
        <f>SUMIF(tbl_details5[Customer Name],MIS_Report!A215,tbl_details5[Revenue])</f>
        <v>12</v>
      </c>
    </row>
    <row r="216" spans="1:2" hidden="1" x14ac:dyDescent="0.25">
      <c r="A216" t="s">
        <v>402</v>
      </c>
      <c r="B216">
        <f>SUMIF(tbl_details5[Customer Name],MIS_Report!A216,tbl_details5[Revenue])</f>
        <v>42</v>
      </c>
    </row>
    <row r="217" spans="1:2" hidden="1" x14ac:dyDescent="0.25">
      <c r="A217" t="s">
        <v>404</v>
      </c>
      <c r="B217">
        <f>SUMIF(tbl_details5[Customer Name],MIS_Report!A217,tbl_details5[Revenue])</f>
        <v>993</v>
      </c>
    </row>
    <row r="218" spans="1:2" hidden="1" x14ac:dyDescent="0.25">
      <c r="A218" t="s">
        <v>407</v>
      </c>
      <c r="B218">
        <f>SUMIF(tbl_details5[Customer Name],MIS_Report!A218,tbl_details5[Revenue])</f>
        <v>1921</v>
      </c>
    </row>
    <row r="219" spans="1:2" hidden="1" x14ac:dyDescent="0.25">
      <c r="A219" t="s">
        <v>410</v>
      </c>
      <c r="B219">
        <f>SUMIF(tbl_details5[Customer Name],MIS_Report!A219,tbl_details5[Revenue])</f>
        <v>276</v>
      </c>
    </row>
    <row r="220" spans="1:2" hidden="1" x14ac:dyDescent="0.25">
      <c r="A220" t="s">
        <v>412</v>
      </c>
      <c r="B220">
        <f>SUMIF(tbl_details5[Customer Name],MIS_Report!A220,tbl_details5[Revenue])</f>
        <v>1721</v>
      </c>
    </row>
    <row r="221" spans="1:2" hidden="1" x14ac:dyDescent="0.25">
      <c r="A221" t="s">
        <v>414</v>
      </c>
      <c r="B221">
        <f>SUMIF(tbl_details5[Customer Name],MIS_Report!A221,tbl_details5[Revenue])</f>
        <v>3287</v>
      </c>
    </row>
    <row r="222" spans="1:2" hidden="1" x14ac:dyDescent="0.25">
      <c r="A222" t="s">
        <v>416</v>
      </c>
      <c r="B222">
        <f>SUMIF(tbl_details5[Customer Name],MIS_Report!A222,tbl_details5[Revenue])</f>
        <v>3803</v>
      </c>
    </row>
    <row r="223" spans="1:2" hidden="1" x14ac:dyDescent="0.25">
      <c r="A223" t="s">
        <v>418</v>
      </c>
      <c r="B223">
        <f>SUMIF(tbl_details5[Customer Name],MIS_Report!A223,tbl_details5[Revenue])</f>
        <v>367</v>
      </c>
    </row>
    <row r="224" spans="1:2" hidden="1" x14ac:dyDescent="0.25">
      <c r="A224" t="s">
        <v>420</v>
      </c>
      <c r="B224">
        <f>SUMIF(tbl_details5[Customer Name],MIS_Report!A224,tbl_details5[Revenue])</f>
        <v>188</v>
      </c>
    </row>
    <row r="225" spans="1:2" hidden="1" x14ac:dyDescent="0.25">
      <c r="A225" t="s">
        <v>422</v>
      </c>
      <c r="B225">
        <f>SUMIF(tbl_details5[Customer Name],MIS_Report!A225,tbl_details5[Revenue])</f>
        <v>149</v>
      </c>
    </row>
    <row r="226" spans="1:2" hidden="1" x14ac:dyDescent="0.25">
      <c r="A226" t="s">
        <v>424</v>
      </c>
      <c r="B226">
        <f>SUMIF(tbl_details5[Customer Name],MIS_Report!A226,tbl_details5[Revenue])</f>
        <v>791</v>
      </c>
    </row>
    <row r="227" spans="1:2" hidden="1" x14ac:dyDescent="0.25">
      <c r="A227" t="s">
        <v>426</v>
      </c>
      <c r="B227">
        <f>SUMIF(tbl_details5[Customer Name],MIS_Report!A227,tbl_details5[Revenue])</f>
        <v>3266</v>
      </c>
    </row>
    <row r="228" spans="1:2" hidden="1" x14ac:dyDescent="0.25">
      <c r="A228" t="s">
        <v>428</v>
      </c>
      <c r="B228">
        <f>SUMIF(tbl_details5[Customer Name],MIS_Report!A228,tbl_details5[Revenue])</f>
        <v>477</v>
      </c>
    </row>
    <row r="229" spans="1:2" hidden="1" x14ac:dyDescent="0.25">
      <c r="A229" t="s">
        <v>430</v>
      </c>
      <c r="B229">
        <f>SUMIF(tbl_details5[Customer Name],MIS_Report!A229,tbl_details5[Revenue])</f>
        <v>1647</v>
      </c>
    </row>
    <row r="230" spans="1:2" hidden="1" x14ac:dyDescent="0.25">
      <c r="A230" t="s">
        <v>432</v>
      </c>
      <c r="B230">
        <f>SUMIF(tbl_details5[Customer Name],MIS_Report!A230,tbl_details5[Revenue])</f>
        <v>632</v>
      </c>
    </row>
    <row r="231" spans="1:2" hidden="1" x14ac:dyDescent="0.25">
      <c r="A231" t="s">
        <v>434</v>
      </c>
      <c r="B231">
        <f>SUMIF(tbl_details5[Customer Name],MIS_Report!A231,tbl_details5[Revenue])</f>
        <v>16</v>
      </c>
    </row>
    <row r="232" spans="1:2" hidden="1" x14ac:dyDescent="0.25">
      <c r="A232" t="s">
        <v>436</v>
      </c>
      <c r="B232">
        <f>SUMIF(tbl_details5[Customer Name],MIS_Report!A232,tbl_details5[Revenue])</f>
        <v>478</v>
      </c>
    </row>
    <row r="233" spans="1:2" hidden="1" x14ac:dyDescent="0.25">
      <c r="A233" t="s">
        <v>438</v>
      </c>
      <c r="B233">
        <f>SUMIF(tbl_details5[Customer Name],MIS_Report!A233,tbl_details5[Revenue])</f>
        <v>207</v>
      </c>
    </row>
    <row r="234" spans="1:2" hidden="1" x14ac:dyDescent="0.25">
      <c r="A234" t="s">
        <v>440</v>
      </c>
      <c r="B234">
        <f>SUMIF(tbl_details5[Customer Name],MIS_Report!A234,tbl_details5[Revenue])</f>
        <v>1619</v>
      </c>
    </row>
    <row r="235" spans="1:2" hidden="1" x14ac:dyDescent="0.25">
      <c r="A235" t="s">
        <v>442</v>
      </c>
      <c r="B235">
        <f>SUMIF(tbl_details5[Customer Name],MIS_Report!A235,tbl_details5[Revenue])</f>
        <v>126</v>
      </c>
    </row>
    <row r="236" spans="1:2" hidden="1" x14ac:dyDescent="0.25">
      <c r="A236" t="s">
        <v>444</v>
      </c>
      <c r="B236">
        <f>SUMIF(tbl_details5[Customer Name],MIS_Report!A236,tbl_details5[Revenue])</f>
        <v>259</v>
      </c>
    </row>
    <row r="237" spans="1:2" hidden="1" x14ac:dyDescent="0.25">
      <c r="A237" t="s">
        <v>446</v>
      </c>
      <c r="B237">
        <f>SUMIF(tbl_details5[Customer Name],MIS_Report!A237,tbl_details5[Revenue])</f>
        <v>911</v>
      </c>
    </row>
    <row r="238" spans="1:2" hidden="1" x14ac:dyDescent="0.25">
      <c r="A238" t="s">
        <v>448</v>
      </c>
      <c r="B238">
        <f>SUMIF(tbl_details5[Customer Name],MIS_Report!A238,tbl_details5[Revenue])</f>
        <v>4929</v>
      </c>
    </row>
    <row r="239" spans="1:2" hidden="1" x14ac:dyDescent="0.25">
      <c r="A239" t="s">
        <v>451</v>
      </c>
      <c r="B239">
        <f>SUMIF(tbl_details5[Customer Name],MIS_Report!A239,tbl_details5[Revenue])</f>
        <v>391</v>
      </c>
    </row>
    <row r="240" spans="1:2" hidden="1" x14ac:dyDescent="0.25">
      <c r="A240" t="s">
        <v>453</v>
      </c>
      <c r="B240">
        <f>SUMIF(tbl_details5[Customer Name],MIS_Report!A240,tbl_details5[Revenue])</f>
        <v>743</v>
      </c>
    </row>
    <row r="241" spans="1:2" hidden="1" x14ac:dyDescent="0.25">
      <c r="A241" t="s">
        <v>455</v>
      </c>
      <c r="B241">
        <f>SUMIF(tbl_details5[Customer Name],MIS_Report!A241,tbl_details5[Revenue])</f>
        <v>265</v>
      </c>
    </row>
    <row r="242" spans="1:2" hidden="1" x14ac:dyDescent="0.25">
      <c r="A242" t="s">
        <v>457</v>
      </c>
      <c r="B242">
        <f>SUMIF(tbl_details5[Customer Name],MIS_Report!A242,tbl_details5[Revenue])</f>
        <v>1063</v>
      </c>
    </row>
    <row r="243" spans="1:2" hidden="1" x14ac:dyDescent="0.25">
      <c r="A243" t="s">
        <v>459</v>
      </c>
      <c r="B243">
        <f>SUMIF(tbl_details5[Customer Name],MIS_Report!A243,tbl_details5[Revenue])</f>
        <v>119</v>
      </c>
    </row>
    <row r="244" spans="1:2" hidden="1" x14ac:dyDescent="0.25">
      <c r="A244" t="s">
        <v>462</v>
      </c>
      <c r="B244">
        <f>SUMIF(tbl_details5[Customer Name],MIS_Report!A244,tbl_details5[Revenue])</f>
        <v>34</v>
      </c>
    </row>
    <row r="245" spans="1:2" hidden="1" x14ac:dyDescent="0.25">
      <c r="A245" t="s">
        <v>464</v>
      </c>
      <c r="B245">
        <f>SUMIF(tbl_details5[Customer Name],MIS_Report!A245,tbl_details5[Revenue])</f>
        <v>4901</v>
      </c>
    </row>
    <row r="246" spans="1:2" hidden="1" x14ac:dyDescent="0.25">
      <c r="A246" t="s">
        <v>466</v>
      </c>
      <c r="B246">
        <f>SUMIF(tbl_details5[Customer Name],MIS_Report!A246,tbl_details5[Revenue])</f>
        <v>101</v>
      </c>
    </row>
    <row r="247" spans="1:2" hidden="1" x14ac:dyDescent="0.25">
      <c r="A247" t="s">
        <v>469</v>
      </c>
      <c r="B247">
        <f>SUMIF(tbl_details5[Customer Name],MIS_Report!A247,tbl_details5[Revenue])</f>
        <v>637</v>
      </c>
    </row>
    <row r="248" spans="1:2" hidden="1" x14ac:dyDescent="0.25">
      <c r="A248" t="s">
        <v>472</v>
      </c>
      <c r="B248">
        <f>SUMIF(tbl_details5[Customer Name],MIS_Report!A248,tbl_details5[Revenue])</f>
        <v>902</v>
      </c>
    </row>
    <row r="249" spans="1:2" hidden="1" x14ac:dyDescent="0.25">
      <c r="A249" t="s">
        <v>474</v>
      </c>
      <c r="B249">
        <f>SUMIF(tbl_details5[Customer Name],MIS_Report!A249,tbl_details5[Revenue])</f>
        <v>345</v>
      </c>
    </row>
    <row r="250" spans="1:2" hidden="1" x14ac:dyDescent="0.25">
      <c r="A250" t="s">
        <v>476</v>
      </c>
      <c r="B250">
        <f>SUMIF(tbl_details5[Customer Name],MIS_Report!A250,tbl_details5[Revenue])</f>
        <v>3276</v>
      </c>
    </row>
    <row r="251" spans="1:2" hidden="1" x14ac:dyDescent="0.25">
      <c r="A251" t="s">
        <v>479</v>
      </c>
      <c r="B251">
        <f>SUMIF(tbl_details5[Customer Name],MIS_Report!A251,tbl_details5[Revenue])</f>
        <v>504</v>
      </c>
    </row>
    <row r="252" spans="1:2" hidden="1" x14ac:dyDescent="0.25">
      <c r="A252" t="s">
        <v>481</v>
      </c>
      <c r="B252">
        <f>SUMIF(tbl_details5[Customer Name],MIS_Report!A252,tbl_details5[Revenue])</f>
        <v>145</v>
      </c>
    </row>
    <row r="253" spans="1:2" hidden="1" x14ac:dyDescent="0.25">
      <c r="A253" t="s">
        <v>483</v>
      </c>
      <c r="B253">
        <f>SUMIF(tbl_details5[Customer Name],MIS_Report!A253,tbl_details5[Revenue])</f>
        <v>16</v>
      </c>
    </row>
    <row r="254" spans="1:2" hidden="1" x14ac:dyDescent="0.25">
      <c r="A254" t="s">
        <v>485</v>
      </c>
      <c r="B254">
        <f>SUMIF(tbl_details5[Customer Name],MIS_Report!A254,tbl_details5[Revenue])</f>
        <v>234</v>
      </c>
    </row>
    <row r="255" spans="1:2" hidden="1" x14ac:dyDescent="0.25">
      <c r="A255" t="s">
        <v>487</v>
      </c>
      <c r="B255">
        <f>SUMIF(tbl_details5[Customer Name],MIS_Report!A255,tbl_details5[Revenue])</f>
        <v>1298</v>
      </c>
    </row>
    <row r="256" spans="1:2" hidden="1" x14ac:dyDescent="0.25">
      <c r="A256" t="s">
        <v>489</v>
      </c>
      <c r="B256">
        <f>SUMIF(tbl_details5[Customer Name],MIS_Report!A256,tbl_details5[Revenue])</f>
        <v>263</v>
      </c>
    </row>
    <row r="257" spans="1:2" hidden="1" x14ac:dyDescent="0.25">
      <c r="A257" t="s">
        <v>492</v>
      </c>
      <c r="B257">
        <f>SUMIF(tbl_details5[Customer Name],MIS_Report!A257,tbl_details5[Revenue])</f>
        <v>1250</v>
      </c>
    </row>
    <row r="258" spans="1:2" hidden="1" x14ac:dyDescent="0.25">
      <c r="A258" t="s">
        <v>494</v>
      </c>
      <c r="B258">
        <f>SUMIF(tbl_details5[Customer Name],MIS_Report!A258,tbl_details5[Revenue])</f>
        <v>806</v>
      </c>
    </row>
    <row r="259" spans="1:2" hidden="1" x14ac:dyDescent="0.25">
      <c r="A259" t="s">
        <v>496</v>
      </c>
      <c r="B259">
        <f>SUMIF(tbl_details5[Customer Name],MIS_Report!A259,tbl_details5[Revenue])</f>
        <v>22</v>
      </c>
    </row>
    <row r="260" spans="1:2" hidden="1" x14ac:dyDescent="0.25">
      <c r="A260" t="s">
        <v>499</v>
      </c>
      <c r="B260">
        <f>SUMIF(tbl_details5[Customer Name],MIS_Report!A260,tbl_details5[Revenue])</f>
        <v>582</v>
      </c>
    </row>
    <row r="261" spans="1:2" hidden="1" x14ac:dyDescent="0.25">
      <c r="A261" t="s">
        <v>501</v>
      </c>
      <c r="B261">
        <f>SUMIF(tbl_details5[Customer Name],MIS_Report!A261,tbl_details5[Revenue])</f>
        <v>86</v>
      </c>
    </row>
    <row r="262" spans="1:2" hidden="1" x14ac:dyDescent="0.25">
      <c r="A262" t="s">
        <v>503</v>
      </c>
      <c r="B262">
        <f>SUMIF(tbl_details5[Customer Name],MIS_Report!A262,tbl_details5[Revenue])</f>
        <v>1245</v>
      </c>
    </row>
    <row r="263" spans="1:2" hidden="1" x14ac:dyDescent="0.25">
      <c r="A263" t="s">
        <v>505</v>
      </c>
      <c r="B263">
        <f>SUMIF(tbl_details5[Customer Name],MIS_Report!A263,tbl_details5[Revenue])</f>
        <v>94</v>
      </c>
    </row>
    <row r="264" spans="1:2" hidden="1" x14ac:dyDescent="0.25">
      <c r="A264" t="s">
        <v>507</v>
      </c>
      <c r="B264">
        <f>SUMIF(tbl_details5[Customer Name],MIS_Report!A264,tbl_details5[Revenue])</f>
        <v>907</v>
      </c>
    </row>
    <row r="265" spans="1:2" hidden="1" x14ac:dyDescent="0.25">
      <c r="A265" t="s">
        <v>510</v>
      </c>
      <c r="B265">
        <f>SUMIF(tbl_details5[Customer Name],MIS_Report!A265,tbl_details5[Revenue])</f>
        <v>336</v>
      </c>
    </row>
    <row r="266" spans="1:2" hidden="1" x14ac:dyDescent="0.25">
      <c r="A266" t="s">
        <v>513</v>
      </c>
      <c r="B266">
        <f>SUMIF(tbl_details5[Customer Name],MIS_Report!A266,tbl_details5[Revenue])</f>
        <v>1383</v>
      </c>
    </row>
    <row r="267" spans="1:2" hidden="1" x14ac:dyDescent="0.25">
      <c r="A267" t="s">
        <v>515</v>
      </c>
      <c r="B267">
        <f>SUMIF(tbl_details5[Customer Name],MIS_Report!A267,tbl_details5[Revenue])</f>
        <v>1510</v>
      </c>
    </row>
    <row r="268" spans="1:2" hidden="1" x14ac:dyDescent="0.25">
      <c r="A268" t="s">
        <v>517</v>
      </c>
      <c r="B268">
        <f>SUMIF(tbl_details5[Customer Name],MIS_Report!A268,tbl_details5[Revenue])</f>
        <v>3349</v>
      </c>
    </row>
    <row r="269" spans="1:2" hidden="1" x14ac:dyDescent="0.25">
      <c r="A269" t="s">
        <v>520</v>
      </c>
      <c r="B269">
        <f>SUMIF(tbl_details5[Customer Name],MIS_Report!A269,tbl_details5[Revenue])</f>
        <v>5691</v>
      </c>
    </row>
    <row r="270" spans="1:2" hidden="1" x14ac:dyDescent="0.25">
      <c r="A270" t="s">
        <v>523</v>
      </c>
      <c r="B270">
        <f>SUMIF(tbl_details5[Customer Name],MIS_Report!A270,tbl_details5[Revenue])</f>
        <v>1514</v>
      </c>
    </row>
    <row r="271" spans="1:2" hidden="1" x14ac:dyDescent="0.25">
      <c r="A271" t="s">
        <v>526</v>
      </c>
      <c r="B271">
        <f>SUMIF(tbl_details5[Customer Name],MIS_Report!A271,tbl_details5[Revenue])</f>
        <v>724</v>
      </c>
    </row>
    <row r="272" spans="1:2" hidden="1" x14ac:dyDescent="0.25">
      <c r="A272" t="s">
        <v>529</v>
      </c>
      <c r="B272">
        <f>SUMIF(tbl_details5[Customer Name],MIS_Report!A272,tbl_details5[Revenue])</f>
        <v>556</v>
      </c>
    </row>
    <row r="273" spans="1:2" hidden="1" x14ac:dyDescent="0.25">
      <c r="A273" t="s">
        <v>531</v>
      </c>
      <c r="B273">
        <f>SUMIF(tbl_details5[Customer Name],MIS_Report!A273,tbl_details5[Revenue])</f>
        <v>2262</v>
      </c>
    </row>
    <row r="274" spans="1:2" hidden="1" x14ac:dyDescent="0.25">
      <c r="A274" t="s">
        <v>533</v>
      </c>
      <c r="B274">
        <f>SUMIF(tbl_details5[Customer Name],MIS_Report!A274,tbl_details5[Revenue])</f>
        <v>189</v>
      </c>
    </row>
    <row r="275" spans="1:2" hidden="1" x14ac:dyDescent="0.25">
      <c r="A275" t="s">
        <v>535</v>
      </c>
      <c r="B275">
        <f>SUMIF(tbl_details5[Customer Name],MIS_Report!A275,tbl_details5[Revenue])</f>
        <v>166</v>
      </c>
    </row>
    <row r="276" spans="1:2" hidden="1" x14ac:dyDescent="0.25">
      <c r="A276" t="s">
        <v>537</v>
      </c>
      <c r="B276">
        <f>SUMIF(tbl_details5[Customer Name],MIS_Report!A276,tbl_details5[Revenue])</f>
        <v>85</v>
      </c>
    </row>
    <row r="277" spans="1:2" hidden="1" x14ac:dyDescent="0.25">
      <c r="A277" t="s">
        <v>539</v>
      </c>
      <c r="B277">
        <f>SUMIF(tbl_details5[Customer Name],MIS_Report!A277,tbl_details5[Revenue])</f>
        <v>896</v>
      </c>
    </row>
    <row r="278" spans="1:2" hidden="1" x14ac:dyDescent="0.25">
      <c r="A278" t="s">
        <v>542</v>
      </c>
      <c r="B278">
        <f>SUMIF(tbl_details5[Customer Name],MIS_Report!A278,tbl_details5[Revenue])</f>
        <v>1350</v>
      </c>
    </row>
    <row r="279" spans="1:2" hidden="1" x14ac:dyDescent="0.25">
      <c r="A279" t="s">
        <v>544</v>
      </c>
      <c r="B279">
        <f>SUMIF(tbl_details5[Customer Name],MIS_Report!A279,tbl_details5[Revenue])</f>
        <v>86</v>
      </c>
    </row>
    <row r="280" spans="1:2" hidden="1" x14ac:dyDescent="0.25">
      <c r="A280" t="s">
        <v>547</v>
      </c>
      <c r="B280">
        <f>SUMIF(tbl_details5[Customer Name],MIS_Report!A280,tbl_details5[Revenue])</f>
        <v>118</v>
      </c>
    </row>
    <row r="281" spans="1:2" hidden="1" x14ac:dyDescent="0.25">
      <c r="A281" t="s">
        <v>550</v>
      </c>
      <c r="B281">
        <f>SUMIF(tbl_details5[Customer Name],MIS_Report!A281,tbl_details5[Revenue])</f>
        <v>203</v>
      </c>
    </row>
    <row r="282" spans="1:2" hidden="1" x14ac:dyDescent="0.25">
      <c r="A282" t="s">
        <v>552</v>
      </c>
      <c r="B282">
        <f>SUMIF(tbl_details5[Customer Name],MIS_Report!A282,tbl_details5[Revenue])</f>
        <v>1757</v>
      </c>
    </row>
    <row r="283" spans="1:2" hidden="1" x14ac:dyDescent="0.25">
      <c r="A283" t="s">
        <v>556</v>
      </c>
      <c r="B283">
        <f>SUMIF(tbl_details5[Customer Name],MIS_Report!A283,tbl_details5[Revenue])</f>
        <v>248</v>
      </c>
    </row>
    <row r="284" spans="1:2" hidden="1" x14ac:dyDescent="0.25">
      <c r="A284" t="s">
        <v>559</v>
      </c>
      <c r="B284">
        <f>SUMIF(tbl_details5[Customer Name],MIS_Report!A284,tbl_details5[Revenue])</f>
        <v>282</v>
      </c>
    </row>
    <row r="285" spans="1:2" hidden="1" x14ac:dyDescent="0.25">
      <c r="A285" t="s">
        <v>562</v>
      </c>
      <c r="B285">
        <f>SUMIF(tbl_details5[Customer Name],MIS_Report!A285,tbl_details5[Revenue])</f>
        <v>1430</v>
      </c>
    </row>
    <row r="286" spans="1:2" hidden="1" x14ac:dyDescent="0.25">
      <c r="A286" t="s">
        <v>564</v>
      </c>
      <c r="B286">
        <f>SUMIF(tbl_details5[Customer Name],MIS_Report!A286,tbl_details5[Revenue])</f>
        <v>1895</v>
      </c>
    </row>
    <row r="287" spans="1:2" hidden="1" x14ac:dyDescent="0.25">
      <c r="A287" t="s">
        <v>567</v>
      </c>
      <c r="B287">
        <f>SUMIF(tbl_details5[Customer Name],MIS_Report!A287,tbl_details5[Revenue])</f>
        <v>108</v>
      </c>
    </row>
    <row r="288" spans="1:2" hidden="1" x14ac:dyDescent="0.25">
      <c r="A288" t="s">
        <v>570</v>
      </c>
      <c r="B288">
        <f>SUMIF(tbl_details5[Customer Name],MIS_Report!A288,tbl_details5[Revenue])</f>
        <v>121</v>
      </c>
    </row>
    <row r="289" spans="1:2" hidden="1" x14ac:dyDescent="0.25">
      <c r="A289" t="s">
        <v>572</v>
      </c>
      <c r="B289">
        <f>SUMIF(tbl_details5[Customer Name],MIS_Report!A289,tbl_details5[Revenue])</f>
        <v>404</v>
      </c>
    </row>
    <row r="290" spans="1:2" hidden="1" x14ac:dyDescent="0.25">
      <c r="A290" t="s">
        <v>574</v>
      </c>
      <c r="B290">
        <f>SUMIF(tbl_details5[Customer Name],MIS_Report!A290,tbl_details5[Revenue])</f>
        <v>24</v>
      </c>
    </row>
    <row r="291" spans="1:2" hidden="1" x14ac:dyDescent="0.25">
      <c r="A291" t="s">
        <v>576</v>
      </c>
      <c r="B291">
        <f>SUMIF(tbl_details5[Customer Name],MIS_Report!A291,tbl_details5[Revenue])</f>
        <v>1571</v>
      </c>
    </row>
    <row r="292" spans="1:2" hidden="1" x14ac:dyDescent="0.25">
      <c r="A292" t="s">
        <v>578</v>
      </c>
      <c r="B292">
        <f>SUMIF(tbl_details5[Customer Name],MIS_Report!A292,tbl_details5[Revenue])</f>
        <v>761</v>
      </c>
    </row>
    <row r="293" spans="1:2" hidden="1" x14ac:dyDescent="0.25">
      <c r="A293" t="s">
        <v>580</v>
      </c>
      <c r="B293">
        <f>SUMIF(tbl_details5[Customer Name],MIS_Report!A293,tbl_details5[Revenue])</f>
        <v>2208</v>
      </c>
    </row>
    <row r="294" spans="1:2" hidden="1" x14ac:dyDescent="0.25">
      <c r="A294" t="s">
        <v>584</v>
      </c>
      <c r="B294">
        <f>SUMIF(tbl_details5[Customer Name],MIS_Report!A294,tbl_details5[Revenue])</f>
        <v>465</v>
      </c>
    </row>
    <row r="295" spans="1:2" hidden="1" x14ac:dyDescent="0.25">
      <c r="A295" t="s">
        <v>588</v>
      </c>
      <c r="B295">
        <f>SUMIF(tbl_details5[Customer Name],MIS_Report!A295,tbl_details5[Revenue])</f>
        <v>1931</v>
      </c>
    </row>
    <row r="296" spans="1:2" hidden="1" x14ac:dyDescent="0.25">
      <c r="A296" t="s">
        <v>590</v>
      </c>
      <c r="B296">
        <f>SUMIF(tbl_details5[Customer Name],MIS_Report!A296,tbl_details5[Revenue])</f>
        <v>1246</v>
      </c>
    </row>
    <row r="297" spans="1:2" hidden="1" x14ac:dyDescent="0.25">
      <c r="A297" t="s">
        <v>592</v>
      </c>
      <c r="B297">
        <f>SUMIF(tbl_details5[Customer Name],MIS_Report!A297,tbl_details5[Revenue])</f>
        <v>388</v>
      </c>
    </row>
    <row r="298" spans="1:2" hidden="1" x14ac:dyDescent="0.25">
      <c r="A298" t="s">
        <v>597</v>
      </c>
      <c r="B298">
        <f>SUMIF(tbl_details5[Customer Name],MIS_Report!A298,tbl_details5[Revenue])</f>
        <v>939</v>
      </c>
    </row>
    <row r="299" spans="1:2" hidden="1" x14ac:dyDescent="0.25">
      <c r="A299" t="s">
        <v>600</v>
      </c>
      <c r="B299">
        <f>SUMIF(tbl_details5[Customer Name],MIS_Report!A299,tbl_details5[Revenue])</f>
        <v>468</v>
      </c>
    </row>
    <row r="300" spans="1:2" hidden="1" x14ac:dyDescent="0.25">
      <c r="A300" t="s">
        <v>602</v>
      </c>
      <c r="B300">
        <f>SUMIF(tbl_details5[Customer Name],MIS_Report!A300,tbl_details5[Revenue])</f>
        <v>3003</v>
      </c>
    </row>
    <row r="301" spans="1:2" hidden="1" x14ac:dyDescent="0.25">
      <c r="A301" t="s">
        <v>604</v>
      </c>
      <c r="B301">
        <f>SUMIF(tbl_details5[Customer Name],MIS_Report!A301,tbl_details5[Revenue])</f>
        <v>1210</v>
      </c>
    </row>
    <row r="302" spans="1:2" hidden="1" x14ac:dyDescent="0.25">
      <c r="A302" t="s">
        <v>608</v>
      </c>
      <c r="B302">
        <f>SUMIF(tbl_details5[Customer Name],MIS_Report!A302,tbl_details5[Revenue])</f>
        <v>152</v>
      </c>
    </row>
    <row r="303" spans="1:2" hidden="1" x14ac:dyDescent="0.25">
      <c r="A303" t="s">
        <v>610</v>
      </c>
      <c r="B303">
        <f>SUMIF(tbl_details5[Customer Name],MIS_Report!A303,tbl_details5[Revenue])</f>
        <v>78</v>
      </c>
    </row>
    <row r="304" spans="1:2" hidden="1" x14ac:dyDescent="0.25">
      <c r="A304" t="s">
        <v>612</v>
      </c>
      <c r="B304">
        <f>SUMIF(tbl_details5[Customer Name],MIS_Report!A304,tbl_details5[Revenue])</f>
        <v>30</v>
      </c>
    </row>
    <row r="305" spans="1:2" hidden="1" x14ac:dyDescent="0.25">
      <c r="A305" t="s">
        <v>614</v>
      </c>
      <c r="B305">
        <f>SUMIF(tbl_details5[Customer Name],MIS_Report!A305,tbl_details5[Revenue])</f>
        <v>179</v>
      </c>
    </row>
    <row r="306" spans="1:2" hidden="1" x14ac:dyDescent="0.25">
      <c r="A306" t="s">
        <v>616</v>
      </c>
      <c r="B306">
        <f>SUMIF(tbl_details5[Customer Name],MIS_Report!A306,tbl_details5[Revenue])</f>
        <v>2233</v>
      </c>
    </row>
    <row r="307" spans="1:2" hidden="1" x14ac:dyDescent="0.25">
      <c r="A307" t="s">
        <v>618</v>
      </c>
      <c r="B307">
        <f>SUMIF(tbl_details5[Customer Name],MIS_Report!A307,tbl_details5[Revenue])</f>
        <v>3574</v>
      </c>
    </row>
    <row r="308" spans="1:2" hidden="1" x14ac:dyDescent="0.25">
      <c r="A308" t="s">
        <v>620</v>
      </c>
      <c r="B308">
        <f>SUMIF(tbl_details5[Customer Name],MIS_Report!A308,tbl_details5[Revenue])</f>
        <v>40</v>
      </c>
    </row>
    <row r="309" spans="1:2" hidden="1" x14ac:dyDescent="0.25">
      <c r="A309" t="s">
        <v>622</v>
      </c>
      <c r="B309">
        <f>SUMIF(tbl_details5[Customer Name],MIS_Report!A309,tbl_details5[Revenue])</f>
        <v>102</v>
      </c>
    </row>
    <row r="310" spans="1:2" hidden="1" x14ac:dyDescent="0.25">
      <c r="A310" t="s">
        <v>624</v>
      </c>
      <c r="B310">
        <f>SUMIF(tbl_details5[Customer Name],MIS_Report!A310,tbl_details5[Revenue])</f>
        <v>103</v>
      </c>
    </row>
    <row r="311" spans="1:2" hidden="1" x14ac:dyDescent="0.25">
      <c r="A311" t="s">
        <v>626</v>
      </c>
      <c r="B311">
        <f>SUMIF(tbl_details5[Customer Name],MIS_Report!A311,tbl_details5[Revenue])</f>
        <v>889</v>
      </c>
    </row>
    <row r="312" spans="1:2" hidden="1" x14ac:dyDescent="0.25">
      <c r="A312" t="s">
        <v>628</v>
      </c>
      <c r="B312">
        <f>SUMIF(tbl_details5[Customer Name],MIS_Report!A312,tbl_details5[Revenue])</f>
        <v>277</v>
      </c>
    </row>
    <row r="313" spans="1:2" hidden="1" x14ac:dyDescent="0.25">
      <c r="A313" t="s">
        <v>630</v>
      </c>
      <c r="B313">
        <f>SUMIF(tbl_details5[Customer Name],MIS_Report!A313,tbl_details5[Revenue])</f>
        <v>80</v>
      </c>
    </row>
    <row r="314" spans="1:2" hidden="1" x14ac:dyDescent="0.25">
      <c r="A314" t="s">
        <v>633</v>
      </c>
      <c r="B314">
        <f>SUMIF(tbl_details5[Customer Name],MIS_Report!A314,tbl_details5[Revenue])</f>
        <v>244</v>
      </c>
    </row>
    <row r="315" spans="1:2" hidden="1" x14ac:dyDescent="0.25">
      <c r="A315" t="s">
        <v>635</v>
      </c>
      <c r="B315">
        <f>SUMIF(tbl_details5[Customer Name],MIS_Report!A315,tbl_details5[Revenue])</f>
        <v>3350</v>
      </c>
    </row>
    <row r="316" spans="1:2" hidden="1" x14ac:dyDescent="0.25">
      <c r="A316" t="s">
        <v>637</v>
      </c>
      <c r="B316">
        <f>SUMIF(tbl_details5[Customer Name],MIS_Report!A316,tbl_details5[Revenue])</f>
        <v>100</v>
      </c>
    </row>
    <row r="317" spans="1:2" hidden="1" x14ac:dyDescent="0.25">
      <c r="A317" t="s">
        <v>639</v>
      </c>
      <c r="B317">
        <f>SUMIF(tbl_details5[Customer Name],MIS_Report!A317,tbl_details5[Revenue])</f>
        <v>325</v>
      </c>
    </row>
    <row r="318" spans="1:2" hidden="1" x14ac:dyDescent="0.25">
      <c r="A318" t="s">
        <v>641</v>
      </c>
      <c r="B318">
        <f>SUMIF(tbl_details5[Customer Name],MIS_Report!A318,tbl_details5[Revenue])</f>
        <v>52</v>
      </c>
    </row>
    <row r="319" spans="1:2" hidden="1" x14ac:dyDescent="0.25">
      <c r="A319" t="s">
        <v>643</v>
      </c>
      <c r="B319">
        <f>SUMIF(tbl_details5[Customer Name],MIS_Report!A319,tbl_details5[Revenue])</f>
        <v>4836</v>
      </c>
    </row>
    <row r="320" spans="1:2" hidden="1" x14ac:dyDescent="0.25">
      <c r="A320" t="s">
        <v>645</v>
      </c>
      <c r="B320">
        <f>SUMIF(tbl_details5[Customer Name],MIS_Report!A320,tbl_details5[Revenue])</f>
        <v>148</v>
      </c>
    </row>
    <row r="321" spans="1:2" hidden="1" x14ac:dyDescent="0.25">
      <c r="A321" t="s">
        <v>648</v>
      </c>
      <c r="B321">
        <f>SUMIF(tbl_details5[Customer Name],MIS_Report!A321,tbl_details5[Revenue])</f>
        <v>57</v>
      </c>
    </row>
    <row r="322" spans="1:2" hidden="1" x14ac:dyDescent="0.25">
      <c r="A322" t="s">
        <v>651</v>
      </c>
      <c r="B322">
        <f>SUMIF(tbl_details5[Customer Name],MIS_Report!A322,tbl_details5[Revenue])</f>
        <v>147</v>
      </c>
    </row>
    <row r="323" spans="1:2" hidden="1" x14ac:dyDescent="0.25">
      <c r="A323" t="s">
        <v>653</v>
      </c>
      <c r="B323">
        <f>SUMIF(tbl_details5[Customer Name],MIS_Report!A323,tbl_details5[Revenue])</f>
        <v>1678</v>
      </c>
    </row>
    <row r="324" spans="1:2" hidden="1" x14ac:dyDescent="0.25">
      <c r="A324" t="s">
        <v>655</v>
      </c>
      <c r="B324">
        <f>SUMIF(tbl_details5[Customer Name],MIS_Report!A324,tbl_details5[Revenue])</f>
        <v>1397</v>
      </c>
    </row>
    <row r="325" spans="1:2" hidden="1" x14ac:dyDescent="0.25">
      <c r="A325" t="s">
        <v>657</v>
      </c>
      <c r="B325">
        <f>SUMIF(tbl_details5[Customer Name],MIS_Report!A325,tbl_details5[Revenue])</f>
        <v>73</v>
      </c>
    </row>
    <row r="326" spans="1:2" hidden="1" x14ac:dyDescent="0.25">
      <c r="A326" t="s">
        <v>659</v>
      </c>
      <c r="B326">
        <f>SUMIF(tbl_details5[Customer Name],MIS_Report!A326,tbl_details5[Revenue])</f>
        <v>71</v>
      </c>
    </row>
    <row r="327" spans="1:2" hidden="1" x14ac:dyDescent="0.25">
      <c r="A327" t="s">
        <v>661</v>
      </c>
      <c r="B327">
        <f>SUMIF(tbl_details5[Customer Name],MIS_Report!A327,tbl_details5[Revenue])</f>
        <v>820</v>
      </c>
    </row>
    <row r="328" spans="1:2" hidden="1" x14ac:dyDescent="0.25">
      <c r="A328" t="s">
        <v>663</v>
      </c>
      <c r="B328">
        <f>SUMIF(tbl_details5[Customer Name],MIS_Report!A328,tbl_details5[Revenue])</f>
        <v>105</v>
      </c>
    </row>
    <row r="329" spans="1:2" hidden="1" x14ac:dyDescent="0.25">
      <c r="A329" t="s">
        <v>665</v>
      </c>
      <c r="B329">
        <f>SUMIF(tbl_details5[Customer Name],MIS_Report!A329,tbl_details5[Revenue])</f>
        <v>1969</v>
      </c>
    </row>
    <row r="330" spans="1:2" hidden="1" x14ac:dyDescent="0.25">
      <c r="A330" t="s">
        <v>667</v>
      </c>
      <c r="B330">
        <f>SUMIF(tbl_details5[Customer Name],MIS_Report!A330,tbl_details5[Revenue])</f>
        <v>61</v>
      </c>
    </row>
    <row r="331" spans="1:2" hidden="1" x14ac:dyDescent="0.25">
      <c r="A331" t="s">
        <v>671</v>
      </c>
      <c r="B331">
        <f>SUMIF(tbl_details5[Customer Name],MIS_Report!A331,tbl_details5[Revenue])</f>
        <v>666</v>
      </c>
    </row>
    <row r="332" spans="1:2" hidden="1" x14ac:dyDescent="0.25">
      <c r="A332" t="s">
        <v>673</v>
      </c>
      <c r="B332">
        <f>SUMIF(tbl_details5[Customer Name],MIS_Report!A332,tbl_details5[Revenue])</f>
        <v>114</v>
      </c>
    </row>
    <row r="333" spans="1:2" hidden="1" x14ac:dyDescent="0.25">
      <c r="A333" t="s">
        <v>675</v>
      </c>
      <c r="B333">
        <f>SUMIF(tbl_details5[Customer Name],MIS_Report!A333,tbl_details5[Revenue])</f>
        <v>177</v>
      </c>
    </row>
    <row r="334" spans="1:2" hidden="1" x14ac:dyDescent="0.25">
      <c r="A334" t="s">
        <v>678</v>
      </c>
      <c r="B334">
        <f>SUMIF(tbl_details5[Customer Name],MIS_Report!A334,tbl_details5[Revenue])</f>
        <v>1907</v>
      </c>
    </row>
    <row r="335" spans="1:2" hidden="1" x14ac:dyDescent="0.25">
      <c r="A335" t="s">
        <v>680</v>
      </c>
      <c r="B335">
        <f>SUMIF(tbl_details5[Customer Name],MIS_Report!A335,tbl_details5[Revenue])</f>
        <v>169</v>
      </c>
    </row>
    <row r="336" spans="1:2" hidden="1" x14ac:dyDescent="0.25">
      <c r="A336" t="s">
        <v>682</v>
      </c>
      <c r="B336">
        <f>SUMIF(tbl_details5[Customer Name],MIS_Report!A336,tbl_details5[Revenue])</f>
        <v>1133</v>
      </c>
    </row>
    <row r="337" spans="1:2" hidden="1" x14ac:dyDescent="0.25">
      <c r="A337" t="s">
        <v>685</v>
      </c>
      <c r="B337">
        <f>SUMIF(tbl_details5[Customer Name],MIS_Report!A337,tbl_details5[Revenue])</f>
        <v>497</v>
      </c>
    </row>
    <row r="338" spans="1:2" hidden="1" x14ac:dyDescent="0.25">
      <c r="A338" t="s">
        <v>687</v>
      </c>
      <c r="B338">
        <f>SUMIF(tbl_details5[Customer Name],MIS_Report!A338,tbl_details5[Revenue])</f>
        <v>152</v>
      </c>
    </row>
    <row r="339" spans="1:2" hidden="1" x14ac:dyDescent="0.25">
      <c r="A339" t="s">
        <v>689</v>
      </c>
      <c r="B339">
        <f>SUMIF(tbl_details5[Customer Name],MIS_Report!A339,tbl_details5[Revenue])</f>
        <v>315</v>
      </c>
    </row>
    <row r="340" spans="1:2" hidden="1" x14ac:dyDescent="0.25">
      <c r="A340" t="s">
        <v>692</v>
      </c>
      <c r="B340">
        <f>SUMIF(tbl_details5[Customer Name],MIS_Report!A340,tbl_details5[Revenue])</f>
        <v>1782</v>
      </c>
    </row>
    <row r="341" spans="1:2" hidden="1" x14ac:dyDescent="0.25">
      <c r="A341" t="s">
        <v>696</v>
      </c>
      <c r="B341">
        <f>SUMIF(tbl_details5[Customer Name],MIS_Report!A341,tbl_details5[Revenue])</f>
        <v>2017</v>
      </c>
    </row>
    <row r="342" spans="1:2" hidden="1" x14ac:dyDescent="0.25">
      <c r="A342" t="s">
        <v>701</v>
      </c>
      <c r="B342">
        <f>SUMIF(tbl_details5[Customer Name],MIS_Report!A342,tbl_details5[Revenue])</f>
        <v>465</v>
      </c>
    </row>
    <row r="343" spans="1:2" hidden="1" x14ac:dyDescent="0.25">
      <c r="A343" t="s">
        <v>703</v>
      </c>
      <c r="B343">
        <f>SUMIF(tbl_details5[Customer Name],MIS_Report!A343,tbl_details5[Revenue])</f>
        <v>2268</v>
      </c>
    </row>
    <row r="344" spans="1:2" hidden="1" x14ac:dyDescent="0.25">
      <c r="A344" t="s">
        <v>707</v>
      </c>
      <c r="B344">
        <f>SUMIF(tbl_details5[Customer Name],MIS_Report!A344,tbl_details5[Revenue])</f>
        <v>1116</v>
      </c>
    </row>
    <row r="345" spans="1:2" hidden="1" x14ac:dyDescent="0.25">
      <c r="A345" t="s">
        <v>709</v>
      </c>
      <c r="B345">
        <f>SUMIF(tbl_details5[Customer Name],MIS_Report!A345,tbl_details5[Revenue])</f>
        <v>53</v>
      </c>
    </row>
    <row r="346" spans="1:2" hidden="1" x14ac:dyDescent="0.25">
      <c r="A346" t="s">
        <v>711</v>
      </c>
      <c r="B346">
        <f>SUMIF(tbl_details5[Customer Name],MIS_Report!A346,tbl_details5[Revenue])</f>
        <v>1904</v>
      </c>
    </row>
    <row r="347" spans="1:2" hidden="1" x14ac:dyDescent="0.25">
      <c r="A347" t="s">
        <v>713</v>
      </c>
      <c r="B347">
        <f>SUMIF(tbl_details5[Customer Name],MIS_Report!A347,tbl_details5[Revenue])</f>
        <v>17</v>
      </c>
    </row>
    <row r="348" spans="1:2" hidden="1" x14ac:dyDescent="0.25">
      <c r="A348" t="s">
        <v>717</v>
      </c>
      <c r="B348">
        <f>SUMIF(tbl_details5[Customer Name],MIS_Report!A348,tbl_details5[Revenue])</f>
        <v>811</v>
      </c>
    </row>
    <row r="349" spans="1:2" hidden="1" x14ac:dyDescent="0.25">
      <c r="A349" t="s">
        <v>719</v>
      </c>
      <c r="B349">
        <f>SUMIF(tbl_details5[Customer Name],MIS_Report!A349,tbl_details5[Revenue])</f>
        <v>3343</v>
      </c>
    </row>
    <row r="350" spans="1:2" hidden="1" x14ac:dyDescent="0.25">
      <c r="A350" t="s">
        <v>723</v>
      </c>
      <c r="B350">
        <f>SUMIF(tbl_details5[Customer Name],MIS_Report!A350,tbl_details5[Revenue])</f>
        <v>115</v>
      </c>
    </row>
    <row r="351" spans="1:2" hidden="1" x14ac:dyDescent="0.25">
      <c r="A351" t="s">
        <v>725</v>
      </c>
      <c r="B351">
        <f>SUMIF(tbl_details5[Customer Name],MIS_Report!A351,tbl_details5[Revenue])</f>
        <v>5228</v>
      </c>
    </row>
    <row r="352" spans="1:2" hidden="1" x14ac:dyDescent="0.25">
      <c r="A352" t="s">
        <v>727</v>
      </c>
      <c r="B352">
        <f>SUMIF(tbl_details5[Customer Name],MIS_Report!A352,tbl_details5[Revenue])</f>
        <v>662</v>
      </c>
    </row>
    <row r="353" spans="1:2" hidden="1" x14ac:dyDescent="0.25">
      <c r="A353" t="s">
        <v>730</v>
      </c>
      <c r="B353">
        <f>SUMIF(tbl_details5[Customer Name],MIS_Report!A353,tbl_details5[Revenue])</f>
        <v>193</v>
      </c>
    </row>
    <row r="354" spans="1:2" hidden="1" x14ac:dyDescent="0.25">
      <c r="A354" t="s">
        <v>733</v>
      </c>
      <c r="B354">
        <f>SUMIF(tbl_details5[Customer Name],MIS_Report!A354,tbl_details5[Revenue])</f>
        <v>1404</v>
      </c>
    </row>
    <row r="355" spans="1:2" hidden="1" x14ac:dyDescent="0.25">
      <c r="A355" t="s">
        <v>737</v>
      </c>
      <c r="B355">
        <f>SUMIF(tbl_details5[Customer Name],MIS_Report!A355,tbl_details5[Revenue])</f>
        <v>1318</v>
      </c>
    </row>
    <row r="356" spans="1:2" hidden="1" x14ac:dyDescent="0.25">
      <c r="A356" t="s">
        <v>739</v>
      </c>
      <c r="B356">
        <f>SUMIF(tbl_details5[Customer Name],MIS_Report!A356,tbl_details5[Revenue])</f>
        <v>13</v>
      </c>
    </row>
    <row r="357" spans="1:2" hidden="1" x14ac:dyDescent="0.25">
      <c r="A357" t="s">
        <v>741</v>
      </c>
      <c r="B357">
        <f>SUMIF(tbl_details5[Customer Name],MIS_Report!A357,tbl_details5[Revenue])</f>
        <v>1034</v>
      </c>
    </row>
    <row r="358" spans="1:2" hidden="1" x14ac:dyDescent="0.25">
      <c r="A358" t="s">
        <v>744</v>
      </c>
      <c r="B358">
        <f>SUMIF(tbl_details5[Customer Name],MIS_Report!A358,tbl_details5[Revenue])</f>
        <v>381</v>
      </c>
    </row>
    <row r="359" spans="1:2" hidden="1" x14ac:dyDescent="0.25">
      <c r="A359" t="s">
        <v>747</v>
      </c>
      <c r="B359">
        <f>SUMIF(tbl_details5[Customer Name],MIS_Report!A359,tbl_details5[Revenue])</f>
        <v>387</v>
      </c>
    </row>
    <row r="360" spans="1:2" hidden="1" x14ac:dyDescent="0.25">
      <c r="A360" t="s">
        <v>749</v>
      </c>
      <c r="B360">
        <f>SUMIF(tbl_details5[Customer Name],MIS_Report!A360,tbl_details5[Revenue])</f>
        <v>79</v>
      </c>
    </row>
    <row r="361" spans="1:2" hidden="1" x14ac:dyDescent="0.25">
      <c r="A361" t="s">
        <v>752</v>
      </c>
      <c r="B361">
        <f>SUMIF(tbl_details5[Customer Name],MIS_Report!A361,tbl_details5[Revenue])</f>
        <v>71</v>
      </c>
    </row>
    <row r="362" spans="1:2" hidden="1" x14ac:dyDescent="0.25">
      <c r="A362" t="s">
        <v>754</v>
      </c>
      <c r="B362">
        <f>SUMIF(tbl_details5[Customer Name],MIS_Report!A362,tbl_details5[Revenue])</f>
        <v>291</v>
      </c>
    </row>
    <row r="363" spans="1:2" hidden="1" x14ac:dyDescent="0.25">
      <c r="A363" t="s">
        <v>757</v>
      </c>
      <c r="B363">
        <f>SUMIF(tbl_details5[Customer Name],MIS_Report!A363,tbl_details5[Revenue])</f>
        <v>6026</v>
      </c>
    </row>
    <row r="364" spans="1:2" hidden="1" x14ac:dyDescent="0.25">
      <c r="A364" t="s">
        <v>759</v>
      </c>
      <c r="B364">
        <f>SUMIF(tbl_details5[Customer Name],MIS_Report!A364,tbl_details5[Revenue])</f>
        <v>196</v>
      </c>
    </row>
    <row r="365" spans="1:2" hidden="1" x14ac:dyDescent="0.25">
      <c r="A365" t="s">
        <v>761</v>
      </c>
      <c r="B365">
        <f>SUMIF(tbl_details5[Customer Name],MIS_Report!A365,tbl_details5[Revenue])</f>
        <v>1314</v>
      </c>
    </row>
    <row r="366" spans="1:2" hidden="1" x14ac:dyDescent="0.25">
      <c r="A366" t="s">
        <v>763</v>
      </c>
      <c r="B366">
        <f>SUMIF(tbl_details5[Customer Name],MIS_Report!A366,tbl_details5[Revenue])</f>
        <v>994</v>
      </c>
    </row>
    <row r="367" spans="1:2" hidden="1" x14ac:dyDescent="0.25">
      <c r="A367" t="s">
        <v>766</v>
      </c>
      <c r="B367">
        <f>SUMIF(tbl_details5[Customer Name],MIS_Report!A367,tbl_details5[Revenue])</f>
        <v>50</v>
      </c>
    </row>
    <row r="368" spans="1:2" hidden="1" x14ac:dyDescent="0.25">
      <c r="A368" t="s">
        <v>768</v>
      </c>
      <c r="B368">
        <f>SUMIF(tbl_details5[Customer Name],MIS_Report!A368,tbl_details5[Revenue])</f>
        <v>2342</v>
      </c>
    </row>
    <row r="369" spans="1:2" hidden="1" x14ac:dyDescent="0.25">
      <c r="A369" t="s">
        <v>771</v>
      </c>
      <c r="B369">
        <f>SUMIF(tbl_details5[Customer Name],MIS_Report!A369,tbl_details5[Revenue])</f>
        <v>220</v>
      </c>
    </row>
    <row r="370" spans="1:2" hidden="1" x14ac:dyDescent="0.25">
      <c r="A370" t="s">
        <v>774</v>
      </c>
      <c r="B370">
        <f>SUMIF(tbl_details5[Customer Name],MIS_Report!A370,tbl_details5[Revenue])</f>
        <v>3548</v>
      </c>
    </row>
    <row r="371" spans="1:2" hidden="1" x14ac:dyDescent="0.25">
      <c r="A371" t="s">
        <v>776</v>
      </c>
      <c r="B371">
        <f>SUMIF(tbl_details5[Customer Name],MIS_Report!A371,tbl_details5[Revenue])</f>
        <v>309</v>
      </c>
    </row>
    <row r="372" spans="1:2" hidden="1" x14ac:dyDescent="0.25">
      <c r="A372" t="s">
        <v>778</v>
      </c>
      <c r="B372">
        <f>SUMIF(tbl_details5[Customer Name],MIS_Report!A372,tbl_details5[Revenue])</f>
        <v>87</v>
      </c>
    </row>
    <row r="373" spans="1:2" hidden="1" x14ac:dyDescent="0.25">
      <c r="A373" t="s">
        <v>780</v>
      </c>
      <c r="B373">
        <f>SUMIF(tbl_details5[Customer Name],MIS_Report!A373,tbl_details5[Revenue])</f>
        <v>1301</v>
      </c>
    </row>
    <row r="374" spans="1:2" hidden="1" x14ac:dyDescent="0.25">
      <c r="A374" t="s">
        <v>783</v>
      </c>
      <c r="B374">
        <f>SUMIF(tbl_details5[Customer Name],MIS_Report!A374,tbl_details5[Revenue])</f>
        <v>295</v>
      </c>
    </row>
    <row r="375" spans="1:2" hidden="1" x14ac:dyDescent="0.25">
      <c r="A375" t="s">
        <v>786</v>
      </c>
      <c r="B375">
        <f>SUMIF(tbl_details5[Customer Name],MIS_Report!A375,tbl_details5[Revenue])</f>
        <v>890</v>
      </c>
    </row>
    <row r="376" spans="1:2" hidden="1" x14ac:dyDescent="0.25">
      <c r="A376" t="s">
        <v>841</v>
      </c>
      <c r="B376">
        <f>SUMIF(tbl_details5[Customer Name],MIS_Report!A376,tbl_details5[Revenue])</f>
        <v>280</v>
      </c>
    </row>
    <row r="377" spans="1:2" x14ac:dyDescent="0.25">
      <c r="A377"/>
    </row>
    <row r="378" spans="1:2" x14ac:dyDescent="0.25">
      <c r="A378"/>
    </row>
    <row r="379" spans="1:2" x14ac:dyDescent="0.25">
      <c r="A379"/>
    </row>
    <row r="380" spans="1:2" x14ac:dyDescent="0.25">
      <c r="A380"/>
    </row>
    <row r="381" spans="1:2" x14ac:dyDescent="0.25">
      <c r="A381"/>
    </row>
    <row r="382" spans="1:2" x14ac:dyDescent="0.25">
      <c r="A382"/>
    </row>
    <row r="383" spans="1:2" x14ac:dyDescent="0.25">
      <c r="A383"/>
    </row>
    <row r="384" spans="1:2" x14ac:dyDescent="0.25">
      <c r="A384"/>
    </row>
    <row r="385" spans="1:1" x14ac:dyDescent="0.25">
      <c r="A385"/>
    </row>
    <row r="386" spans="1:1" x14ac:dyDescent="0.25">
      <c r="A386"/>
    </row>
    <row r="387" spans="1:1" x14ac:dyDescent="0.25">
      <c r="A387"/>
    </row>
    <row r="388" spans="1:1" x14ac:dyDescent="0.25">
      <c r="A388"/>
    </row>
    <row r="389" spans="1:1" x14ac:dyDescent="0.25">
      <c r="A389"/>
    </row>
    <row r="390" spans="1:1" x14ac:dyDescent="0.25">
      <c r="A390"/>
    </row>
    <row r="391" spans="1:1" x14ac:dyDescent="0.25">
      <c r="A391"/>
    </row>
    <row r="392" spans="1:1" x14ac:dyDescent="0.25">
      <c r="A392"/>
    </row>
    <row r="393" spans="1:1" x14ac:dyDescent="0.25">
      <c r="A393"/>
    </row>
    <row r="394" spans="1:1" x14ac:dyDescent="0.25">
      <c r="A394"/>
    </row>
    <row r="395" spans="1:1" x14ac:dyDescent="0.25">
      <c r="A395"/>
    </row>
    <row r="396" spans="1:1" x14ac:dyDescent="0.25">
      <c r="A396"/>
    </row>
    <row r="397" spans="1:1" x14ac:dyDescent="0.25">
      <c r="A397"/>
    </row>
    <row r="398" spans="1:1" x14ac:dyDescent="0.25">
      <c r="A398"/>
    </row>
    <row r="399" spans="1:1" x14ac:dyDescent="0.25">
      <c r="A399"/>
    </row>
    <row r="400" spans="1:1" x14ac:dyDescent="0.25">
      <c r="A400"/>
    </row>
    <row r="401" spans="1:1" x14ac:dyDescent="0.25">
      <c r="A401"/>
    </row>
    <row r="402" spans="1:1" x14ac:dyDescent="0.25">
      <c r="A402"/>
    </row>
    <row r="403" spans="1:1" x14ac:dyDescent="0.25">
      <c r="A403"/>
    </row>
    <row r="404" spans="1:1" x14ac:dyDescent="0.25">
      <c r="A404"/>
    </row>
    <row r="405" spans="1:1" x14ac:dyDescent="0.25">
      <c r="A405"/>
    </row>
    <row r="406" spans="1:1" x14ac:dyDescent="0.25">
      <c r="A406"/>
    </row>
    <row r="407" spans="1:1" x14ac:dyDescent="0.25">
      <c r="A407"/>
    </row>
    <row r="408" spans="1:1" x14ac:dyDescent="0.25">
      <c r="A408"/>
    </row>
    <row r="409" spans="1:1" x14ac:dyDescent="0.25">
      <c r="A409"/>
    </row>
    <row r="410" spans="1:1" x14ac:dyDescent="0.25">
      <c r="A410"/>
    </row>
    <row r="411" spans="1:1" x14ac:dyDescent="0.25">
      <c r="A411"/>
    </row>
    <row r="412" spans="1:1" x14ac:dyDescent="0.25">
      <c r="A412"/>
    </row>
    <row r="413" spans="1:1" x14ac:dyDescent="0.25">
      <c r="A413"/>
    </row>
    <row r="414" spans="1:1" x14ac:dyDescent="0.25">
      <c r="A414"/>
    </row>
    <row r="415" spans="1:1" x14ac:dyDescent="0.25">
      <c r="A415"/>
    </row>
    <row r="416" spans="1:1" x14ac:dyDescent="0.25">
      <c r="A416"/>
    </row>
    <row r="417" spans="1:1" x14ac:dyDescent="0.25">
      <c r="A417"/>
    </row>
    <row r="418" spans="1:1" x14ac:dyDescent="0.25">
      <c r="A418"/>
    </row>
    <row r="419" spans="1:1" x14ac:dyDescent="0.25">
      <c r="A419"/>
    </row>
    <row r="420" spans="1:1" x14ac:dyDescent="0.25">
      <c r="A420"/>
    </row>
    <row r="421" spans="1:1" x14ac:dyDescent="0.25">
      <c r="A421"/>
    </row>
    <row r="422" spans="1:1" x14ac:dyDescent="0.25">
      <c r="A422"/>
    </row>
    <row r="423" spans="1:1" x14ac:dyDescent="0.25">
      <c r="A423"/>
    </row>
    <row r="424" spans="1:1" x14ac:dyDescent="0.25">
      <c r="A424"/>
    </row>
    <row r="425" spans="1:1" x14ac:dyDescent="0.25">
      <c r="A425"/>
    </row>
    <row r="426" spans="1:1" x14ac:dyDescent="0.25">
      <c r="A426"/>
    </row>
    <row r="427" spans="1:1" x14ac:dyDescent="0.25">
      <c r="A427"/>
    </row>
    <row r="428" spans="1:1" x14ac:dyDescent="0.25">
      <c r="A428"/>
    </row>
    <row r="429" spans="1:1" x14ac:dyDescent="0.25">
      <c r="A429"/>
    </row>
    <row r="430" spans="1:1" x14ac:dyDescent="0.25">
      <c r="A430"/>
    </row>
    <row r="431" spans="1:1" x14ac:dyDescent="0.25">
      <c r="A431"/>
    </row>
    <row r="432" spans="1:1" x14ac:dyDescent="0.25">
      <c r="A432"/>
    </row>
    <row r="433" spans="1:1" x14ac:dyDescent="0.25">
      <c r="A433"/>
    </row>
    <row r="434" spans="1:1" x14ac:dyDescent="0.25">
      <c r="A434"/>
    </row>
    <row r="435" spans="1:1" x14ac:dyDescent="0.25">
      <c r="A435"/>
    </row>
    <row r="436" spans="1:1" x14ac:dyDescent="0.25">
      <c r="A436"/>
    </row>
    <row r="437" spans="1:1" x14ac:dyDescent="0.25">
      <c r="A437"/>
    </row>
    <row r="438" spans="1:1" x14ac:dyDescent="0.25">
      <c r="A438"/>
    </row>
    <row r="439" spans="1:1" x14ac:dyDescent="0.25">
      <c r="A439"/>
    </row>
    <row r="440" spans="1:1" x14ac:dyDescent="0.25">
      <c r="A440"/>
    </row>
    <row r="441" spans="1:1" x14ac:dyDescent="0.25">
      <c r="A441"/>
    </row>
    <row r="442" spans="1:1" x14ac:dyDescent="0.25">
      <c r="A442"/>
    </row>
    <row r="443" spans="1:1" x14ac:dyDescent="0.25">
      <c r="A443"/>
    </row>
    <row r="444" spans="1:1" x14ac:dyDescent="0.25">
      <c r="A444"/>
    </row>
    <row r="445" spans="1:1" x14ac:dyDescent="0.25">
      <c r="A445"/>
    </row>
    <row r="446" spans="1:1" x14ac:dyDescent="0.25">
      <c r="A446"/>
    </row>
    <row r="447" spans="1:1" x14ac:dyDescent="0.25">
      <c r="A447"/>
    </row>
    <row r="448" spans="1:1" x14ac:dyDescent="0.25">
      <c r="A448"/>
    </row>
    <row r="449" spans="1:1" x14ac:dyDescent="0.25">
      <c r="A449"/>
    </row>
    <row r="450" spans="1:1" x14ac:dyDescent="0.25">
      <c r="A450"/>
    </row>
    <row r="451" spans="1:1" x14ac:dyDescent="0.25">
      <c r="A451"/>
    </row>
    <row r="452" spans="1:1" x14ac:dyDescent="0.25">
      <c r="A452"/>
    </row>
    <row r="453" spans="1:1" x14ac:dyDescent="0.25">
      <c r="A453"/>
    </row>
    <row r="454" spans="1:1" x14ac:dyDescent="0.25">
      <c r="A454"/>
    </row>
    <row r="455" spans="1:1" x14ac:dyDescent="0.25">
      <c r="A455"/>
    </row>
    <row r="456" spans="1:1" x14ac:dyDescent="0.25">
      <c r="A456"/>
    </row>
    <row r="457" spans="1:1" x14ac:dyDescent="0.25">
      <c r="A457"/>
    </row>
    <row r="458" spans="1:1" x14ac:dyDescent="0.25">
      <c r="A458"/>
    </row>
    <row r="459" spans="1:1" x14ac:dyDescent="0.25">
      <c r="A459"/>
    </row>
    <row r="460" spans="1:1" x14ac:dyDescent="0.25">
      <c r="A460"/>
    </row>
    <row r="461" spans="1:1" x14ac:dyDescent="0.25">
      <c r="A461"/>
    </row>
    <row r="462" spans="1:1" x14ac:dyDescent="0.25">
      <c r="A462"/>
    </row>
    <row r="463" spans="1:1" x14ac:dyDescent="0.25">
      <c r="A463"/>
    </row>
    <row r="464" spans="1:1" x14ac:dyDescent="0.25">
      <c r="A464"/>
    </row>
    <row r="465" spans="1:1" x14ac:dyDescent="0.25">
      <c r="A465"/>
    </row>
    <row r="466" spans="1:1" x14ac:dyDescent="0.25">
      <c r="A466"/>
    </row>
    <row r="467" spans="1:1" x14ac:dyDescent="0.25">
      <c r="A467"/>
    </row>
    <row r="468" spans="1:1" x14ac:dyDescent="0.25">
      <c r="A468"/>
    </row>
    <row r="469" spans="1:1" x14ac:dyDescent="0.25">
      <c r="A469"/>
    </row>
    <row r="470" spans="1:1" x14ac:dyDescent="0.25">
      <c r="A470"/>
    </row>
    <row r="471" spans="1:1" x14ac:dyDescent="0.25">
      <c r="A471"/>
    </row>
    <row r="472" spans="1:1" x14ac:dyDescent="0.25">
      <c r="A472"/>
    </row>
    <row r="473" spans="1:1" x14ac:dyDescent="0.25">
      <c r="A473"/>
    </row>
    <row r="474" spans="1:1" x14ac:dyDescent="0.25">
      <c r="A474"/>
    </row>
    <row r="475" spans="1:1" x14ac:dyDescent="0.25">
      <c r="A475"/>
    </row>
    <row r="476" spans="1:1" x14ac:dyDescent="0.25">
      <c r="A476"/>
    </row>
    <row r="477" spans="1:1" x14ac:dyDescent="0.25">
      <c r="A477"/>
    </row>
    <row r="478" spans="1:1" x14ac:dyDescent="0.25">
      <c r="A478"/>
    </row>
    <row r="479" spans="1:1" x14ac:dyDescent="0.25">
      <c r="A479"/>
    </row>
    <row r="480" spans="1:1" x14ac:dyDescent="0.25">
      <c r="A480"/>
    </row>
    <row r="481" spans="1:1" x14ac:dyDescent="0.25">
      <c r="A481"/>
    </row>
    <row r="482" spans="1:1" x14ac:dyDescent="0.25">
      <c r="A482"/>
    </row>
    <row r="483" spans="1:1" x14ac:dyDescent="0.25">
      <c r="A483"/>
    </row>
    <row r="484" spans="1:1" x14ac:dyDescent="0.25">
      <c r="A484"/>
    </row>
    <row r="485" spans="1:1" x14ac:dyDescent="0.25">
      <c r="A485"/>
    </row>
    <row r="486" spans="1:1" x14ac:dyDescent="0.25">
      <c r="A486"/>
    </row>
    <row r="487" spans="1:1" x14ac:dyDescent="0.25">
      <c r="A487"/>
    </row>
    <row r="488" spans="1:1" x14ac:dyDescent="0.25">
      <c r="A488"/>
    </row>
    <row r="489" spans="1:1" x14ac:dyDescent="0.25">
      <c r="A489"/>
    </row>
    <row r="490" spans="1:1" x14ac:dyDescent="0.25">
      <c r="A490"/>
    </row>
    <row r="491" spans="1:1" x14ac:dyDescent="0.25">
      <c r="A491"/>
    </row>
    <row r="492" spans="1:1" x14ac:dyDescent="0.25">
      <c r="A492"/>
    </row>
    <row r="493" spans="1:1" x14ac:dyDescent="0.25">
      <c r="A493"/>
    </row>
    <row r="494" spans="1:1" x14ac:dyDescent="0.25">
      <c r="A494"/>
    </row>
    <row r="495" spans="1:1" x14ac:dyDescent="0.25">
      <c r="A495"/>
    </row>
    <row r="496" spans="1:1" x14ac:dyDescent="0.25">
      <c r="A496"/>
    </row>
    <row r="497" spans="1:1" x14ac:dyDescent="0.25">
      <c r="A497"/>
    </row>
    <row r="498" spans="1:1" x14ac:dyDescent="0.25">
      <c r="A498"/>
    </row>
    <row r="499" spans="1:1" x14ac:dyDescent="0.25">
      <c r="A499"/>
    </row>
    <row r="500" spans="1:1" x14ac:dyDescent="0.25">
      <c r="A500"/>
    </row>
    <row r="501" spans="1:1" x14ac:dyDescent="0.25">
      <c r="A501"/>
    </row>
    <row r="502" spans="1:1" x14ac:dyDescent="0.25">
      <c r="A502"/>
    </row>
    <row r="503" spans="1:1" x14ac:dyDescent="0.25">
      <c r="A503"/>
    </row>
    <row r="504" spans="1:1" x14ac:dyDescent="0.25">
      <c r="A504"/>
    </row>
    <row r="505" spans="1:1" x14ac:dyDescent="0.25">
      <c r="A505"/>
    </row>
    <row r="506" spans="1:1" x14ac:dyDescent="0.25">
      <c r="A506"/>
    </row>
    <row r="507" spans="1:1" x14ac:dyDescent="0.25">
      <c r="A507"/>
    </row>
    <row r="508" spans="1:1" x14ac:dyDescent="0.25">
      <c r="A508"/>
    </row>
    <row r="509" spans="1:1" x14ac:dyDescent="0.25">
      <c r="A509"/>
    </row>
    <row r="510" spans="1:1" x14ac:dyDescent="0.25">
      <c r="A510"/>
    </row>
    <row r="511" spans="1:1" x14ac:dyDescent="0.25">
      <c r="A511"/>
    </row>
    <row r="512" spans="1:1" x14ac:dyDescent="0.25">
      <c r="A512"/>
    </row>
    <row r="513" spans="1:1" x14ac:dyDescent="0.25">
      <c r="A513"/>
    </row>
    <row r="514" spans="1:1" x14ac:dyDescent="0.25">
      <c r="A514"/>
    </row>
    <row r="515" spans="1:1" x14ac:dyDescent="0.25">
      <c r="A515"/>
    </row>
    <row r="516" spans="1:1" x14ac:dyDescent="0.25">
      <c r="A516"/>
    </row>
    <row r="517" spans="1:1" x14ac:dyDescent="0.25">
      <c r="A517"/>
    </row>
    <row r="518" spans="1:1" x14ac:dyDescent="0.25">
      <c r="A518"/>
    </row>
    <row r="519" spans="1:1" x14ac:dyDescent="0.25">
      <c r="A519"/>
    </row>
    <row r="520" spans="1:1" x14ac:dyDescent="0.25">
      <c r="A520"/>
    </row>
    <row r="521" spans="1:1" x14ac:dyDescent="0.25">
      <c r="A521"/>
    </row>
    <row r="522" spans="1:1" x14ac:dyDescent="0.25">
      <c r="A522"/>
    </row>
    <row r="523" spans="1:1" x14ac:dyDescent="0.25">
      <c r="A523"/>
    </row>
    <row r="524" spans="1:1" x14ac:dyDescent="0.25">
      <c r="A524"/>
    </row>
    <row r="525" spans="1:1" x14ac:dyDescent="0.25">
      <c r="A525"/>
    </row>
    <row r="526" spans="1:1" x14ac:dyDescent="0.25">
      <c r="A526"/>
    </row>
    <row r="527" spans="1:1" x14ac:dyDescent="0.25">
      <c r="A527"/>
    </row>
    <row r="528" spans="1:1" x14ac:dyDescent="0.25">
      <c r="A528"/>
    </row>
    <row r="529" spans="1:1" x14ac:dyDescent="0.25">
      <c r="A529"/>
    </row>
    <row r="530" spans="1:1" x14ac:dyDescent="0.25">
      <c r="A530"/>
    </row>
    <row r="531" spans="1:1" x14ac:dyDescent="0.25">
      <c r="A531"/>
    </row>
    <row r="532" spans="1:1" x14ac:dyDescent="0.25">
      <c r="A532"/>
    </row>
    <row r="533" spans="1:1" x14ac:dyDescent="0.25">
      <c r="A533"/>
    </row>
    <row r="534" spans="1:1" x14ac:dyDescent="0.25">
      <c r="A534"/>
    </row>
    <row r="535" spans="1:1" x14ac:dyDescent="0.25">
      <c r="A535"/>
    </row>
    <row r="536" spans="1:1" x14ac:dyDescent="0.25">
      <c r="A536"/>
    </row>
    <row r="537" spans="1:1" x14ac:dyDescent="0.25">
      <c r="A537"/>
    </row>
    <row r="538" spans="1:1" x14ac:dyDescent="0.25">
      <c r="A538"/>
    </row>
    <row r="539" spans="1:1" x14ac:dyDescent="0.25">
      <c r="A539"/>
    </row>
    <row r="540" spans="1:1" x14ac:dyDescent="0.25">
      <c r="A540"/>
    </row>
    <row r="541" spans="1:1" x14ac:dyDescent="0.25">
      <c r="A541"/>
    </row>
    <row r="542" spans="1:1" x14ac:dyDescent="0.25">
      <c r="A542"/>
    </row>
    <row r="543" spans="1:1" x14ac:dyDescent="0.25">
      <c r="A543"/>
    </row>
    <row r="544" spans="1:1" x14ac:dyDescent="0.25">
      <c r="A544"/>
    </row>
    <row r="545" spans="1:1" x14ac:dyDescent="0.25">
      <c r="A545"/>
    </row>
    <row r="546" spans="1:1" x14ac:dyDescent="0.25">
      <c r="A546"/>
    </row>
    <row r="547" spans="1:1" x14ac:dyDescent="0.25">
      <c r="A547"/>
    </row>
    <row r="548" spans="1:1" x14ac:dyDescent="0.25">
      <c r="A548"/>
    </row>
    <row r="549" spans="1:1" x14ac:dyDescent="0.25">
      <c r="A549"/>
    </row>
    <row r="550" spans="1:1" x14ac:dyDescent="0.25">
      <c r="A550"/>
    </row>
    <row r="551" spans="1:1" x14ac:dyDescent="0.25">
      <c r="A551"/>
    </row>
    <row r="552" spans="1:1" x14ac:dyDescent="0.25">
      <c r="A552"/>
    </row>
    <row r="553" spans="1:1" x14ac:dyDescent="0.25">
      <c r="A553"/>
    </row>
    <row r="554" spans="1:1" x14ac:dyDescent="0.25">
      <c r="A554"/>
    </row>
    <row r="555" spans="1:1" x14ac:dyDescent="0.25">
      <c r="A555"/>
    </row>
    <row r="556" spans="1:1" x14ac:dyDescent="0.25">
      <c r="A556"/>
    </row>
    <row r="557" spans="1:1" x14ac:dyDescent="0.25">
      <c r="A557"/>
    </row>
    <row r="558" spans="1:1" x14ac:dyDescent="0.25">
      <c r="A558"/>
    </row>
    <row r="559" spans="1:1" x14ac:dyDescent="0.25">
      <c r="A559"/>
    </row>
    <row r="560" spans="1:1" x14ac:dyDescent="0.25">
      <c r="A560"/>
    </row>
    <row r="561" spans="1:1" x14ac:dyDescent="0.25">
      <c r="A561"/>
    </row>
    <row r="562" spans="1:1" x14ac:dyDescent="0.25">
      <c r="A562"/>
    </row>
    <row r="563" spans="1:1" x14ac:dyDescent="0.25">
      <c r="A563"/>
    </row>
    <row r="564" spans="1:1" x14ac:dyDescent="0.25">
      <c r="A564"/>
    </row>
    <row r="565" spans="1:1" x14ac:dyDescent="0.25">
      <c r="A565"/>
    </row>
    <row r="566" spans="1:1" x14ac:dyDescent="0.25">
      <c r="A566"/>
    </row>
    <row r="567" spans="1:1" x14ac:dyDescent="0.25">
      <c r="A567"/>
    </row>
    <row r="568" spans="1:1" x14ac:dyDescent="0.25">
      <c r="A568"/>
    </row>
    <row r="569" spans="1:1" x14ac:dyDescent="0.25">
      <c r="A569"/>
    </row>
    <row r="570" spans="1:1" x14ac:dyDescent="0.25">
      <c r="A570"/>
    </row>
    <row r="571" spans="1:1" x14ac:dyDescent="0.25">
      <c r="A571"/>
    </row>
    <row r="572" spans="1:1" x14ac:dyDescent="0.25">
      <c r="A572"/>
    </row>
    <row r="573" spans="1:1" x14ac:dyDescent="0.25">
      <c r="A573"/>
    </row>
    <row r="574" spans="1:1" x14ac:dyDescent="0.25">
      <c r="A574"/>
    </row>
    <row r="575" spans="1:1" x14ac:dyDescent="0.25">
      <c r="A575"/>
    </row>
    <row r="576" spans="1:1" x14ac:dyDescent="0.25">
      <c r="A576"/>
    </row>
    <row r="577" spans="1:1" x14ac:dyDescent="0.25">
      <c r="A577"/>
    </row>
    <row r="578" spans="1:1" x14ac:dyDescent="0.25">
      <c r="A578"/>
    </row>
    <row r="579" spans="1:1" x14ac:dyDescent="0.25">
      <c r="A579"/>
    </row>
    <row r="580" spans="1:1" x14ac:dyDescent="0.25">
      <c r="A580"/>
    </row>
    <row r="581" spans="1:1" x14ac:dyDescent="0.25">
      <c r="A581"/>
    </row>
    <row r="582" spans="1:1" x14ac:dyDescent="0.25">
      <c r="A582"/>
    </row>
    <row r="583" spans="1:1" x14ac:dyDescent="0.25">
      <c r="A583"/>
    </row>
    <row r="584" spans="1:1" x14ac:dyDescent="0.25">
      <c r="A584"/>
    </row>
    <row r="585" spans="1:1" x14ac:dyDescent="0.25">
      <c r="A585"/>
    </row>
    <row r="586" spans="1:1" x14ac:dyDescent="0.25">
      <c r="A586"/>
    </row>
    <row r="587" spans="1:1" x14ac:dyDescent="0.25">
      <c r="A587"/>
    </row>
    <row r="588" spans="1:1" x14ac:dyDescent="0.25">
      <c r="A588"/>
    </row>
    <row r="589" spans="1:1" x14ac:dyDescent="0.25">
      <c r="A589"/>
    </row>
    <row r="590" spans="1:1" x14ac:dyDescent="0.25">
      <c r="A590"/>
    </row>
    <row r="591" spans="1:1" x14ac:dyDescent="0.25">
      <c r="A591"/>
    </row>
    <row r="592" spans="1:1" x14ac:dyDescent="0.25">
      <c r="A592"/>
    </row>
    <row r="593" spans="1:1" x14ac:dyDescent="0.25">
      <c r="A593"/>
    </row>
    <row r="594" spans="1:1" x14ac:dyDescent="0.25">
      <c r="A594"/>
    </row>
    <row r="595" spans="1:1" x14ac:dyDescent="0.25">
      <c r="A595"/>
    </row>
    <row r="596" spans="1:1" x14ac:dyDescent="0.25">
      <c r="A596"/>
    </row>
    <row r="597" spans="1:1" x14ac:dyDescent="0.25">
      <c r="A597"/>
    </row>
    <row r="598" spans="1:1" x14ac:dyDescent="0.25">
      <c r="A598"/>
    </row>
    <row r="599" spans="1:1" x14ac:dyDescent="0.25">
      <c r="A599"/>
    </row>
    <row r="600" spans="1:1" x14ac:dyDescent="0.25">
      <c r="A600"/>
    </row>
    <row r="601" spans="1:1" x14ac:dyDescent="0.25">
      <c r="A601"/>
    </row>
    <row r="602" spans="1:1" x14ac:dyDescent="0.25">
      <c r="A602"/>
    </row>
    <row r="603" spans="1:1" x14ac:dyDescent="0.25">
      <c r="A603"/>
    </row>
    <row r="604" spans="1:1" x14ac:dyDescent="0.25">
      <c r="A604"/>
    </row>
    <row r="605" spans="1:1" x14ac:dyDescent="0.25">
      <c r="A605"/>
    </row>
    <row r="606" spans="1:1" x14ac:dyDescent="0.25">
      <c r="A606"/>
    </row>
    <row r="607" spans="1:1" x14ac:dyDescent="0.25">
      <c r="A607"/>
    </row>
    <row r="608" spans="1:1" x14ac:dyDescent="0.25">
      <c r="A608"/>
    </row>
    <row r="609" spans="1:1" x14ac:dyDescent="0.25">
      <c r="A609"/>
    </row>
    <row r="610" spans="1:1" x14ac:dyDescent="0.25">
      <c r="A610"/>
    </row>
    <row r="611" spans="1:1" x14ac:dyDescent="0.25">
      <c r="A611"/>
    </row>
    <row r="612" spans="1:1" x14ac:dyDescent="0.25">
      <c r="A612"/>
    </row>
    <row r="613" spans="1:1" x14ac:dyDescent="0.25">
      <c r="A613"/>
    </row>
    <row r="614" spans="1:1" x14ac:dyDescent="0.25">
      <c r="A614"/>
    </row>
    <row r="615" spans="1:1" x14ac:dyDescent="0.25">
      <c r="A615"/>
    </row>
    <row r="616" spans="1:1" x14ac:dyDescent="0.25">
      <c r="A616"/>
    </row>
    <row r="617" spans="1:1" x14ac:dyDescent="0.25">
      <c r="A617"/>
    </row>
    <row r="618" spans="1:1" x14ac:dyDescent="0.25">
      <c r="A618"/>
    </row>
    <row r="619" spans="1:1" x14ac:dyDescent="0.25">
      <c r="A619"/>
    </row>
    <row r="620" spans="1:1" x14ac:dyDescent="0.25">
      <c r="A620"/>
    </row>
    <row r="621" spans="1:1" x14ac:dyDescent="0.25">
      <c r="A621"/>
    </row>
    <row r="622" spans="1:1" x14ac:dyDescent="0.25">
      <c r="A622"/>
    </row>
    <row r="623" spans="1:1" x14ac:dyDescent="0.25">
      <c r="A623"/>
    </row>
    <row r="624" spans="1:1" x14ac:dyDescent="0.25">
      <c r="A624"/>
    </row>
    <row r="625" spans="1:1" x14ac:dyDescent="0.25">
      <c r="A625"/>
    </row>
    <row r="626" spans="1:1" x14ac:dyDescent="0.25">
      <c r="A626"/>
    </row>
    <row r="627" spans="1:1" x14ac:dyDescent="0.25">
      <c r="A627"/>
    </row>
    <row r="628" spans="1:1" x14ac:dyDescent="0.25">
      <c r="A628"/>
    </row>
    <row r="629" spans="1:1" x14ac:dyDescent="0.25">
      <c r="A629"/>
    </row>
    <row r="630" spans="1:1" x14ac:dyDescent="0.25">
      <c r="A630"/>
    </row>
    <row r="631" spans="1:1" x14ac:dyDescent="0.25">
      <c r="A631"/>
    </row>
    <row r="632" spans="1:1" x14ac:dyDescent="0.25">
      <c r="A632"/>
    </row>
    <row r="633" spans="1:1" x14ac:dyDescent="0.25">
      <c r="A633"/>
    </row>
    <row r="634" spans="1:1" x14ac:dyDescent="0.25">
      <c r="A634"/>
    </row>
    <row r="635" spans="1:1" x14ac:dyDescent="0.25">
      <c r="A635"/>
    </row>
    <row r="636" spans="1:1" x14ac:dyDescent="0.25">
      <c r="A636"/>
    </row>
    <row r="637" spans="1:1" x14ac:dyDescent="0.25">
      <c r="A637"/>
    </row>
    <row r="638" spans="1:1" x14ac:dyDescent="0.25">
      <c r="A638"/>
    </row>
    <row r="639" spans="1:1" x14ac:dyDescent="0.25">
      <c r="A639"/>
    </row>
    <row r="640" spans="1:1" x14ac:dyDescent="0.25">
      <c r="A640"/>
    </row>
    <row r="641" spans="1:1" x14ac:dyDescent="0.25">
      <c r="A641"/>
    </row>
    <row r="642" spans="1:1" x14ac:dyDescent="0.25">
      <c r="A642"/>
    </row>
    <row r="643" spans="1:1" x14ac:dyDescent="0.25">
      <c r="A643"/>
    </row>
    <row r="644" spans="1:1" x14ac:dyDescent="0.25">
      <c r="A644"/>
    </row>
    <row r="645" spans="1:1" x14ac:dyDescent="0.25">
      <c r="A645"/>
    </row>
    <row r="646" spans="1:1" x14ac:dyDescent="0.25">
      <c r="A646"/>
    </row>
    <row r="647" spans="1:1" x14ac:dyDescent="0.25">
      <c r="A647"/>
    </row>
    <row r="648" spans="1:1" x14ac:dyDescent="0.25">
      <c r="A648"/>
    </row>
    <row r="649" spans="1:1" x14ac:dyDescent="0.25">
      <c r="A649"/>
    </row>
    <row r="650" spans="1:1" x14ac:dyDescent="0.25">
      <c r="A650"/>
    </row>
    <row r="651" spans="1:1" x14ac:dyDescent="0.25">
      <c r="A651"/>
    </row>
    <row r="652" spans="1:1" x14ac:dyDescent="0.25">
      <c r="A652"/>
    </row>
    <row r="653" spans="1:1" x14ac:dyDescent="0.25">
      <c r="A653"/>
    </row>
    <row r="654" spans="1:1" x14ac:dyDescent="0.25">
      <c r="A654"/>
    </row>
    <row r="655" spans="1:1" x14ac:dyDescent="0.25">
      <c r="A655"/>
    </row>
    <row r="656" spans="1:1" x14ac:dyDescent="0.25">
      <c r="A656"/>
    </row>
    <row r="657" spans="1:1" x14ac:dyDescent="0.25">
      <c r="A657"/>
    </row>
    <row r="658" spans="1:1" x14ac:dyDescent="0.25">
      <c r="A658"/>
    </row>
    <row r="659" spans="1:1" x14ac:dyDescent="0.25">
      <c r="A659"/>
    </row>
    <row r="660" spans="1:1" x14ac:dyDescent="0.25">
      <c r="A660"/>
    </row>
    <row r="661" spans="1:1" x14ac:dyDescent="0.25">
      <c r="A661"/>
    </row>
    <row r="662" spans="1:1" x14ac:dyDescent="0.25">
      <c r="A662"/>
    </row>
    <row r="663" spans="1:1" x14ac:dyDescent="0.25">
      <c r="A663"/>
    </row>
    <row r="664" spans="1:1" x14ac:dyDescent="0.25">
      <c r="A664"/>
    </row>
    <row r="665" spans="1:1" x14ac:dyDescent="0.25">
      <c r="A665"/>
    </row>
    <row r="666" spans="1:1" x14ac:dyDescent="0.25">
      <c r="A666"/>
    </row>
    <row r="667" spans="1:1" x14ac:dyDescent="0.25">
      <c r="A667"/>
    </row>
    <row r="668" spans="1:1" x14ac:dyDescent="0.25">
      <c r="A668"/>
    </row>
    <row r="669" spans="1:1" x14ac:dyDescent="0.25">
      <c r="A669"/>
    </row>
    <row r="670" spans="1:1" x14ac:dyDescent="0.25">
      <c r="A670"/>
    </row>
    <row r="671" spans="1:1" x14ac:dyDescent="0.25">
      <c r="A671"/>
    </row>
    <row r="672" spans="1:1" x14ac:dyDescent="0.25">
      <c r="A672"/>
    </row>
    <row r="673" spans="1:1" x14ac:dyDescent="0.25">
      <c r="A673"/>
    </row>
    <row r="674" spans="1:1" x14ac:dyDescent="0.25">
      <c r="A674"/>
    </row>
    <row r="675" spans="1:1" x14ac:dyDescent="0.25">
      <c r="A675"/>
    </row>
    <row r="676" spans="1:1" x14ac:dyDescent="0.25">
      <c r="A676"/>
    </row>
    <row r="677" spans="1:1" x14ac:dyDescent="0.25">
      <c r="A677"/>
    </row>
    <row r="678" spans="1:1" x14ac:dyDescent="0.25">
      <c r="A678"/>
    </row>
    <row r="679" spans="1:1" x14ac:dyDescent="0.25">
      <c r="A679"/>
    </row>
    <row r="680" spans="1:1" x14ac:dyDescent="0.25">
      <c r="A680"/>
    </row>
    <row r="681" spans="1:1" x14ac:dyDescent="0.25">
      <c r="A681"/>
    </row>
    <row r="682" spans="1:1" x14ac:dyDescent="0.25">
      <c r="A682"/>
    </row>
    <row r="683" spans="1:1" x14ac:dyDescent="0.25">
      <c r="A683"/>
    </row>
    <row r="684" spans="1:1" x14ac:dyDescent="0.25">
      <c r="A684"/>
    </row>
    <row r="685" spans="1:1" x14ac:dyDescent="0.25">
      <c r="A685"/>
    </row>
    <row r="686" spans="1:1" x14ac:dyDescent="0.25">
      <c r="A686"/>
    </row>
    <row r="687" spans="1:1" x14ac:dyDescent="0.25">
      <c r="A687"/>
    </row>
    <row r="688" spans="1:1" x14ac:dyDescent="0.25">
      <c r="A688"/>
    </row>
    <row r="689" spans="1:1" x14ac:dyDescent="0.25">
      <c r="A689"/>
    </row>
    <row r="690" spans="1:1" x14ac:dyDescent="0.25">
      <c r="A690"/>
    </row>
    <row r="691" spans="1:1" x14ac:dyDescent="0.25">
      <c r="A691"/>
    </row>
    <row r="692" spans="1:1" x14ac:dyDescent="0.25">
      <c r="A692"/>
    </row>
    <row r="693" spans="1:1" x14ac:dyDescent="0.25">
      <c r="A693"/>
    </row>
    <row r="694" spans="1:1" x14ac:dyDescent="0.25">
      <c r="A694"/>
    </row>
    <row r="695" spans="1:1" x14ac:dyDescent="0.25">
      <c r="A695"/>
    </row>
    <row r="696" spans="1:1" x14ac:dyDescent="0.25">
      <c r="A696"/>
    </row>
    <row r="697" spans="1:1" x14ac:dyDescent="0.25">
      <c r="A697"/>
    </row>
    <row r="698" spans="1:1" x14ac:dyDescent="0.25">
      <c r="A698"/>
    </row>
    <row r="699" spans="1:1" x14ac:dyDescent="0.25">
      <c r="A699"/>
    </row>
    <row r="700" spans="1:1" x14ac:dyDescent="0.25">
      <c r="A700"/>
    </row>
    <row r="701" spans="1:1" x14ac:dyDescent="0.25">
      <c r="A701"/>
    </row>
    <row r="702" spans="1:1" x14ac:dyDescent="0.25">
      <c r="A702"/>
    </row>
    <row r="703" spans="1:1" x14ac:dyDescent="0.25">
      <c r="A703"/>
    </row>
    <row r="704" spans="1:1" x14ac:dyDescent="0.25">
      <c r="A704"/>
    </row>
    <row r="705" spans="1:1" x14ac:dyDescent="0.25">
      <c r="A705"/>
    </row>
    <row r="706" spans="1:1" x14ac:dyDescent="0.25">
      <c r="A706"/>
    </row>
    <row r="707" spans="1:1" x14ac:dyDescent="0.25">
      <c r="A707"/>
    </row>
    <row r="708" spans="1:1" x14ac:dyDescent="0.25">
      <c r="A708"/>
    </row>
    <row r="709" spans="1:1" x14ac:dyDescent="0.25">
      <c r="A709"/>
    </row>
    <row r="710" spans="1:1" x14ac:dyDescent="0.25">
      <c r="A710"/>
    </row>
    <row r="711" spans="1:1" x14ac:dyDescent="0.25">
      <c r="A711"/>
    </row>
    <row r="712" spans="1:1" x14ac:dyDescent="0.25">
      <c r="A712"/>
    </row>
    <row r="713" spans="1:1" x14ac:dyDescent="0.25">
      <c r="A713"/>
    </row>
    <row r="714" spans="1:1" x14ac:dyDescent="0.25">
      <c r="A714"/>
    </row>
    <row r="715" spans="1:1" x14ac:dyDescent="0.25">
      <c r="A715"/>
    </row>
    <row r="716" spans="1:1" x14ac:dyDescent="0.25">
      <c r="A716"/>
    </row>
    <row r="717" spans="1:1" x14ac:dyDescent="0.25">
      <c r="A717"/>
    </row>
    <row r="718" spans="1:1" x14ac:dyDescent="0.25">
      <c r="A718"/>
    </row>
    <row r="719" spans="1:1" x14ac:dyDescent="0.25">
      <c r="A719"/>
    </row>
    <row r="720" spans="1:1" x14ac:dyDescent="0.25">
      <c r="A720"/>
    </row>
    <row r="721" spans="1:1" x14ac:dyDescent="0.25">
      <c r="A721"/>
    </row>
    <row r="722" spans="1:1" x14ac:dyDescent="0.25">
      <c r="A722"/>
    </row>
    <row r="723" spans="1:1" x14ac:dyDescent="0.25">
      <c r="A723"/>
    </row>
    <row r="724" spans="1:1" x14ac:dyDescent="0.25">
      <c r="A724"/>
    </row>
    <row r="725" spans="1:1" x14ac:dyDescent="0.25">
      <c r="A725"/>
    </row>
    <row r="726" spans="1:1" x14ac:dyDescent="0.25">
      <c r="A726"/>
    </row>
    <row r="727" spans="1:1" x14ac:dyDescent="0.25">
      <c r="A727"/>
    </row>
    <row r="728" spans="1:1" x14ac:dyDescent="0.25">
      <c r="A728"/>
    </row>
    <row r="729" spans="1:1" x14ac:dyDescent="0.25">
      <c r="A729"/>
    </row>
    <row r="730" spans="1:1" x14ac:dyDescent="0.25">
      <c r="A730"/>
    </row>
    <row r="731" spans="1:1" x14ac:dyDescent="0.25">
      <c r="A731"/>
    </row>
    <row r="732" spans="1:1" x14ac:dyDescent="0.25">
      <c r="A732"/>
    </row>
    <row r="733" spans="1:1" x14ac:dyDescent="0.25">
      <c r="A733"/>
    </row>
    <row r="734" spans="1:1" x14ac:dyDescent="0.25">
      <c r="A734"/>
    </row>
    <row r="735" spans="1:1" x14ac:dyDescent="0.25">
      <c r="A735"/>
    </row>
    <row r="736" spans="1:1" x14ac:dyDescent="0.25">
      <c r="A736"/>
    </row>
    <row r="737" spans="1:1" x14ac:dyDescent="0.25">
      <c r="A737"/>
    </row>
    <row r="738" spans="1:1" x14ac:dyDescent="0.25">
      <c r="A738"/>
    </row>
    <row r="739" spans="1:1" x14ac:dyDescent="0.25">
      <c r="A739"/>
    </row>
    <row r="740" spans="1:1" x14ac:dyDescent="0.25">
      <c r="A740"/>
    </row>
    <row r="741" spans="1:1" x14ac:dyDescent="0.25">
      <c r="A741"/>
    </row>
    <row r="742" spans="1:1" x14ac:dyDescent="0.25">
      <c r="A742"/>
    </row>
    <row r="743" spans="1:1" x14ac:dyDescent="0.25">
      <c r="A743"/>
    </row>
    <row r="744" spans="1:1" x14ac:dyDescent="0.25">
      <c r="A744"/>
    </row>
    <row r="745" spans="1:1" x14ac:dyDescent="0.25">
      <c r="A745"/>
    </row>
    <row r="746" spans="1:1" x14ac:dyDescent="0.25">
      <c r="A746"/>
    </row>
    <row r="747" spans="1:1" x14ac:dyDescent="0.25">
      <c r="A747"/>
    </row>
    <row r="748" spans="1:1" x14ac:dyDescent="0.25">
      <c r="A748"/>
    </row>
    <row r="749" spans="1:1" x14ac:dyDescent="0.25">
      <c r="A749"/>
    </row>
    <row r="750" spans="1:1" x14ac:dyDescent="0.25">
      <c r="A750"/>
    </row>
    <row r="751" spans="1:1" x14ac:dyDescent="0.25">
      <c r="A751"/>
    </row>
    <row r="752" spans="1:1" x14ac:dyDescent="0.25">
      <c r="A752"/>
    </row>
    <row r="753" spans="1:1" x14ac:dyDescent="0.25">
      <c r="A753"/>
    </row>
    <row r="754" spans="1:1" x14ac:dyDescent="0.25">
      <c r="A754"/>
    </row>
    <row r="755" spans="1:1" x14ac:dyDescent="0.25">
      <c r="A755"/>
    </row>
    <row r="756" spans="1:1" x14ac:dyDescent="0.25">
      <c r="A756"/>
    </row>
    <row r="757" spans="1:1" x14ac:dyDescent="0.25">
      <c r="A757"/>
    </row>
    <row r="758" spans="1:1" x14ac:dyDescent="0.25">
      <c r="A758"/>
    </row>
    <row r="759" spans="1:1" x14ac:dyDescent="0.25">
      <c r="A759"/>
    </row>
    <row r="760" spans="1:1" x14ac:dyDescent="0.25">
      <c r="A760"/>
    </row>
    <row r="761" spans="1:1" x14ac:dyDescent="0.25">
      <c r="A761"/>
    </row>
    <row r="762" spans="1:1" x14ac:dyDescent="0.25">
      <c r="A762"/>
    </row>
    <row r="763" spans="1:1" x14ac:dyDescent="0.25">
      <c r="A763"/>
    </row>
    <row r="764" spans="1:1" x14ac:dyDescent="0.25">
      <c r="A764"/>
    </row>
    <row r="765" spans="1:1" x14ac:dyDescent="0.25">
      <c r="A765"/>
    </row>
    <row r="766" spans="1:1" x14ac:dyDescent="0.25">
      <c r="A766"/>
    </row>
    <row r="767" spans="1:1" x14ac:dyDescent="0.25">
      <c r="A767"/>
    </row>
    <row r="768" spans="1:1" x14ac:dyDescent="0.25">
      <c r="A768"/>
    </row>
    <row r="769" spans="1:1" x14ac:dyDescent="0.25">
      <c r="A769"/>
    </row>
    <row r="770" spans="1:1" x14ac:dyDescent="0.25">
      <c r="A770"/>
    </row>
    <row r="771" spans="1:1" x14ac:dyDescent="0.25">
      <c r="A771"/>
    </row>
    <row r="772" spans="1:1" x14ac:dyDescent="0.25">
      <c r="A772"/>
    </row>
    <row r="773" spans="1:1" x14ac:dyDescent="0.25">
      <c r="A773"/>
    </row>
    <row r="774" spans="1:1" x14ac:dyDescent="0.25">
      <c r="A774"/>
    </row>
    <row r="775" spans="1:1" x14ac:dyDescent="0.25">
      <c r="A775"/>
    </row>
    <row r="776" spans="1:1" x14ac:dyDescent="0.25">
      <c r="A776"/>
    </row>
    <row r="777" spans="1:1" x14ac:dyDescent="0.25">
      <c r="A777"/>
    </row>
    <row r="778" spans="1:1" x14ac:dyDescent="0.25">
      <c r="A778"/>
    </row>
    <row r="779" spans="1:1" x14ac:dyDescent="0.25">
      <c r="A779"/>
    </row>
    <row r="780" spans="1:1" x14ac:dyDescent="0.25">
      <c r="A780"/>
    </row>
    <row r="781" spans="1:1" x14ac:dyDescent="0.25">
      <c r="A781"/>
    </row>
    <row r="782" spans="1:1" x14ac:dyDescent="0.25">
      <c r="A782"/>
    </row>
    <row r="783" spans="1:1" x14ac:dyDescent="0.25">
      <c r="A783"/>
    </row>
    <row r="784" spans="1:1" x14ac:dyDescent="0.25">
      <c r="A784"/>
    </row>
    <row r="785" spans="1:1" x14ac:dyDescent="0.25">
      <c r="A785"/>
    </row>
    <row r="786" spans="1:1" x14ac:dyDescent="0.25">
      <c r="A786"/>
    </row>
    <row r="787" spans="1:1" x14ac:dyDescent="0.25">
      <c r="A787"/>
    </row>
    <row r="788" spans="1:1" x14ac:dyDescent="0.25">
      <c r="A788"/>
    </row>
    <row r="789" spans="1:1" x14ac:dyDescent="0.25">
      <c r="A789"/>
    </row>
    <row r="790" spans="1:1" x14ac:dyDescent="0.25">
      <c r="A790"/>
    </row>
    <row r="791" spans="1:1" x14ac:dyDescent="0.25">
      <c r="A791"/>
    </row>
    <row r="792" spans="1:1" x14ac:dyDescent="0.25">
      <c r="A792"/>
    </row>
    <row r="793" spans="1:1" x14ac:dyDescent="0.25">
      <c r="A793"/>
    </row>
    <row r="794" spans="1:1" x14ac:dyDescent="0.25">
      <c r="A794"/>
    </row>
    <row r="795" spans="1:1" x14ac:dyDescent="0.25">
      <c r="A795"/>
    </row>
    <row r="796" spans="1:1" x14ac:dyDescent="0.25">
      <c r="A796"/>
    </row>
    <row r="797" spans="1:1" x14ac:dyDescent="0.25">
      <c r="A797"/>
    </row>
    <row r="798" spans="1:1" x14ac:dyDescent="0.25">
      <c r="A798"/>
    </row>
    <row r="799" spans="1:1" x14ac:dyDescent="0.25">
      <c r="A799"/>
    </row>
    <row r="800" spans="1:1" x14ac:dyDescent="0.25">
      <c r="A800"/>
    </row>
    <row r="801" spans="1:1" x14ac:dyDescent="0.25">
      <c r="A801"/>
    </row>
    <row r="802" spans="1:1" x14ac:dyDescent="0.25">
      <c r="A802"/>
    </row>
    <row r="803" spans="1:1" x14ac:dyDescent="0.25">
      <c r="A803"/>
    </row>
    <row r="804" spans="1:1" x14ac:dyDescent="0.25">
      <c r="A804"/>
    </row>
    <row r="805" spans="1:1" x14ac:dyDescent="0.25">
      <c r="A805"/>
    </row>
    <row r="806" spans="1:1" x14ac:dyDescent="0.25">
      <c r="A806"/>
    </row>
    <row r="807" spans="1:1" x14ac:dyDescent="0.25">
      <c r="A807"/>
    </row>
    <row r="808" spans="1:1" x14ac:dyDescent="0.25">
      <c r="A808"/>
    </row>
    <row r="809" spans="1:1" x14ac:dyDescent="0.25">
      <c r="A809"/>
    </row>
    <row r="810" spans="1:1" x14ac:dyDescent="0.25">
      <c r="A810"/>
    </row>
    <row r="811" spans="1:1" x14ac:dyDescent="0.25">
      <c r="A811"/>
    </row>
    <row r="812" spans="1:1" x14ac:dyDescent="0.25">
      <c r="A812"/>
    </row>
    <row r="813" spans="1:1" x14ac:dyDescent="0.25">
      <c r="A813"/>
    </row>
    <row r="814" spans="1:1" x14ac:dyDescent="0.25">
      <c r="A814"/>
    </row>
    <row r="815" spans="1:1" x14ac:dyDescent="0.25">
      <c r="A815"/>
    </row>
    <row r="816" spans="1:1" x14ac:dyDescent="0.25">
      <c r="A816"/>
    </row>
    <row r="817" spans="1:1" x14ac:dyDescent="0.25">
      <c r="A817"/>
    </row>
    <row r="818" spans="1:1" x14ac:dyDescent="0.25">
      <c r="A818"/>
    </row>
    <row r="819" spans="1:1" x14ac:dyDescent="0.25">
      <c r="A819"/>
    </row>
    <row r="820" spans="1:1" x14ac:dyDescent="0.25">
      <c r="A820"/>
    </row>
    <row r="821" spans="1:1" x14ac:dyDescent="0.25">
      <c r="A821"/>
    </row>
    <row r="822" spans="1:1" x14ac:dyDescent="0.25">
      <c r="A822"/>
    </row>
    <row r="823" spans="1:1" x14ac:dyDescent="0.25">
      <c r="A823"/>
    </row>
    <row r="824" spans="1:1" x14ac:dyDescent="0.25">
      <c r="A824"/>
    </row>
    <row r="825" spans="1:1" x14ac:dyDescent="0.25">
      <c r="A825"/>
    </row>
    <row r="826" spans="1:1" x14ac:dyDescent="0.25">
      <c r="A826"/>
    </row>
    <row r="827" spans="1:1" x14ac:dyDescent="0.25">
      <c r="A827"/>
    </row>
    <row r="828" spans="1:1" x14ac:dyDescent="0.25">
      <c r="A828"/>
    </row>
    <row r="829" spans="1:1" x14ac:dyDescent="0.25">
      <c r="A829"/>
    </row>
    <row r="830" spans="1:1" x14ac:dyDescent="0.25">
      <c r="A830"/>
    </row>
    <row r="831" spans="1:1" x14ac:dyDescent="0.25">
      <c r="A831"/>
    </row>
    <row r="832" spans="1:1" x14ac:dyDescent="0.25">
      <c r="A832"/>
    </row>
    <row r="833" spans="1:1" x14ac:dyDescent="0.25">
      <c r="A833"/>
    </row>
    <row r="834" spans="1:1" x14ac:dyDescent="0.25">
      <c r="A834"/>
    </row>
    <row r="835" spans="1:1" x14ac:dyDescent="0.25">
      <c r="A835"/>
    </row>
    <row r="836" spans="1:1" x14ac:dyDescent="0.25">
      <c r="A836"/>
    </row>
    <row r="837" spans="1:1" x14ac:dyDescent="0.25">
      <c r="A837"/>
    </row>
    <row r="838" spans="1:1" x14ac:dyDescent="0.25">
      <c r="A838"/>
    </row>
    <row r="839" spans="1:1" x14ac:dyDescent="0.25">
      <c r="A839"/>
    </row>
    <row r="840" spans="1:1" x14ac:dyDescent="0.25">
      <c r="A840"/>
    </row>
    <row r="841" spans="1:1" x14ac:dyDescent="0.25">
      <c r="A841"/>
    </row>
    <row r="842" spans="1:1" x14ac:dyDescent="0.25">
      <c r="A842"/>
    </row>
    <row r="843" spans="1:1" x14ac:dyDescent="0.25">
      <c r="A843"/>
    </row>
    <row r="844" spans="1:1" x14ac:dyDescent="0.25">
      <c r="A844"/>
    </row>
    <row r="845" spans="1:1" x14ac:dyDescent="0.25">
      <c r="A845"/>
    </row>
    <row r="846" spans="1:1" x14ac:dyDescent="0.25">
      <c r="A846"/>
    </row>
    <row r="847" spans="1:1" x14ac:dyDescent="0.25">
      <c r="A847"/>
    </row>
    <row r="848" spans="1:1" x14ac:dyDescent="0.25">
      <c r="A848"/>
    </row>
    <row r="849" spans="1:1" x14ac:dyDescent="0.25">
      <c r="A849"/>
    </row>
    <row r="850" spans="1:1" x14ac:dyDescent="0.25">
      <c r="A850"/>
    </row>
    <row r="851" spans="1:1" x14ac:dyDescent="0.25">
      <c r="A851"/>
    </row>
    <row r="852" spans="1:1" x14ac:dyDescent="0.25">
      <c r="A852"/>
    </row>
    <row r="853" spans="1:1" x14ac:dyDescent="0.25">
      <c r="A853"/>
    </row>
    <row r="854" spans="1:1" x14ac:dyDescent="0.25">
      <c r="A854"/>
    </row>
    <row r="855" spans="1:1" x14ac:dyDescent="0.25">
      <c r="A855"/>
    </row>
    <row r="856" spans="1:1" x14ac:dyDescent="0.25">
      <c r="A856"/>
    </row>
    <row r="857" spans="1:1" x14ac:dyDescent="0.25">
      <c r="A857"/>
    </row>
    <row r="858" spans="1:1" x14ac:dyDescent="0.25">
      <c r="A858"/>
    </row>
    <row r="859" spans="1:1" x14ac:dyDescent="0.25">
      <c r="A859"/>
    </row>
    <row r="860" spans="1:1" x14ac:dyDescent="0.25">
      <c r="A860"/>
    </row>
    <row r="861" spans="1:1" x14ac:dyDescent="0.25">
      <c r="A861"/>
    </row>
    <row r="862" spans="1:1" x14ac:dyDescent="0.25">
      <c r="A862"/>
    </row>
    <row r="863" spans="1:1" x14ac:dyDescent="0.25">
      <c r="A863"/>
    </row>
    <row r="864" spans="1:1" x14ac:dyDescent="0.25">
      <c r="A864"/>
    </row>
    <row r="865" spans="1:1" x14ac:dyDescent="0.25">
      <c r="A865"/>
    </row>
    <row r="866" spans="1:1" x14ac:dyDescent="0.25">
      <c r="A866"/>
    </row>
    <row r="867" spans="1:1" x14ac:dyDescent="0.25">
      <c r="A867"/>
    </row>
    <row r="868" spans="1:1" x14ac:dyDescent="0.25">
      <c r="A868"/>
    </row>
    <row r="869" spans="1:1" x14ac:dyDescent="0.25">
      <c r="A869"/>
    </row>
    <row r="870" spans="1:1" x14ac:dyDescent="0.25">
      <c r="A870"/>
    </row>
    <row r="871" spans="1:1" x14ac:dyDescent="0.25">
      <c r="A871"/>
    </row>
    <row r="872" spans="1:1" x14ac:dyDescent="0.25">
      <c r="A872"/>
    </row>
    <row r="873" spans="1:1" x14ac:dyDescent="0.25">
      <c r="A873"/>
    </row>
    <row r="874" spans="1:1" x14ac:dyDescent="0.25">
      <c r="A874"/>
    </row>
    <row r="875" spans="1:1" x14ac:dyDescent="0.25">
      <c r="A875"/>
    </row>
    <row r="876" spans="1:1" x14ac:dyDescent="0.25">
      <c r="A876"/>
    </row>
    <row r="877" spans="1:1" x14ac:dyDescent="0.25">
      <c r="A877"/>
    </row>
    <row r="878" spans="1:1" x14ac:dyDescent="0.25">
      <c r="A878"/>
    </row>
    <row r="879" spans="1:1" x14ac:dyDescent="0.25">
      <c r="A879"/>
    </row>
    <row r="880" spans="1:1" x14ac:dyDescent="0.25">
      <c r="A880"/>
    </row>
    <row r="881" spans="1:1" x14ac:dyDescent="0.25">
      <c r="A881"/>
    </row>
    <row r="882" spans="1:1" x14ac:dyDescent="0.25">
      <c r="A882"/>
    </row>
    <row r="883" spans="1:1" x14ac:dyDescent="0.25">
      <c r="A883"/>
    </row>
    <row r="884" spans="1:1" x14ac:dyDescent="0.25">
      <c r="A884"/>
    </row>
    <row r="885" spans="1:1" x14ac:dyDescent="0.25">
      <c r="A885"/>
    </row>
    <row r="886" spans="1:1" x14ac:dyDescent="0.25">
      <c r="A886"/>
    </row>
    <row r="887" spans="1:1" x14ac:dyDescent="0.25">
      <c r="A887"/>
    </row>
    <row r="888" spans="1:1" x14ac:dyDescent="0.25">
      <c r="A888"/>
    </row>
    <row r="889" spans="1:1" x14ac:dyDescent="0.25">
      <c r="A889"/>
    </row>
    <row r="890" spans="1:1" x14ac:dyDescent="0.25">
      <c r="A890"/>
    </row>
    <row r="891" spans="1:1" x14ac:dyDescent="0.25">
      <c r="A891"/>
    </row>
    <row r="892" spans="1:1" x14ac:dyDescent="0.25">
      <c r="A892"/>
    </row>
    <row r="893" spans="1:1" x14ac:dyDescent="0.25">
      <c r="A893"/>
    </row>
    <row r="894" spans="1:1" x14ac:dyDescent="0.25">
      <c r="A894"/>
    </row>
    <row r="895" spans="1:1" x14ac:dyDescent="0.25">
      <c r="A895"/>
    </row>
    <row r="896" spans="1:1" x14ac:dyDescent="0.25">
      <c r="A896"/>
    </row>
    <row r="897" spans="1:1" x14ac:dyDescent="0.25">
      <c r="A897"/>
    </row>
    <row r="898" spans="1:1" x14ac:dyDescent="0.25">
      <c r="A898"/>
    </row>
    <row r="899" spans="1:1" x14ac:dyDescent="0.25">
      <c r="A899"/>
    </row>
    <row r="900" spans="1:1" x14ac:dyDescent="0.25">
      <c r="A900"/>
    </row>
    <row r="901" spans="1:1" x14ac:dyDescent="0.25">
      <c r="A901"/>
    </row>
    <row r="902" spans="1:1" x14ac:dyDescent="0.25">
      <c r="A902"/>
    </row>
    <row r="903" spans="1:1" x14ac:dyDescent="0.25">
      <c r="A903"/>
    </row>
    <row r="904" spans="1:1" x14ac:dyDescent="0.25">
      <c r="A904"/>
    </row>
    <row r="905" spans="1:1" x14ac:dyDescent="0.25">
      <c r="A905"/>
    </row>
    <row r="906" spans="1:1" x14ac:dyDescent="0.25">
      <c r="A906"/>
    </row>
    <row r="907" spans="1:1" x14ac:dyDescent="0.25">
      <c r="A907"/>
    </row>
    <row r="908" spans="1:1" x14ac:dyDescent="0.25">
      <c r="A908"/>
    </row>
    <row r="909" spans="1:1" x14ac:dyDescent="0.25">
      <c r="A909"/>
    </row>
    <row r="910" spans="1:1" x14ac:dyDescent="0.25">
      <c r="A910"/>
    </row>
    <row r="911" spans="1:1" x14ac:dyDescent="0.25">
      <c r="A911"/>
    </row>
    <row r="912" spans="1:1" x14ac:dyDescent="0.25">
      <c r="A912"/>
    </row>
    <row r="913" spans="1:1" x14ac:dyDescent="0.25">
      <c r="A913"/>
    </row>
    <row r="914" spans="1:1" x14ac:dyDescent="0.25">
      <c r="A914"/>
    </row>
    <row r="915" spans="1:1" x14ac:dyDescent="0.25">
      <c r="A915"/>
    </row>
    <row r="916" spans="1:1" x14ac:dyDescent="0.25">
      <c r="A916"/>
    </row>
    <row r="917" spans="1:1" x14ac:dyDescent="0.25">
      <c r="A917"/>
    </row>
    <row r="918" spans="1:1" x14ac:dyDescent="0.25">
      <c r="A918"/>
    </row>
    <row r="919" spans="1:1" x14ac:dyDescent="0.25">
      <c r="A919"/>
    </row>
    <row r="920" spans="1:1" x14ac:dyDescent="0.25">
      <c r="A920"/>
    </row>
    <row r="921" spans="1:1" x14ac:dyDescent="0.25">
      <c r="A921"/>
    </row>
    <row r="922" spans="1:1" x14ac:dyDescent="0.25">
      <c r="A922"/>
    </row>
    <row r="923" spans="1:1" x14ac:dyDescent="0.25">
      <c r="A923"/>
    </row>
    <row r="924" spans="1:1" x14ac:dyDescent="0.25">
      <c r="A924"/>
    </row>
    <row r="925" spans="1:1" x14ac:dyDescent="0.25">
      <c r="A925"/>
    </row>
    <row r="926" spans="1:1" x14ac:dyDescent="0.25">
      <c r="A926"/>
    </row>
    <row r="927" spans="1:1" x14ac:dyDescent="0.25">
      <c r="A927"/>
    </row>
    <row r="928" spans="1:1" x14ac:dyDescent="0.25">
      <c r="A928"/>
    </row>
    <row r="929" spans="1:1" x14ac:dyDescent="0.25">
      <c r="A929"/>
    </row>
    <row r="930" spans="1:1" x14ac:dyDescent="0.25">
      <c r="A930"/>
    </row>
    <row r="931" spans="1:1" x14ac:dyDescent="0.25">
      <c r="A931"/>
    </row>
    <row r="932" spans="1:1" x14ac:dyDescent="0.25">
      <c r="A932"/>
    </row>
    <row r="933" spans="1:1" x14ac:dyDescent="0.25">
      <c r="A933"/>
    </row>
    <row r="934" spans="1:1" x14ac:dyDescent="0.25">
      <c r="A934"/>
    </row>
    <row r="935" spans="1:1" x14ac:dyDescent="0.25">
      <c r="A935"/>
    </row>
    <row r="936" spans="1:1" x14ac:dyDescent="0.25">
      <c r="A936"/>
    </row>
    <row r="937" spans="1:1" x14ac:dyDescent="0.25">
      <c r="A937"/>
    </row>
    <row r="938" spans="1:1" x14ac:dyDescent="0.25">
      <c r="A938"/>
    </row>
    <row r="939" spans="1:1" x14ac:dyDescent="0.25">
      <c r="A939"/>
    </row>
    <row r="940" spans="1:1" x14ac:dyDescent="0.25">
      <c r="A940"/>
    </row>
    <row r="941" spans="1:1" x14ac:dyDescent="0.25">
      <c r="A941"/>
    </row>
    <row r="942" spans="1:1" x14ac:dyDescent="0.25">
      <c r="A942"/>
    </row>
    <row r="943" spans="1:1" x14ac:dyDescent="0.25">
      <c r="A943"/>
    </row>
    <row r="944" spans="1:1" x14ac:dyDescent="0.25">
      <c r="A944"/>
    </row>
    <row r="945" spans="1:1" x14ac:dyDescent="0.25">
      <c r="A945"/>
    </row>
    <row r="946" spans="1:1" x14ac:dyDescent="0.25">
      <c r="A946"/>
    </row>
    <row r="947" spans="1:1" x14ac:dyDescent="0.25">
      <c r="A947"/>
    </row>
    <row r="948" spans="1:1" x14ac:dyDescent="0.25">
      <c r="A948"/>
    </row>
    <row r="949" spans="1:1" x14ac:dyDescent="0.25">
      <c r="A949"/>
    </row>
    <row r="950" spans="1:1" x14ac:dyDescent="0.25">
      <c r="A950"/>
    </row>
    <row r="951" spans="1:1" x14ac:dyDescent="0.25">
      <c r="A951"/>
    </row>
    <row r="952" spans="1:1" x14ac:dyDescent="0.25">
      <c r="A952"/>
    </row>
    <row r="953" spans="1:1" x14ac:dyDescent="0.25">
      <c r="A953"/>
    </row>
    <row r="954" spans="1:1" x14ac:dyDescent="0.25">
      <c r="A954"/>
    </row>
    <row r="955" spans="1:1" x14ac:dyDescent="0.25">
      <c r="A955"/>
    </row>
    <row r="956" spans="1:1" x14ac:dyDescent="0.25">
      <c r="A956"/>
    </row>
    <row r="957" spans="1:1" x14ac:dyDescent="0.25">
      <c r="A957"/>
    </row>
    <row r="958" spans="1:1" x14ac:dyDescent="0.25">
      <c r="A958"/>
    </row>
    <row r="959" spans="1:1" x14ac:dyDescent="0.25">
      <c r="A959"/>
    </row>
    <row r="960" spans="1:1" x14ac:dyDescent="0.25">
      <c r="A960"/>
    </row>
    <row r="961" spans="1:1" x14ac:dyDescent="0.25">
      <c r="A961"/>
    </row>
    <row r="962" spans="1:1" x14ac:dyDescent="0.25">
      <c r="A962"/>
    </row>
    <row r="963" spans="1:1" x14ac:dyDescent="0.25">
      <c r="A963"/>
    </row>
    <row r="964" spans="1:1" x14ac:dyDescent="0.25">
      <c r="A964"/>
    </row>
    <row r="965" spans="1:1" x14ac:dyDescent="0.25">
      <c r="A965"/>
    </row>
    <row r="966" spans="1:1" x14ac:dyDescent="0.25">
      <c r="A966"/>
    </row>
    <row r="967" spans="1:1" x14ac:dyDescent="0.25">
      <c r="A967"/>
    </row>
    <row r="968" spans="1:1" x14ac:dyDescent="0.25">
      <c r="A968"/>
    </row>
    <row r="969" spans="1:1" x14ac:dyDescent="0.25">
      <c r="A969"/>
    </row>
    <row r="970" spans="1:1" x14ac:dyDescent="0.25">
      <c r="A970"/>
    </row>
    <row r="971" spans="1:1" x14ac:dyDescent="0.25">
      <c r="A971"/>
    </row>
    <row r="972" spans="1:1" x14ac:dyDescent="0.25">
      <c r="A972"/>
    </row>
    <row r="973" spans="1:1" x14ac:dyDescent="0.25">
      <c r="A973"/>
    </row>
    <row r="974" spans="1:1" x14ac:dyDescent="0.25">
      <c r="A974"/>
    </row>
    <row r="975" spans="1:1" x14ac:dyDescent="0.25">
      <c r="A975"/>
    </row>
    <row r="976" spans="1:1" x14ac:dyDescent="0.25">
      <c r="A976"/>
    </row>
    <row r="977" spans="1:1" x14ac:dyDescent="0.25">
      <c r="A977"/>
    </row>
    <row r="978" spans="1:1" x14ac:dyDescent="0.25">
      <c r="A978"/>
    </row>
    <row r="979" spans="1:1" x14ac:dyDescent="0.25">
      <c r="A979"/>
    </row>
    <row r="980" spans="1:1" x14ac:dyDescent="0.25">
      <c r="A980"/>
    </row>
    <row r="981" spans="1:1" x14ac:dyDescent="0.25">
      <c r="A981"/>
    </row>
    <row r="982" spans="1:1" x14ac:dyDescent="0.25">
      <c r="A982"/>
    </row>
    <row r="983" spans="1:1" x14ac:dyDescent="0.25">
      <c r="A983"/>
    </row>
    <row r="984" spans="1:1" x14ac:dyDescent="0.25">
      <c r="A984"/>
    </row>
    <row r="985" spans="1:1" x14ac:dyDescent="0.25">
      <c r="A985"/>
    </row>
    <row r="986" spans="1:1" x14ac:dyDescent="0.25">
      <c r="A986"/>
    </row>
    <row r="987" spans="1:1" x14ac:dyDescent="0.25">
      <c r="A987"/>
    </row>
    <row r="988" spans="1:1" x14ac:dyDescent="0.25">
      <c r="A988"/>
    </row>
    <row r="989" spans="1:1" x14ac:dyDescent="0.25">
      <c r="A989"/>
    </row>
    <row r="990" spans="1:1" x14ac:dyDescent="0.25">
      <c r="A990"/>
    </row>
    <row r="991" spans="1:1" x14ac:dyDescent="0.25">
      <c r="A991"/>
    </row>
    <row r="992" spans="1:1" x14ac:dyDescent="0.25">
      <c r="A992"/>
    </row>
    <row r="993" spans="1:1" x14ac:dyDescent="0.25">
      <c r="A993"/>
    </row>
    <row r="994" spans="1:1" x14ac:dyDescent="0.25">
      <c r="A994"/>
    </row>
    <row r="995" spans="1:1" x14ac:dyDescent="0.25">
      <c r="A995"/>
    </row>
    <row r="996" spans="1:1" x14ac:dyDescent="0.25">
      <c r="A996"/>
    </row>
    <row r="997" spans="1:1" x14ac:dyDescent="0.25">
      <c r="A997"/>
    </row>
    <row r="998" spans="1:1" x14ac:dyDescent="0.25">
      <c r="A998"/>
    </row>
    <row r="999" spans="1:1" x14ac:dyDescent="0.25">
      <c r="A999"/>
    </row>
    <row r="1000" spans="1:1" x14ac:dyDescent="0.25">
      <c r="A1000"/>
    </row>
    <row r="1001" spans="1:1" x14ac:dyDescent="0.25">
      <c r="A1001"/>
    </row>
    <row r="1002" spans="1:1" x14ac:dyDescent="0.25">
      <c r="A1002"/>
    </row>
    <row r="1003" spans="1:1" x14ac:dyDescent="0.25">
      <c r="A1003"/>
    </row>
    <row r="1004" spans="1:1" x14ac:dyDescent="0.25">
      <c r="A1004"/>
    </row>
    <row r="1005" spans="1:1" x14ac:dyDescent="0.25">
      <c r="A1005"/>
    </row>
    <row r="1006" spans="1:1" x14ac:dyDescent="0.25">
      <c r="A1006"/>
    </row>
    <row r="1007" spans="1:1" x14ac:dyDescent="0.25">
      <c r="A1007"/>
    </row>
    <row r="1008" spans="1:1" x14ac:dyDescent="0.25">
      <c r="A1008"/>
    </row>
    <row r="1009" spans="1:1" x14ac:dyDescent="0.25">
      <c r="A1009"/>
    </row>
    <row r="1010" spans="1:1" x14ac:dyDescent="0.25">
      <c r="A1010"/>
    </row>
    <row r="1011" spans="1:1" x14ac:dyDescent="0.25">
      <c r="A1011"/>
    </row>
    <row r="1012" spans="1:1" x14ac:dyDescent="0.25">
      <c r="A1012"/>
    </row>
    <row r="1013" spans="1:1" x14ac:dyDescent="0.25">
      <c r="A1013"/>
    </row>
    <row r="1014" spans="1:1" x14ac:dyDescent="0.25">
      <c r="A1014"/>
    </row>
    <row r="1015" spans="1:1" x14ac:dyDescent="0.25">
      <c r="A1015"/>
    </row>
    <row r="1016" spans="1:1" x14ac:dyDescent="0.25">
      <c r="A1016"/>
    </row>
    <row r="1017" spans="1:1" x14ac:dyDescent="0.25">
      <c r="A1017"/>
    </row>
    <row r="1018" spans="1:1" x14ac:dyDescent="0.25">
      <c r="A1018"/>
    </row>
    <row r="1019" spans="1:1" x14ac:dyDescent="0.25">
      <c r="A1019"/>
    </row>
    <row r="1020" spans="1:1" x14ac:dyDescent="0.25">
      <c r="A1020"/>
    </row>
    <row r="1021" spans="1:1" x14ac:dyDescent="0.25">
      <c r="A1021"/>
    </row>
    <row r="1022" spans="1:1" x14ac:dyDescent="0.25">
      <c r="A1022"/>
    </row>
    <row r="1023" spans="1:1" x14ac:dyDescent="0.25">
      <c r="A1023"/>
    </row>
    <row r="1024" spans="1:1" x14ac:dyDescent="0.25">
      <c r="A1024"/>
    </row>
    <row r="1025" spans="1:1" x14ac:dyDescent="0.25">
      <c r="A1025"/>
    </row>
    <row r="1026" spans="1:1" x14ac:dyDescent="0.25">
      <c r="A1026"/>
    </row>
    <row r="1027" spans="1:1" x14ac:dyDescent="0.25">
      <c r="A1027"/>
    </row>
    <row r="1028" spans="1:1" x14ac:dyDescent="0.25">
      <c r="A1028"/>
    </row>
    <row r="1029" spans="1:1" x14ac:dyDescent="0.25">
      <c r="A1029"/>
    </row>
    <row r="1030" spans="1:1" x14ac:dyDescent="0.25">
      <c r="A1030"/>
    </row>
    <row r="1031" spans="1:1" x14ac:dyDescent="0.25">
      <c r="A1031"/>
    </row>
    <row r="1032" spans="1:1" x14ac:dyDescent="0.25">
      <c r="A1032"/>
    </row>
    <row r="1033" spans="1:1" x14ac:dyDescent="0.25">
      <c r="A1033"/>
    </row>
    <row r="1034" spans="1:1" x14ac:dyDescent="0.25">
      <c r="A1034"/>
    </row>
    <row r="1035" spans="1:1" x14ac:dyDescent="0.25">
      <c r="A1035"/>
    </row>
    <row r="1036" spans="1:1" x14ac:dyDescent="0.25">
      <c r="A1036"/>
    </row>
    <row r="1037" spans="1:1" x14ac:dyDescent="0.25">
      <c r="A1037"/>
    </row>
    <row r="1038" spans="1:1" x14ac:dyDescent="0.25">
      <c r="A1038"/>
    </row>
    <row r="1039" spans="1:1" x14ac:dyDescent="0.25">
      <c r="A1039"/>
    </row>
    <row r="1040" spans="1:1" x14ac:dyDescent="0.25">
      <c r="A1040"/>
    </row>
    <row r="1041" spans="1:1" x14ac:dyDescent="0.25">
      <c r="A1041"/>
    </row>
    <row r="1042" spans="1:1" x14ac:dyDescent="0.25">
      <c r="A1042"/>
    </row>
    <row r="1043" spans="1:1" x14ac:dyDescent="0.25">
      <c r="A1043"/>
    </row>
    <row r="1044" spans="1:1" x14ac:dyDescent="0.25">
      <c r="A1044"/>
    </row>
    <row r="1045" spans="1:1" x14ac:dyDescent="0.25">
      <c r="A1045"/>
    </row>
    <row r="1046" spans="1:1" x14ac:dyDescent="0.25">
      <c r="A1046"/>
    </row>
    <row r="1047" spans="1:1" x14ac:dyDescent="0.25">
      <c r="A1047"/>
    </row>
    <row r="1048" spans="1:1" x14ac:dyDescent="0.25">
      <c r="A1048"/>
    </row>
    <row r="1049" spans="1:1" x14ac:dyDescent="0.25">
      <c r="A1049"/>
    </row>
    <row r="1050" spans="1:1" x14ac:dyDescent="0.25">
      <c r="A1050"/>
    </row>
    <row r="1051" spans="1:1" x14ac:dyDescent="0.25">
      <c r="A1051"/>
    </row>
    <row r="1052" spans="1:1" x14ac:dyDescent="0.25">
      <c r="A1052"/>
    </row>
    <row r="1053" spans="1:1" x14ac:dyDescent="0.25">
      <c r="A1053"/>
    </row>
    <row r="1054" spans="1:1" x14ac:dyDescent="0.25">
      <c r="A1054"/>
    </row>
    <row r="1055" spans="1:1" x14ac:dyDescent="0.25">
      <c r="A1055"/>
    </row>
    <row r="1056" spans="1:1" x14ac:dyDescent="0.25">
      <c r="A1056"/>
    </row>
    <row r="1057" spans="1:1" x14ac:dyDescent="0.25">
      <c r="A1057"/>
    </row>
    <row r="1058" spans="1:1" x14ac:dyDescent="0.25">
      <c r="A1058"/>
    </row>
    <row r="1059" spans="1:1" x14ac:dyDescent="0.25">
      <c r="A1059"/>
    </row>
    <row r="1060" spans="1:1" x14ac:dyDescent="0.25">
      <c r="A1060"/>
    </row>
    <row r="1061" spans="1:1" x14ac:dyDescent="0.25">
      <c r="A1061"/>
    </row>
    <row r="1062" spans="1:1" x14ac:dyDescent="0.25">
      <c r="A1062"/>
    </row>
    <row r="1063" spans="1:1" x14ac:dyDescent="0.25">
      <c r="A1063"/>
    </row>
    <row r="1064" spans="1:1" x14ac:dyDescent="0.25">
      <c r="A1064"/>
    </row>
    <row r="1065" spans="1:1" x14ac:dyDescent="0.25">
      <c r="A1065"/>
    </row>
    <row r="1066" spans="1:1" x14ac:dyDescent="0.25">
      <c r="A1066"/>
    </row>
    <row r="1067" spans="1:1" x14ac:dyDescent="0.25">
      <c r="A1067"/>
    </row>
    <row r="1068" spans="1:1" x14ac:dyDescent="0.25">
      <c r="A1068"/>
    </row>
    <row r="1069" spans="1:1" x14ac:dyDescent="0.25">
      <c r="A1069"/>
    </row>
    <row r="1070" spans="1:1" x14ac:dyDescent="0.25">
      <c r="A1070"/>
    </row>
    <row r="1071" spans="1:1" x14ac:dyDescent="0.25">
      <c r="A1071"/>
    </row>
    <row r="1072" spans="1:1" x14ac:dyDescent="0.25">
      <c r="A1072"/>
    </row>
    <row r="1073" spans="1:1" x14ac:dyDescent="0.25">
      <c r="A1073"/>
    </row>
    <row r="1074" spans="1:1" x14ac:dyDescent="0.25">
      <c r="A1074"/>
    </row>
    <row r="1075" spans="1:1" x14ac:dyDescent="0.25">
      <c r="A1075"/>
    </row>
    <row r="1076" spans="1:1" x14ac:dyDescent="0.25">
      <c r="A1076"/>
    </row>
    <row r="1077" spans="1:1" x14ac:dyDescent="0.25">
      <c r="A1077"/>
    </row>
    <row r="1078" spans="1:1" x14ac:dyDescent="0.25">
      <c r="A1078"/>
    </row>
    <row r="1079" spans="1:1" x14ac:dyDescent="0.25">
      <c r="A1079"/>
    </row>
    <row r="1080" spans="1:1" x14ac:dyDescent="0.25">
      <c r="A1080"/>
    </row>
    <row r="1081" spans="1:1" x14ac:dyDescent="0.25">
      <c r="A1081"/>
    </row>
    <row r="1082" spans="1:1" x14ac:dyDescent="0.25">
      <c r="A1082"/>
    </row>
    <row r="1083" spans="1:1" x14ac:dyDescent="0.25">
      <c r="A1083"/>
    </row>
    <row r="1084" spans="1:1" x14ac:dyDescent="0.25">
      <c r="A1084"/>
    </row>
    <row r="1085" spans="1:1" x14ac:dyDescent="0.25">
      <c r="A1085"/>
    </row>
    <row r="1086" spans="1:1" x14ac:dyDescent="0.25">
      <c r="A1086"/>
    </row>
    <row r="1087" spans="1:1" x14ac:dyDescent="0.25">
      <c r="A1087"/>
    </row>
    <row r="1088" spans="1:1" x14ac:dyDescent="0.25">
      <c r="A1088"/>
    </row>
    <row r="1089" spans="1:1" x14ac:dyDescent="0.25">
      <c r="A1089"/>
    </row>
    <row r="1090" spans="1:1" x14ac:dyDescent="0.25">
      <c r="A1090"/>
    </row>
    <row r="1091" spans="1:1" x14ac:dyDescent="0.25">
      <c r="A1091"/>
    </row>
    <row r="1092" spans="1:1" x14ac:dyDescent="0.25">
      <c r="A1092"/>
    </row>
    <row r="1093" spans="1:1" x14ac:dyDescent="0.25">
      <c r="A1093"/>
    </row>
    <row r="1094" spans="1:1" x14ac:dyDescent="0.25">
      <c r="A1094"/>
    </row>
    <row r="1095" spans="1:1" x14ac:dyDescent="0.25">
      <c r="A1095"/>
    </row>
    <row r="1096" spans="1:1" x14ac:dyDescent="0.25">
      <c r="A1096"/>
    </row>
    <row r="1097" spans="1:1" x14ac:dyDescent="0.25">
      <c r="A1097"/>
    </row>
    <row r="1098" spans="1:1" x14ac:dyDescent="0.25">
      <c r="A1098"/>
    </row>
    <row r="1099" spans="1:1" x14ac:dyDescent="0.25">
      <c r="A1099"/>
    </row>
    <row r="1100" spans="1:1" x14ac:dyDescent="0.25">
      <c r="A1100"/>
    </row>
    <row r="1101" spans="1:1" x14ac:dyDescent="0.25">
      <c r="A1101"/>
    </row>
    <row r="1102" spans="1:1" x14ac:dyDescent="0.25">
      <c r="A1102"/>
    </row>
    <row r="1103" spans="1:1" x14ac:dyDescent="0.25">
      <c r="A1103"/>
    </row>
    <row r="1104" spans="1:1" x14ac:dyDescent="0.25">
      <c r="A1104"/>
    </row>
    <row r="1105" spans="1:1" x14ac:dyDescent="0.25">
      <c r="A1105"/>
    </row>
    <row r="1106" spans="1:1" x14ac:dyDescent="0.25">
      <c r="A1106"/>
    </row>
    <row r="1107" spans="1:1" x14ac:dyDescent="0.25">
      <c r="A1107"/>
    </row>
    <row r="1108" spans="1:1" x14ac:dyDescent="0.25">
      <c r="A1108"/>
    </row>
    <row r="1109" spans="1:1" x14ac:dyDescent="0.25">
      <c r="A1109"/>
    </row>
    <row r="1110" spans="1:1" x14ac:dyDescent="0.25">
      <c r="A1110"/>
    </row>
    <row r="1111" spans="1:1" x14ac:dyDescent="0.25">
      <c r="A1111"/>
    </row>
    <row r="1112" spans="1:1" x14ac:dyDescent="0.25">
      <c r="A1112"/>
    </row>
    <row r="1113" spans="1:1" x14ac:dyDescent="0.25">
      <c r="A1113"/>
    </row>
    <row r="1114" spans="1:1" x14ac:dyDescent="0.25">
      <c r="A1114"/>
    </row>
    <row r="1115" spans="1:1" x14ac:dyDescent="0.25">
      <c r="A1115"/>
    </row>
    <row r="1116" spans="1:1" x14ac:dyDescent="0.25">
      <c r="A1116"/>
    </row>
    <row r="1117" spans="1:1" x14ac:dyDescent="0.25">
      <c r="A1117"/>
    </row>
    <row r="1118" spans="1:1" x14ac:dyDescent="0.25">
      <c r="A1118"/>
    </row>
    <row r="1119" spans="1:1" x14ac:dyDescent="0.25">
      <c r="A1119"/>
    </row>
    <row r="1120" spans="1:1" x14ac:dyDescent="0.25">
      <c r="A1120"/>
    </row>
    <row r="1121" spans="1:1" x14ac:dyDescent="0.25">
      <c r="A1121"/>
    </row>
    <row r="1122" spans="1:1" x14ac:dyDescent="0.25">
      <c r="A1122"/>
    </row>
    <row r="1123" spans="1:1" x14ac:dyDescent="0.25">
      <c r="A1123"/>
    </row>
    <row r="1124" spans="1:1" x14ac:dyDescent="0.25">
      <c r="A1124"/>
    </row>
    <row r="1125" spans="1:1" x14ac:dyDescent="0.25">
      <c r="A1125"/>
    </row>
    <row r="1126" spans="1:1" x14ac:dyDescent="0.25">
      <c r="A1126"/>
    </row>
    <row r="1127" spans="1:1" x14ac:dyDescent="0.25">
      <c r="A1127"/>
    </row>
    <row r="1128" spans="1:1" x14ac:dyDescent="0.25">
      <c r="A1128"/>
    </row>
    <row r="1129" spans="1:1" x14ac:dyDescent="0.25">
      <c r="A1129"/>
    </row>
    <row r="1130" spans="1:1" x14ac:dyDescent="0.25">
      <c r="A1130"/>
    </row>
    <row r="1131" spans="1:1" x14ac:dyDescent="0.25">
      <c r="A1131"/>
    </row>
    <row r="1132" spans="1:1" x14ac:dyDescent="0.25">
      <c r="A1132"/>
    </row>
    <row r="1133" spans="1:1" x14ac:dyDescent="0.25">
      <c r="A1133"/>
    </row>
    <row r="1134" spans="1:1" x14ac:dyDescent="0.25">
      <c r="A1134"/>
    </row>
    <row r="1135" spans="1:1" x14ac:dyDescent="0.25">
      <c r="A1135"/>
    </row>
    <row r="1136" spans="1:1" x14ac:dyDescent="0.25">
      <c r="A1136"/>
    </row>
    <row r="1137" spans="1:1" x14ac:dyDescent="0.25">
      <c r="A1137"/>
    </row>
    <row r="1138" spans="1:1" x14ac:dyDescent="0.25">
      <c r="A1138"/>
    </row>
    <row r="1139" spans="1:1" x14ac:dyDescent="0.25">
      <c r="A1139"/>
    </row>
    <row r="1140" spans="1:1" x14ac:dyDescent="0.25">
      <c r="A1140"/>
    </row>
    <row r="1141" spans="1:1" x14ac:dyDescent="0.25">
      <c r="A1141"/>
    </row>
    <row r="1142" spans="1:1" x14ac:dyDescent="0.25">
      <c r="A1142"/>
    </row>
    <row r="1143" spans="1:1" x14ac:dyDescent="0.25">
      <c r="A1143"/>
    </row>
    <row r="1144" spans="1:1" x14ac:dyDescent="0.25">
      <c r="A1144"/>
    </row>
    <row r="1145" spans="1:1" x14ac:dyDescent="0.25">
      <c r="A1145"/>
    </row>
    <row r="1146" spans="1:1" x14ac:dyDescent="0.25">
      <c r="A1146"/>
    </row>
    <row r="1147" spans="1:1" x14ac:dyDescent="0.25">
      <c r="A1147"/>
    </row>
    <row r="1148" spans="1:1" x14ac:dyDescent="0.25">
      <c r="A1148"/>
    </row>
    <row r="1149" spans="1:1" x14ac:dyDescent="0.25">
      <c r="A1149"/>
    </row>
    <row r="1150" spans="1:1" x14ac:dyDescent="0.25">
      <c r="A1150"/>
    </row>
    <row r="1151" spans="1:1" x14ac:dyDescent="0.25">
      <c r="A1151"/>
    </row>
    <row r="1152" spans="1:1" x14ac:dyDescent="0.25">
      <c r="A1152"/>
    </row>
    <row r="1153" spans="1:1" x14ac:dyDescent="0.25">
      <c r="A1153"/>
    </row>
    <row r="1154" spans="1:1" x14ac:dyDescent="0.25">
      <c r="A1154"/>
    </row>
    <row r="1155" spans="1:1" x14ac:dyDescent="0.25">
      <c r="A1155"/>
    </row>
    <row r="1156" spans="1:1" x14ac:dyDescent="0.25">
      <c r="A1156"/>
    </row>
    <row r="1157" spans="1:1" x14ac:dyDescent="0.25">
      <c r="A1157"/>
    </row>
    <row r="1158" spans="1:1" x14ac:dyDescent="0.25">
      <c r="A1158"/>
    </row>
    <row r="1159" spans="1:1" x14ac:dyDescent="0.25">
      <c r="A1159"/>
    </row>
    <row r="1160" spans="1:1" x14ac:dyDescent="0.25">
      <c r="A1160"/>
    </row>
    <row r="1161" spans="1:1" x14ac:dyDescent="0.25">
      <c r="A1161"/>
    </row>
    <row r="1162" spans="1:1" x14ac:dyDescent="0.25">
      <c r="A1162"/>
    </row>
    <row r="1163" spans="1:1" x14ac:dyDescent="0.25">
      <c r="A1163"/>
    </row>
    <row r="1164" spans="1:1" x14ac:dyDescent="0.25">
      <c r="A1164"/>
    </row>
    <row r="1165" spans="1:1" x14ac:dyDescent="0.25">
      <c r="A1165"/>
    </row>
    <row r="1166" spans="1:1" x14ac:dyDescent="0.25">
      <c r="A1166"/>
    </row>
    <row r="1167" spans="1:1" x14ac:dyDescent="0.25">
      <c r="A1167"/>
    </row>
    <row r="1168" spans="1:1" x14ac:dyDescent="0.25">
      <c r="A1168"/>
    </row>
    <row r="1169" spans="1:1" x14ac:dyDescent="0.25">
      <c r="A1169"/>
    </row>
    <row r="1170" spans="1:1" x14ac:dyDescent="0.25">
      <c r="A1170"/>
    </row>
    <row r="1171" spans="1:1" x14ac:dyDescent="0.25">
      <c r="A1171"/>
    </row>
    <row r="1172" spans="1:1" x14ac:dyDescent="0.25">
      <c r="A1172"/>
    </row>
    <row r="1173" spans="1:1" x14ac:dyDescent="0.25">
      <c r="A1173"/>
    </row>
    <row r="1174" spans="1:1" x14ac:dyDescent="0.25">
      <c r="A1174"/>
    </row>
    <row r="1175" spans="1:1" x14ac:dyDescent="0.25">
      <c r="A1175"/>
    </row>
    <row r="1176" spans="1:1" x14ac:dyDescent="0.25">
      <c r="A1176"/>
    </row>
    <row r="1177" spans="1:1" x14ac:dyDescent="0.25">
      <c r="A1177"/>
    </row>
    <row r="1178" spans="1:1" x14ac:dyDescent="0.25">
      <c r="A1178"/>
    </row>
    <row r="1179" spans="1:1" x14ac:dyDescent="0.25">
      <c r="A1179"/>
    </row>
    <row r="1180" spans="1:1" x14ac:dyDescent="0.25">
      <c r="A1180"/>
    </row>
    <row r="1181" spans="1:1" x14ac:dyDescent="0.25">
      <c r="A1181"/>
    </row>
    <row r="1182" spans="1:1" x14ac:dyDescent="0.25">
      <c r="A1182"/>
    </row>
    <row r="1183" spans="1:1" x14ac:dyDescent="0.25">
      <c r="A1183"/>
    </row>
    <row r="1184" spans="1:1" x14ac:dyDescent="0.25">
      <c r="A1184"/>
    </row>
    <row r="1185" spans="1:1" x14ac:dyDescent="0.25">
      <c r="A1185"/>
    </row>
    <row r="1186" spans="1:1" x14ac:dyDescent="0.25">
      <c r="A1186"/>
    </row>
    <row r="1187" spans="1:1" x14ac:dyDescent="0.25">
      <c r="A1187"/>
    </row>
    <row r="1188" spans="1:1" x14ac:dyDescent="0.25">
      <c r="A1188"/>
    </row>
    <row r="1189" spans="1:1" x14ac:dyDescent="0.25">
      <c r="A1189"/>
    </row>
    <row r="1190" spans="1:1" x14ac:dyDescent="0.25">
      <c r="A1190"/>
    </row>
    <row r="1191" spans="1:1" x14ac:dyDescent="0.25">
      <c r="A1191"/>
    </row>
    <row r="1192" spans="1:1" x14ac:dyDescent="0.25">
      <c r="A1192"/>
    </row>
    <row r="1193" spans="1:1" x14ac:dyDescent="0.25">
      <c r="A1193"/>
    </row>
    <row r="1194" spans="1:1" x14ac:dyDescent="0.25">
      <c r="A1194"/>
    </row>
    <row r="1195" spans="1:1" x14ac:dyDescent="0.25">
      <c r="A1195"/>
    </row>
    <row r="1196" spans="1:1" x14ac:dyDescent="0.25">
      <c r="A1196"/>
    </row>
    <row r="1197" spans="1:1" x14ac:dyDescent="0.25">
      <c r="A1197"/>
    </row>
    <row r="1198" spans="1:1" x14ac:dyDescent="0.25">
      <c r="A1198"/>
    </row>
    <row r="1199" spans="1:1" x14ac:dyDescent="0.25">
      <c r="A1199"/>
    </row>
    <row r="1200" spans="1:1" x14ac:dyDescent="0.25">
      <c r="A1200"/>
    </row>
    <row r="1201" spans="1:1" x14ac:dyDescent="0.25">
      <c r="A1201"/>
    </row>
    <row r="1202" spans="1:1" x14ac:dyDescent="0.25">
      <c r="A1202"/>
    </row>
    <row r="1203" spans="1:1" x14ac:dyDescent="0.25">
      <c r="A1203"/>
    </row>
    <row r="1204" spans="1:1" x14ac:dyDescent="0.25">
      <c r="A1204"/>
    </row>
    <row r="1205" spans="1:1" x14ac:dyDescent="0.25">
      <c r="A1205"/>
    </row>
    <row r="1206" spans="1:1" x14ac:dyDescent="0.25">
      <c r="A1206"/>
    </row>
    <row r="1207" spans="1:1" x14ac:dyDescent="0.25">
      <c r="A1207"/>
    </row>
    <row r="1208" spans="1:1" x14ac:dyDescent="0.25">
      <c r="A1208"/>
    </row>
    <row r="1209" spans="1:1" x14ac:dyDescent="0.25">
      <c r="A1209"/>
    </row>
    <row r="1210" spans="1:1" x14ac:dyDescent="0.25">
      <c r="A1210"/>
    </row>
    <row r="1211" spans="1:1" x14ac:dyDescent="0.25">
      <c r="A1211"/>
    </row>
    <row r="1212" spans="1:1" x14ac:dyDescent="0.25">
      <c r="A1212"/>
    </row>
    <row r="1213" spans="1:1" x14ac:dyDescent="0.25">
      <c r="A1213"/>
    </row>
    <row r="1214" spans="1:1" x14ac:dyDescent="0.25">
      <c r="A1214"/>
    </row>
    <row r="1215" spans="1:1" x14ac:dyDescent="0.25">
      <c r="A1215"/>
    </row>
    <row r="1216" spans="1:1" x14ac:dyDescent="0.25">
      <c r="A1216"/>
    </row>
    <row r="1217" spans="1:1" x14ac:dyDescent="0.25">
      <c r="A1217"/>
    </row>
    <row r="1218" spans="1:1" x14ac:dyDescent="0.25">
      <c r="A1218"/>
    </row>
    <row r="1219" spans="1:1" x14ac:dyDescent="0.25">
      <c r="A1219"/>
    </row>
    <row r="1220" spans="1:1" x14ac:dyDescent="0.25">
      <c r="A1220"/>
    </row>
    <row r="1221" spans="1:1" x14ac:dyDescent="0.25">
      <c r="A1221"/>
    </row>
    <row r="1222" spans="1:1" x14ac:dyDescent="0.25">
      <c r="A1222"/>
    </row>
    <row r="1223" spans="1:1" x14ac:dyDescent="0.25">
      <c r="A1223"/>
    </row>
    <row r="1224" spans="1:1" x14ac:dyDescent="0.25">
      <c r="A1224"/>
    </row>
    <row r="1225" spans="1:1" x14ac:dyDescent="0.25">
      <c r="A1225"/>
    </row>
    <row r="1226" spans="1:1" x14ac:dyDescent="0.25">
      <c r="A1226"/>
    </row>
    <row r="1227" spans="1:1" x14ac:dyDescent="0.25">
      <c r="A1227"/>
    </row>
    <row r="1228" spans="1:1" x14ac:dyDescent="0.25">
      <c r="A1228"/>
    </row>
    <row r="1229" spans="1:1" x14ac:dyDescent="0.25">
      <c r="A1229"/>
    </row>
    <row r="1230" spans="1:1" x14ac:dyDescent="0.25">
      <c r="A1230"/>
    </row>
    <row r="1231" spans="1:1" x14ac:dyDescent="0.25">
      <c r="A1231"/>
    </row>
    <row r="1232" spans="1:1" x14ac:dyDescent="0.25">
      <c r="A1232"/>
    </row>
    <row r="1233" spans="1:1" x14ac:dyDescent="0.25">
      <c r="A1233"/>
    </row>
    <row r="1234" spans="1:1" x14ac:dyDescent="0.25">
      <c r="A1234"/>
    </row>
    <row r="1235" spans="1:1" x14ac:dyDescent="0.25">
      <c r="A1235"/>
    </row>
    <row r="1236" spans="1:1" x14ac:dyDescent="0.25">
      <c r="A1236"/>
    </row>
    <row r="1237" spans="1:1" x14ac:dyDescent="0.25">
      <c r="A1237"/>
    </row>
    <row r="1238" spans="1:1" x14ac:dyDescent="0.25">
      <c r="A1238"/>
    </row>
    <row r="1239" spans="1:1" x14ac:dyDescent="0.25">
      <c r="A1239"/>
    </row>
    <row r="1240" spans="1:1" x14ac:dyDescent="0.25">
      <c r="A1240"/>
    </row>
    <row r="1241" spans="1:1" x14ac:dyDescent="0.25">
      <c r="A1241"/>
    </row>
    <row r="1242" spans="1:1" x14ac:dyDescent="0.25">
      <c r="A1242"/>
    </row>
    <row r="1243" spans="1:1" x14ac:dyDescent="0.25">
      <c r="A1243"/>
    </row>
    <row r="1244" spans="1:1" x14ac:dyDescent="0.25">
      <c r="A1244"/>
    </row>
    <row r="1245" spans="1:1" x14ac:dyDescent="0.25">
      <c r="A1245"/>
    </row>
    <row r="1246" spans="1:1" x14ac:dyDescent="0.25">
      <c r="A1246"/>
    </row>
    <row r="1247" spans="1:1" x14ac:dyDescent="0.25">
      <c r="A1247"/>
    </row>
    <row r="1248" spans="1:1" x14ac:dyDescent="0.25">
      <c r="A1248"/>
    </row>
    <row r="1249" spans="1:1" x14ac:dyDescent="0.25">
      <c r="A1249"/>
    </row>
    <row r="1250" spans="1:1" x14ac:dyDescent="0.25">
      <c r="A1250"/>
    </row>
    <row r="1251" spans="1:1" x14ac:dyDescent="0.25">
      <c r="A1251"/>
    </row>
    <row r="1252" spans="1:1" x14ac:dyDescent="0.25">
      <c r="A1252"/>
    </row>
    <row r="1253" spans="1:1" x14ac:dyDescent="0.25">
      <c r="A1253"/>
    </row>
    <row r="1254" spans="1:1" x14ac:dyDescent="0.25">
      <c r="A1254"/>
    </row>
    <row r="1255" spans="1:1" x14ac:dyDescent="0.25">
      <c r="A1255"/>
    </row>
    <row r="1256" spans="1:1" x14ac:dyDescent="0.25">
      <c r="A1256"/>
    </row>
    <row r="1257" spans="1:1" x14ac:dyDescent="0.25">
      <c r="A1257"/>
    </row>
    <row r="1258" spans="1:1" x14ac:dyDescent="0.25">
      <c r="A1258"/>
    </row>
    <row r="1259" spans="1:1" x14ac:dyDescent="0.25">
      <c r="A1259"/>
    </row>
    <row r="1260" spans="1:1" x14ac:dyDescent="0.25">
      <c r="A1260"/>
    </row>
    <row r="1261" spans="1:1" x14ac:dyDescent="0.25">
      <c r="A1261"/>
    </row>
    <row r="1262" spans="1:1" x14ac:dyDescent="0.25">
      <c r="A1262"/>
    </row>
    <row r="1263" spans="1:1" x14ac:dyDescent="0.25">
      <c r="A1263"/>
    </row>
    <row r="1264" spans="1:1" x14ac:dyDescent="0.25">
      <c r="A1264"/>
    </row>
    <row r="1265" spans="1:1" x14ac:dyDescent="0.25">
      <c r="A1265"/>
    </row>
    <row r="1266" spans="1:1" x14ac:dyDescent="0.25">
      <c r="A1266"/>
    </row>
    <row r="1267" spans="1:1" x14ac:dyDescent="0.25">
      <c r="A1267"/>
    </row>
    <row r="1268" spans="1:1" x14ac:dyDescent="0.25">
      <c r="A1268"/>
    </row>
    <row r="1269" spans="1:1" x14ac:dyDescent="0.25">
      <c r="A1269"/>
    </row>
    <row r="1270" spans="1:1" x14ac:dyDescent="0.25">
      <c r="A1270"/>
    </row>
    <row r="1271" spans="1:1" x14ac:dyDescent="0.25">
      <c r="A1271"/>
    </row>
    <row r="1272" spans="1:1" x14ac:dyDescent="0.25">
      <c r="A1272"/>
    </row>
    <row r="1273" spans="1:1" x14ac:dyDescent="0.25">
      <c r="A1273"/>
    </row>
    <row r="1274" spans="1:1" x14ac:dyDescent="0.25">
      <c r="A1274"/>
    </row>
    <row r="1275" spans="1:1" x14ac:dyDescent="0.25">
      <c r="A1275"/>
    </row>
    <row r="1276" spans="1:1" x14ac:dyDescent="0.25">
      <c r="A1276"/>
    </row>
    <row r="1277" spans="1:1" x14ac:dyDescent="0.25">
      <c r="A1277"/>
    </row>
    <row r="1278" spans="1:1" x14ac:dyDescent="0.25">
      <c r="A1278"/>
    </row>
    <row r="1279" spans="1:1" x14ac:dyDescent="0.25">
      <c r="A1279"/>
    </row>
    <row r="1280" spans="1:1" x14ac:dyDescent="0.25">
      <c r="A1280"/>
    </row>
    <row r="1281" spans="1:1" x14ac:dyDescent="0.25">
      <c r="A1281"/>
    </row>
    <row r="1282" spans="1:1" x14ac:dyDescent="0.25">
      <c r="A1282"/>
    </row>
    <row r="1283" spans="1:1" x14ac:dyDescent="0.25">
      <c r="A1283"/>
    </row>
    <row r="1284" spans="1:1" x14ac:dyDescent="0.25">
      <c r="A1284"/>
    </row>
    <row r="1285" spans="1:1" x14ac:dyDescent="0.25">
      <c r="A1285"/>
    </row>
    <row r="1286" spans="1:1" x14ac:dyDescent="0.25">
      <c r="A1286"/>
    </row>
    <row r="1287" spans="1:1" x14ac:dyDescent="0.25">
      <c r="A1287"/>
    </row>
    <row r="1288" spans="1:1" x14ac:dyDescent="0.25">
      <c r="A1288"/>
    </row>
    <row r="1289" spans="1:1" x14ac:dyDescent="0.25">
      <c r="A1289"/>
    </row>
    <row r="1290" spans="1:1" x14ac:dyDescent="0.25">
      <c r="A1290"/>
    </row>
    <row r="1291" spans="1:1" x14ac:dyDescent="0.25">
      <c r="A1291"/>
    </row>
    <row r="1292" spans="1:1" x14ac:dyDescent="0.25">
      <c r="A1292"/>
    </row>
    <row r="1293" spans="1:1" x14ac:dyDescent="0.25">
      <c r="A1293"/>
    </row>
    <row r="1294" spans="1:1" x14ac:dyDescent="0.25">
      <c r="A1294"/>
    </row>
    <row r="1295" spans="1:1" x14ac:dyDescent="0.25">
      <c r="A1295"/>
    </row>
    <row r="1296" spans="1:1" x14ac:dyDescent="0.25">
      <c r="A1296"/>
    </row>
    <row r="1297" spans="1:1" x14ac:dyDescent="0.25">
      <c r="A1297"/>
    </row>
    <row r="1298" spans="1:1" x14ac:dyDescent="0.25">
      <c r="A1298"/>
    </row>
    <row r="1299" spans="1:1" x14ac:dyDescent="0.25">
      <c r="A1299"/>
    </row>
    <row r="1300" spans="1:1" x14ac:dyDescent="0.25">
      <c r="A1300"/>
    </row>
    <row r="1301" spans="1:1" x14ac:dyDescent="0.25">
      <c r="A1301"/>
    </row>
    <row r="1302" spans="1:1" x14ac:dyDescent="0.25">
      <c r="A1302"/>
    </row>
    <row r="1303" spans="1:1" x14ac:dyDescent="0.25">
      <c r="A1303"/>
    </row>
    <row r="1304" spans="1:1" x14ac:dyDescent="0.25">
      <c r="A1304"/>
    </row>
    <row r="1305" spans="1:1" x14ac:dyDescent="0.25">
      <c r="A1305"/>
    </row>
    <row r="1306" spans="1:1" x14ac:dyDescent="0.25">
      <c r="A1306"/>
    </row>
    <row r="1307" spans="1:1" x14ac:dyDescent="0.25">
      <c r="A1307"/>
    </row>
    <row r="1308" spans="1:1" x14ac:dyDescent="0.25">
      <c r="A1308"/>
    </row>
    <row r="1309" spans="1:1" x14ac:dyDescent="0.25">
      <c r="A1309"/>
    </row>
    <row r="1310" spans="1:1" x14ac:dyDescent="0.25">
      <c r="A1310"/>
    </row>
    <row r="1311" spans="1:1" x14ac:dyDescent="0.25">
      <c r="A1311"/>
    </row>
    <row r="1312" spans="1:1" x14ac:dyDescent="0.25">
      <c r="A1312"/>
    </row>
    <row r="1313" spans="1:1" x14ac:dyDescent="0.25">
      <c r="A1313"/>
    </row>
    <row r="1314" spans="1:1" x14ac:dyDescent="0.25">
      <c r="A1314"/>
    </row>
    <row r="1315" spans="1:1" x14ac:dyDescent="0.25">
      <c r="A1315"/>
    </row>
    <row r="1316" spans="1:1" x14ac:dyDescent="0.25">
      <c r="A1316"/>
    </row>
    <row r="1317" spans="1:1" x14ac:dyDescent="0.25">
      <c r="A1317"/>
    </row>
    <row r="1318" spans="1:1" x14ac:dyDescent="0.25">
      <c r="A1318"/>
    </row>
    <row r="1319" spans="1:1" x14ac:dyDescent="0.25">
      <c r="A1319"/>
    </row>
    <row r="1320" spans="1:1" x14ac:dyDescent="0.25">
      <c r="A1320"/>
    </row>
    <row r="1321" spans="1:1" x14ac:dyDescent="0.25">
      <c r="A1321"/>
    </row>
    <row r="1322" spans="1:1" x14ac:dyDescent="0.25">
      <c r="A1322"/>
    </row>
    <row r="1323" spans="1:1" x14ac:dyDescent="0.25">
      <c r="A1323"/>
    </row>
    <row r="1324" spans="1:1" x14ac:dyDescent="0.25">
      <c r="A1324"/>
    </row>
    <row r="1325" spans="1:1" x14ac:dyDescent="0.25">
      <c r="A1325"/>
    </row>
    <row r="1326" spans="1:1" x14ac:dyDescent="0.25">
      <c r="A1326"/>
    </row>
    <row r="1327" spans="1:1" x14ac:dyDescent="0.25">
      <c r="A1327"/>
    </row>
    <row r="1328" spans="1:1" x14ac:dyDescent="0.25">
      <c r="A1328"/>
    </row>
    <row r="1329" spans="1:1" x14ac:dyDescent="0.25">
      <c r="A1329"/>
    </row>
    <row r="1330" spans="1:1" x14ac:dyDescent="0.25">
      <c r="A1330"/>
    </row>
    <row r="1331" spans="1:1" x14ac:dyDescent="0.25">
      <c r="A1331"/>
    </row>
    <row r="1332" spans="1:1" x14ac:dyDescent="0.25">
      <c r="A1332"/>
    </row>
    <row r="1333" spans="1:1" x14ac:dyDescent="0.25">
      <c r="A1333"/>
    </row>
    <row r="1334" spans="1:1" x14ac:dyDescent="0.25">
      <c r="A1334"/>
    </row>
    <row r="1335" spans="1:1" x14ac:dyDescent="0.25">
      <c r="A1335"/>
    </row>
    <row r="1336" spans="1:1" x14ac:dyDescent="0.25">
      <c r="A1336"/>
    </row>
    <row r="1337" spans="1:1" x14ac:dyDescent="0.25">
      <c r="A1337"/>
    </row>
    <row r="1338" spans="1:1" x14ac:dyDescent="0.25">
      <c r="A1338"/>
    </row>
    <row r="1339" spans="1:1" x14ac:dyDescent="0.25">
      <c r="A1339"/>
    </row>
    <row r="1340" spans="1:1" x14ac:dyDescent="0.25">
      <c r="A1340"/>
    </row>
    <row r="1341" spans="1:1" x14ac:dyDescent="0.25">
      <c r="A1341"/>
    </row>
    <row r="1342" spans="1:1" x14ac:dyDescent="0.25">
      <c r="A1342"/>
    </row>
    <row r="1343" spans="1:1" x14ac:dyDescent="0.25">
      <c r="A1343"/>
    </row>
    <row r="1344" spans="1:1" x14ac:dyDescent="0.25">
      <c r="A1344"/>
    </row>
    <row r="1345" spans="1:1" x14ac:dyDescent="0.25">
      <c r="A1345"/>
    </row>
    <row r="1346" spans="1:1" x14ac:dyDescent="0.25">
      <c r="A1346"/>
    </row>
    <row r="1347" spans="1:1" x14ac:dyDescent="0.25">
      <c r="A1347"/>
    </row>
    <row r="1348" spans="1:1" x14ac:dyDescent="0.25">
      <c r="A1348"/>
    </row>
    <row r="1349" spans="1:1" x14ac:dyDescent="0.25">
      <c r="A1349"/>
    </row>
    <row r="1350" spans="1:1" x14ac:dyDescent="0.25">
      <c r="A1350"/>
    </row>
    <row r="1351" spans="1:1" x14ac:dyDescent="0.25">
      <c r="A1351"/>
    </row>
    <row r="1352" spans="1:1" x14ac:dyDescent="0.25">
      <c r="A1352"/>
    </row>
    <row r="1353" spans="1:1" x14ac:dyDescent="0.25">
      <c r="A1353"/>
    </row>
    <row r="1354" spans="1:1" x14ac:dyDescent="0.25">
      <c r="A1354"/>
    </row>
    <row r="1355" spans="1:1" x14ac:dyDescent="0.25">
      <c r="A1355"/>
    </row>
    <row r="1356" spans="1:1" x14ac:dyDescent="0.25">
      <c r="A1356"/>
    </row>
    <row r="1357" spans="1:1" x14ac:dyDescent="0.25">
      <c r="A1357"/>
    </row>
    <row r="1358" spans="1:1" x14ac:dyDescent="0.25">
      <c r="A1358"/>
    </row>
    <row r="1359" spans="1:1" x14ac:dyDescent="0.25">
      <c r="A1359"/>
    </row>
    <row r="1360" spans="1:1" x14ac:dyDescent="0.25">
      <c r="A1360"/>
    </row>
    <row r="1361" spans="1:1" x14ac:dyDescent="0.25">
      <c r="A1361"/>
    </row>
    <row r="1362" spans="1:1" x14ac:dyDescent="0.25">
      <c r="A1362"/>
    </row>
    <row r="1363" spans="1:1" x14ac:dyDescent="0.25">
      <c r="A1363"/>
    </row>
    <row r="1364" spans="1:1" x14ac:dyDescent="0.25">
      <c r="A1364"/>
    </row>
    <row r="1365" spans="1:1" x14ac:dyDescent="0.25">
      <c r="A1365"/>
    </row>
    <row r="1366" spans="1:1" x14ac:dyDescent="0.25">
      <c r="A1366"/>
    </row>
    <row r="1367" spans="1:1" x14ac:dyDescent="0.25">
      <c r="A1367"/>
    </row>
    <row r="1368" spans="1:1" x14ac:dyDescent="0.25">
      <c r="A1368"/>
    </row>
    <row r="1369" spans="1:1" x14ac:dyDescent="0.25">
      <c r="A1369"/>
    </row>
    <row r="1370" spans="1:1" x14ac:dyDescent="0.25">
      <c r="A1370"/>
    </row>
    <row r="1371" spans="1:1" x14ac:dyDescent="0.25">
      <c r="A1371"/>
    </row>
    <row r="1372" spans="1:1" x14ac:dyDescent="0.25">
      <c r="A1372"/>
    </row>
    <row r="1373" spans="1:1" x14ac:dyDescent="0.25">
      <c r="A1373"/>
    </row>
    <row r="1374" spans="1:1" x14ac:dyDescent="0.25">
      <c r="A1374"/>
    </row>
    <row r="1375" spans="1:1" x14ac:dyDescent="0.25">
      <c r="A1375"/>
    </row>
    <row r="1376" spans="1:1" x14ac:dyDescent="0.25">
      <c r="A1376"/>
    </row>
    <row r="1377" spans="1:1" x14ac:dyDescent="0.25">
      <c r="A1377"/>
    </row>
    <row r="1378" spans="1:1" x14ac:dyDescent="0.25">
      <c r="A1378"/>
    </row>
    <row r="1379" spans="1:1" x14ac:dyDescent="0.25">
      <c r="A1379"/>
    </row>
    <row r="1380" spans="1:1" x14ac:dyDescent="0.25">
      <c r="A1380"/>
    </row>
    <row r="1381" spans="1:1" x14ac:dyDescent="0.25">
      <c r="A1381"/>
    </row>
    <row r="1382" spans="1:1" x14ac:dyDescent="0.25">
      <c r="A1382"/>
    </row>
    <row r="1383" spans="1:1" x14ac:dyDescent="0.25">
      <c r="A1383"/>
    </row>
    <row r="1384" spans="1:1" x14ac:dyDescent="0.25">
      <c r="A1384"/>
    </row>
    <row r="1385" spans="1:1" x14ac:dyDescent="0.25">
      <c r="A1385"/>
    </row>
    <row r="1386" spans="1:1" x14ac:dyDescent="0.25">
      <c r="A1386"/>
    </row>
    <row r="1387" spans="1:1" x14ac:dyDescent="0.25">
      <c r="A1387"/>
    </row>
    <row r="1388" spans="1:1" x14ac:dyDescent="0.25">
      <c r="A1388"/>
    </row>
    <row r="1389" spans="1:1" x14ac:dyDescent="0.25">
      <c r="A1389"/>
    </row>
    <row r="1390" spans="1:1" x14ac:dyDescent="0.25">
      <c r="A1390"/>
    </row>
    <row r="1391" spans="1:1" x14ac:dyDescent="0.25">
      <c r="A1391"/>
    </row>
    <row r="1392" spans="1:1" x14ac:dyDescent="0.25">
      <c r="A1392"/>
    </row>
    <row r="1393" spans="1:1" x14ac:dyDescent="0.25">
      <c r="A1393"/>
    </row>
    <row r="1394" spans="1:1" x14ac:dyDescent="0.25">
      <c r="A1394"/>
    </row>
    <row r="1395" spans="1:1" x14ac:dyDescent="0.25">
      <c r="A1395"/>
    </row>
    <row r="1396" spans="1:1" x14ac:dyDescent="0.25">
      <c r="A1396"/>
    </row>
    <row r="1397" spans="1:1" x14ac:dyDescent="0.25">
      <c r="A1397"/>
    </row>
    <row r="1398" spans="1:1" x14ac:dyDescent="0.25">
      <c r="A1398"/>
    </row>
    <row r="1399" spans="1:1" x14ac:dyDescent="0.25">
      <c r="A1399"/>
    </row>
    <row r="1400" spans="1:1" x14ac:dyDescent="0.25">
      <c r="A1400"/>
    </row>
    <row r="1401" spans="1:1" x14ac:dyDescent="0.25">
      <c r="A1401"/>
    </row>
    <row r="1402" spans="1:1" x14ac:dyDescent="0.25">
      <c r="A1402"/>
    </row>
    <row r="1403" spans="1:1" x14ac:dyDescent="0.25">
      <c r="A1403"/>
    </row>
    <row r="1404" spans="1:1" x14ac:dyDescent="0.25">
      <c r="A1404"/>
    </row>
    <row r="1405" spans="1:1" x14ac:dyDescent="0.25">
      <c r="A1405"/>
    </row>
    <row r="1406" spans="1:1" x14ac:dyDescent="0.25">
      <c r="A1406"/>
    </row>
    <row r="1407" spans="1:1" x14ac:dyDescent="0.25">
      <c r="A1407"/>
    </row>
    <row r="1408" spans="1:1" x14ac:dyDescent="0.25">
      <c r="A1408"/>
    </row>
    <row r="1409" spans="1:1" x14ac:dyDescent="0.25">
      <c r="A1409"/>
    </row>
    <row r="1410" spans="1:1" x14ac:dyDescent="0.25">
      <c r="A1410"/>
    </row>
    <row r="1411" spans="1:1" x14ac:dyDescent="0.25">
      <c r="A1411"/>
    </row>
    <row r="1412" spans="1:1" x14ac:dyDescent="0.25">
      <c r="A1412"/>
    </row>
    <row r="1413" spans="1:1" x14ac:dyDescent="0.25">
      <c r="A1413"/>
    </row>
    <row r="1414" spans="1:1" x14ac:dyDescent="0.25">
      <c r="A1414"/>
    </row>
    <row r="1415" spans="1:1" x14ac:dyDescent="0.25">
      <c r="A1415"/>
    </row>
    <row r="1416" spans="1:1" x14ac:dyDescent="0.25">
      <c r="A1416"/>
    </row>
    <row r="1417" spans="1:1" x14ac:dyDescent="0.25">
      <c r="A1417"/>
    </row>
    <row r="1418" spans="1:1" x14ac:dyDescent="0.25">
      <c r="A1418"/>
    </row>
    <row r="1419" spans="1:1" x14ac:dyDescent="0.25">
      <c r="A1419"/>
    </row>
    <row r="1420" spans="1:1" x14ac:dyDescent="0.25">
      <c r="A1420"/>
    </row>
    <row r="1421" spans="1:1" x14ac:dyDescent="0.25">
      <c r="A1421"/>
    </row>
    <row r="1422" spans="1:1" x14ac:dyDescent="0.25">
      <c r="A1422"/>
    </row>
    <row r="1423" spans="1:1" x14ac:dyDescent="0.25">
      <c r="A1423"/>
    </row>
    <row r="1424" spans="1:1" x14ac:dyDescent="0.25">
      <c r="A1424"/>
    </row>
    <row r="1425" spans="1:1" x14ac:dyDescent="0.25">
      <c r="A1425"/>
    </row>
    <row r="1426" spans="1:1" x14ac:dyDescent="0.25">
      <c r="A1426"/>
    </row>
    <row r="1427" spans="1:1" x14ac:dyDescent="0.25">
      <c r="A1427"/>
    </row>
    <row r="1428" spans="1:1" x14ac:dyDescent="0.25">
      <c r="A1428"/>
    </row>
    <row r="1429" spans="1:1" x14ac:dyDescent="0.25">
      <c r="A1429"/>
    </row>
    <row r="1430" spans="1:1" x14ac:dyDescent="0.25">
      <c r="A1430"/>
    </row>
    <row r="1431" spans="1:1" x14ac:dyDescent="0.25">
      <c r="A1431"/>
    </row>
    <row r="1432" spans="1:1" x14ac:dyDescent="0.25">
      <c r="A1432"/>
    </row>
    <row r="1433" spans="1:1" x14ac:dyDescent="0.25">
      <c r="A1433"/>
    </row>
    <row r="1434" spans="1:1" x14ac:dyDescent="0.25">
      <c r="A1434"/>
    </row>
    <row r="1435" spans="1:1" x14ac:dyDescent="0.25">
      <c r="A1435"/>
    </row>
    <row r="1436" spans="1:1" x14ac:dyDescent="0.25">
      <c r="A1436"/>
    </row>
    <row r="1437" spans="1:1" x14ac:dyDescent="0.25">
      <c r="A1437"/>
    </row>
    <row r="1438" spans="1:1" x14ac:dyDescent="0.25">
      <c r="A1438"/>
    </row>
    <row r="1439" spans="1:1" x14ac:dyDescent="0.25">
      <c r="A1439"/>
    </row>
    <row r="1440" spans="1:1" x14ac:dyDescent="0.25">
      <c r="A1440"/>
    </row>
    <row r="1441" spans="1:1" x14ac:dyDescent="0.25">
      <c r="A1441"/>
    </row>
    <row r="1442" spans="1:1" x14ac:dyDescent="0.25">
      <c r="A1442"/>
    </row>
    <row r="1443" spans="1:1" x14ac:dyDescent="0.25">
      <c r="A1443"/>
    </row>
    <row r="1444" spans="1:1" x14ac:dyDescent="0.25">
      <c r="A1444"/>
    </row>
    <row r="1445" spans="1:1" x14ac:dyDescent="0.25">
      <c r="A1445"/>
    </row>
    <row r="1446" spans="1:1" x14ac:dyDescent="0.25">
      <c r="A1446"/>
    </row>
    <row r="1447" spans="1:1" x14ac:dyDescent="0.25">
      <c r="A1447"/>
    </row>
    <row r="1448" spans="1:1" x14ac:dyDescent="0.25">
      <c r="A1448"/>
    </row>
    <row r="1449" spans="1:1" x14ac:dyDescent="0.25">
      <c r="A1449"/>
    </row>
    <row r="1450" spans="1:1" x14ac:dyDescent="0.25">
      <c r="A1450"/>
    </row>
    <row r="1451" spans="1:1" x14ac:dyDescent="0.25">
      <c r="A1451"/>
    </row>
    <row r="1452" spans="1:1" x14ac:dyDescent="0.25">
      <c r="A1452"/>
    </row>
    <row r="1453" spans="1:1" x14ac:dyDescent="0.25">
      <c r="A1453"/>
    </row>
    <row r="1454" spans="1:1" x14ac:dyDescent="0.25">
      <c r="A1454"/>
    </row>
    <row r="1455" spans="1:1" x14ac:dyDescent="0.25">
      <c r="A1455"/>
    </row>
    <row r="1456" spans="1:1" x14ac:dyDescent="0.25">
      <c r="A1456"/>
    </row>
    <row r="1457" spans="1:1" x14ac:dyDescent="0.25">
      <c r="A1457"/>
    </row>
    <row r="1458" spans="1:1" x14ac:dyDescent="0.25">
      <c r="A1458"/>
    </row>
    <row r="1459" spans="1:1" x14ac:dyDescent="0.25">
      <c r="A1459"/>
    </row>
    <row r="1460" spans="1:1" x14ac:dyDescent="0.25">
      <c r="A1460"/>
    </row>
    <row r="1461" spans="1:1" x14ac:dyDescent="0.25">
      <c r="A1461"/>
    </row>
    <row r="1462" spans="1:1" x14ac:dyDescent="0.25">
      <c r="A1462"/>
    </row>
    <row r="1463" spans="1:1" x14ac:dyDescent="0.25">
      <c r="A1463"/>
    </row>
    <row r="1464" spans="1:1" x14ac:dyDescent="0.25">
      <c r="A1464"/>
    </row>
    <row r="1465" spans="1:1" x14ac:dyDescent="0.25">
      <c r="A1465"/>
    </row>
    <row r="1466" spans="1:1" x14ac:dyDescent="0.25">
      <c r="A1466"/>
    </row>
    <row r="1467" spans="1:1" x14ac:dyDescent="0.25">
      <c r="A1467"/>
    </row>
    <row r="1468" spans="1:1" x14ac:dyDescent="0.25">
      <c r="A1468"/>
    </row>
    <row r="1469" spans="1:1" x14ac:dyDescent="0.25">
      <c r="A1469"/>
    </row>
    <row r="1470" spans="1:1" x14ac:dyDescent="0.25">
      <c r="A1470"/>
    </row>
    <row r="1471" spans="1:1" x14ac:dyDescent="0.25">
      <c r="A1471"/>
    </row>
    <row r="1472" spans="1:1" x14ac:dyDescent="0.25">
      <c r="A1472"/>
    </row>
    <row r="1473" spans="1:1" x14ac:dyDescent="0.25">
      <c r="A1473"/>
    </row>
    <row r="1474" spans="1:1" x14ac:dyDescent="0.25">
      <c r="A1474"/>
    </row>
    <row r="1475" spans="1:1" x14ac:dyDescent="0.25">
      <c r="A1475"/>
    </row>
    <row r="1476" spans="1:1" x14ac:dyDescent="0.25">
      <c r="A1476"/>
    </row>
    <row r="1477" spans="1:1" x14ac:dyDescent="0.25">
      <c r="A1477"/>
    </row>
    <row r="1478" spans="1:1" x14ac:dyDescent="0.25">
      <c r="A1478"/>
    </row>
    <row r="1479" spans="1:1" x14ac:dyDescent="0.25">
      <c r="A1479"/>
    </row>
    <row r="1480" spans="1:1" x14ac:dyDescent="0.25">
      <c r="A1480"/>
    </row>
    <row r="1481" spans="1:1" x14ac:dyDescent="0.25">
      <c r="A1481"/>
    </row>
    <row r="1482" spans="1:1" x14ac:dyDescent="0.25">
      <c r="A1482"/>
    </row>
    <row r="1483" spans="1:1" x14ac:dyDescent="0.25">
      <c r="A1483"/>
    </row>
    <row r="1484" spans="1:1" x14ac:dyDescent="0.25">
      <c r="A1484"/>
    </row>
    <row r="1485" spans="1:1" x14ac:dyDescent="0.25">
      <c r="A1485"/>
    </row>
    <row r="1486" spans="1:1" x14ac:dyDescent="0.25">
      <c r="A1486"/>
    </row>
    <row r="1487" spans="1:1" x14ac:dyDescent="0.25">
      <c r="A1487"/>
    </row>
    <row r="1488" spans="1:1" x14ac:dyDescent="0.25">
      <c r="A1488"/>
    </row>
    <row r="1489" spans="1:1" x14ac:dyDescent="0.25">
      <c r="A1489"/>
    </row>
    <row r="1490" spans="1:1" x14ac:dyDescent="0.25">
      <c r="A1490"/>
    </row>
    <row r="1491" spans="1:1" x14ac:dyDescent="0.25">
      <c r="A1491"/>
    </row>
    <row r="1492" spans="1:1" x14ac:dyDescent="0.25">
      <c r="A1492"/>
    </row>
    <row r="1493" spans="1:1" x14ac:dyDescent="0.25">
      <c r="A1493"/>
    </row>
    <row r="1494" spans="1:1" x14ac:dyDescent="0.25">
      <c r="A1494"/>
    </row>
    <row r="1495" spans="1:1" x14ac:dyDescent="0.25">
      <c r="A1495"/>
    </row>
    <row r="1496" spans="1:1" x14ac:dyDescent="0.25">
      <c r="A1496"/>
    </row>
    <row r="1497" spans="1:1" x14ac:dyDescent="0.25">
      <c r="A1497"/>
    </row>
    <row r="1498" spans="1:1" x14ac:dyDescent="0.25">
      <c r="A1498"/>
    </row>
    <row r="1499" spans="1:1" x14ac:dyDescent="0.25">
      <c r="A1499"/>
    </row>
    <row r="1500" spans="1:1" x14ac:dyDescent="0.25">
      <c r="A1500"/>
    </row>
    <row r="1501" spans="1:1" x14ac:dyDescent="0.25">
      <c r="A1501"/>
    </row>
    <row r="1502" spans="1:1" x14ac:dyDescent="0.25">
      <c r="A1502"/>
    </row>
    <row r="1503" spans="1:1" x14ac:dyDescent="0.25">
      <c r="A1503"/>
    </row>
    <row r="1504" spans="1:1" x14ac:dyDescent="0.25">
      <c r="A1504"/>
    </row>
    <row r="1505" spans="1:1" x14ac:dyDescent="0.25">
      <c r="A1505"/>
    </row>
    <row r="1506" spans="1:1" x14ac:dyDescent="0.25">
      <c r="A1506"/>
    </row>
    <row r="1507" spans="1:1" x14ac:dyDescent="0.25">
      <c r="A1507"/>
    </row>
    <row r="1508" spans="1:1" x14ac:dyDescent="0.25">
      <c r="A1508"/>
    </row>
    <row r="1509" spans="1:1" x14ac:dyDescent="0.25">
      <c r="A1509"/>
    </row>
    <row r="1510" spans="1:1" x14ac:dyDescent="0.25">
      <c r="A1510"/>
    </row>
    <row r="1511" spans="1:1" x14ac:dyDescent="0.25">
      <c r="A1511"/>
    </row>
    <row r="1512" spans="1:1" x14ac:dyDescent="0.25">
      <c r="A1512"/>
    </row>
    <row r="1513" spans="1:1" x14ac:dyDescent="0.25">
      <c r="A1513"/>
    </row>
    <row r="1514" spans="1:1" x14ac:dyDescent="0.25">
      <c r="A1514"/>
    </row>
    <row r="1515" spans="1:1" x14ac:dyDescent="0.25">
      <c r="A1515"/>
    </row>
    <row r="1516" spans="1:1" x14ac:dyDescent="0.25">
      <c r="A1516"/>
    </row>
    <row r="1517" spans="1:1" x14ac:dyDescent="0.25">
      <c r="A1517"/>
    </row>
    <row r="1518" spans="1:1" x14ac:dyDescent="0.25">
      <c r="A1518"/>
    </row>
    <row r="1519" spans="1:1" x14ac:dyDescent="0.25">
      <c r="A1519"/>
    </row>
    <row r="1520" spans="1:1" x14ac:dyDescent="0.25">
      <c r="A1520"/>
    </row>
    <row r="1521" spans="1:1" x14ac:dyDescent="0.25">
      <c r="A1521"/>
    </row>
    <row r="1522" spans="1:1" x14ac:dyDescent="0.25">
      <c r="A1522"/>
    </row>
    <row r="1523" spans="1:1" x14ac:dyDescent="0.25">
      <c r="A1523"/>
    </row>
    <row r="1524" spans="1:1" x14ac:dyDescent="0.25">
      <c r="A1524"/>
    </row>
    <row r="1525" spans="1:1" x14ac:dyDescent="0.25">
      <c r="A1525"/>
    </row>
    <row r="1526" spans="1:1" x14ac:dyDescent="0.25">
      <c r="A1526"/>
    </row>
    <row r="1527" spans="1:1" x14ac:dyDescent="0.25">
      <c r="A1527"/>
    </row>
    <row r="1528" spans="1:1" x14ac:dyDescent="0.25">
      <c r="A1528"/>
    </row>
    <row r="1529" spans="1:1" x14ac:dyDescent="0.25">
      <c r="A1529"/>
    </row>
    <row r="1530" spans="1:1" x14ac:dyDescent="0.25">
      <c r="A1530"/>
    </row>
    <row r="1531" spans="1:1" x14ac:dyDescent="0.25">
      <c r="A1531"/>
    </row>
    <row r="1532" spans="1:1" x14ac:dyDescent="0.25">
      <c r="A1532"/>
    </row>
    <row r="1533" spans="1:1" x14ac:dyDescent="0.25">
      <c r="A1533"/>
    </row>
    <row r="1534" spans="1:1" x14ac:dyDescent="0.25">
      <c r="A1534"/>
    </row>
    <row r="1535" spans="1:1" x14ac:dyDescent="0.25">
      <c r="A1535"/>
    </row>
    <row r="1536" spans="1:1" x14ac:dyDescent="0.25">
      <c r="A1536"/>
    </row>
    <row r="1537" spans="1:1" x14ac:dyDescent="0.25">
      <c r="A1537"/>
    </row>
    <row r="1538" spans="1:1" x14ac:dyDescent="0.25">
      <c r="A1538"/>
    </row>
    <row r="1539" spans="1:1" x14ac:dyDescent="0.25">
      <c r="A1539"/>
    </row>
    <row r="1540" spans="1:1" x14ac:dyDescent="0.25">
      <c r="A1540"/>
    </row>
    <row r="1541" spans="1:1" x14ac:dyDescent="0.25">
      <c r="A1541"/>
    </row>
    <row r="1542" spans="1:1" x14ac:dyDescent="0.25">
      <c r="A1542"/>
    </row>
    <row r="1543" spans="1:1" x14ac:dyDescent="0.25">
      <c r="A1543"/>
    </row>
    <row r="1544" spans="1:1" x14ac:dyDescent="0.25">
      <c r="A1544"/>
    </row>
  </sheetData>
  <mergeCells count="4">
    <mergeCell ref="A18:D18"/>
    <mergeCell ref="A1:C1"/>
    <mergeCell ref="A43:B43"/>
    <mergeCell ref="A35:E35"/>
  </mergeCells>
  <conditionalFormatting sqref="E37:E39">
    <cfRule type="cellIs" dxfId="4" priority="9" operator="greaterThan">
      <formula>1</formula>
    </cfRule>
    <cfRule type="cellIs" dxfId="3" priority="10" operator="lessThan">
      <formula>1</formula>
    </cfRule>
  </conditionalFormatting>
  <conditionalFormatting sqref="B20:B31">
    <cfRule type="expression" dxfId="2" priority="3">
      <formula>B20&gt;E20</formula>
    </cfRule>
  </conditionalFormatting>
  <conditionalFormatting sqref="C20:C31">
    <cfRule type="expression" dxfId="1" priority="2">
      <formula>C20&gt;F20</formula>
    </cfRule>
  </conditionalFormatting>
  <conditionalFormatting sqref="D20:D31">
    <cfRule type="expression" dxfId="0" priority="1">
      <formula>D20&gt;G20</formula>
    </cfRule>
  </conditionalFormatting>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6D8C3-1B23-49AB-903B-989FEA80AA26}">
  <sheetPr codeName="Sheet6"/>
  <dimension ref="A2:A15"/>
  <sheetViews>
    <sheetView workbookViewId="0">
      <selection activeCell="A11" sqref="A11"/>
    </sheetView>
  </sheetViews>
  <sheetFormatPr defaultRowHeight="15" x14ac:dyDescent="0.25"/>
  <cols>
    <col min="1" max="1" width="16.5703125" bestFit="1" customWidth="1"/>
    <col min="2" max="2" width="5" bestFit="1" customWidth="1"/>
  </cols>
  <sheetData>
    <row r="2" spans="1:1" x14ac:dyDescent="0.25">
      <c r="A2" t="s">
        <v>944</v>
      </c>
    </row>
    <row r="3" spans="1:1" x14ac:dyDescent="0.25">
      <c r="A3" s="6">
        <v>431502</v>
      </c>
    </row>
    <row r="6" spans="1:1" x14ac:dyDescent="0.25">
      <c r="A6" t="s">
        <v>946</v>
      </c>
    </row>
    <row r="7" spans="1:1" x14ac:dyDescent="0.25">
      <c r="A7" s="15">
        <v>1500</v>
      </c>
    </row>
    <row r="10" spans="1:1" x14ac:dyDescent="0.25">
      <c r="A10" t="s">
        <v>945</v>
      </c>
    </row>
    <row r="11" spans="1:1" x14ac:dyDescent="0.25">
      <c r="A11" s="6">
        <v>23955</v>
      </c>
    </row>
    <row r="14" spans="1:1" x14ac:dyDescent="0.25">
      <c r="A14" t="s">
        <v>948</v>
      </c>
    </row>
    <row r="15" spans="1:1" x14ac:dyDescent="0.25">
      <c r="A15" s="17">
        <v>287.66800000000001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BB558-49AA-469A-AFA0-762FF3D4DEB5}">
  <sheetPr codeName="Sheet7"/>
  <dimension ref="A1:C92"/>
  <sheetViews>
    <sheetView zoomScale="90" zoomScaleNormal="90" workbookViewId="0">
      <selection activeCell="O29" sqref="O29"/>
    </sheetView>
  </sheetViews>
  <sheetFormatPr defaultRowHeight="15" x14ac:dyDescent="0.25"/>
  <cols>
    <col min="1" max="1" width="16.28515625" bestFit="1" customWidth="1"/>
    <col min="2" max="2" width="15.5703125" bestFit="1" customWidth="1"/>
    <col min="3" max="3" width="14.42578125" bestFit="1" customWidth="1"/>
  </cols>
  <sheetData>
    <row r="1" spans="1:2" x14ac:dyDescent="0.25">
      <c r="A1" s="12" t="s">
        <v>928</v>
      </c>
      <c r="B1" s="4" t="s">
        <v>944</v>
      </c>
    </row>
    <row r="2" spans="1:2" x14ac:dyDescent="0.25">
      <c r="A2" s="13" t="s">
        <v>930</v>
      </c>
      <c r="B2" s="25">
        <v>272702</v>
      </c>
    </row>
    <row r="3" spans="1:2" x14ac:dyDescent="0.25">
      <c r="A3" s="14" t="s">
        <v>931</v>
      </c>
      <c r="B3" s="25">
        <v>32726</v>
      </c>
    </row>
    <row r="4" spans="1:2" x14ac:dyDescent="0.25">
      <c r="A4" s="14" t="s">
        <v>932</v>
      </c>
      <c r="B4" s="25">
        <v>28545</v>
      </c>
    </row>
    <row r="5" spans="1:2" x14ac:dyDescent="0.25">
      <c r="A5" s="14" t="s">
        <v>933</v>
      </c>
      <c r="B5" s="25">
        <v>23658</v>
      </c>
    </row>
    <row r="6" spans="1:2" x14ac:dyDescent="0.25">
      <c r="A6" s="14" t="s">
        <v>934</v>
      </c>
      <c r="B6" s="25">
        <v>12966</v>
      </c>
    </row>
    <row r="7" spans="1:2" x14ac:dyDescent="0.25">
      <c r="A7" s="14" t="s">
        <v>935</v>
      </c>
      <c r="B7" s="25">
        <v>30899</v>
      </c>
    </row>
    <row r="8" spans="1:2" x14ac:dyDescent="0.25">
      <c r="A8" s="14" t="s">
        <v>936</v>
      </c>
      <c r="B8" s="25">
        <v>26628</v>
      </c>
    </row>
    <row r="9" spans="1:2" x14ac:dyDescent="0.25">
      <c r="A9" s="14" t="s">
        <v>937</v>
      </c>
      <c r="B9" s="25">
        <v>31615</v>
      </c>
    </row>
    <row r="10" spans="1:2" x14ac:dyDescent="0.25">
      <c r="A10" s="14" t="s">
        <v>938</v>
      </c>
      <c r="B10" s="25">
        <v>48086</v>
      </c>
    </row>
    <row r="11" spans="1:2" x14ac:dyDescent="0.25">
      <c r="A11" s="14" t="s">
        <v>939</v>
      </c>
      <c r="B11" s="25">
        <v>37579</v>
      </c>
    </row>
    <row r="12" spans="1:2" x14ac:dyDescent="0.25">
      <c r="A12" s="13" t="s">
        <v>940</v>
      </c>
      <c r="B12" s="25">
        <v>158800</v>
      </c>
    </row>
    <row r="13" spans="1:2" x14ac:dyDescent="0.25">
      <c r="A13" s="14" t="s">
        <v>941</v>
      </c>
      <c r="B13" s="25">
        <v>61439</v>
      </c>
    </row>
    <row r="14" spans="1:2" x14ac:dyDescent="0.25">
      <c r="A14" s="14" t="s">
        <v>942</v>
      </c>
      <c r="B14" s="25">
        <v>38424</v>
      </c>
    </row>
    <row r="15" spans="1:2" x14ac:dyDescent="0.25">
      <c r="A15" s="14" t="s">
        <v>943</v>
      </c>
      <c r="B15" s="25">
        <v>58937</v>
      </c>
    </row>
    <row r="16" spans="1:2" x14ac:dyDescent="0.25">
      <c r="A16" s="13" t="s">
        <v>929</v>
      </c>
      <c r="B16" s="25">
        <v>431502</v>
      </c>
    </row>
    <row r="21" spans="1:3" x14ac:dyDescent="0.25">
      <c r="A21" s="12" t="s">
        <v>928</v>
      </c>
      <c r="B21" t="s">
        <v>944</v>
      </c>
      <c r="C21" s="12"/>
    </row>
    <row r="22" spans="1:3" x14ac:dyDescent="0.25">
      <c r="A22" s="13" t="s">
        <v>885</v>
      </c>
      <c r="B22" s="25">
        <v>139054</v>
      </c>
    </row>
    <row r="23" spans="1:3" x14ac:dyDescent="0.25">
      <c r="A23" s="13" t="s">
        <v>888</v>
      </c>
      <c r="B23" s="25">
        <v>165267</v>
      </c>
    </row>
    <row r="24" spans="1:3" x14ac:dyDescent="0.25">
      <c r="A24" s="13" t="s">
        <v>883</v>
      </c>
      <c r="B24" s="25">
        <v>127181</v>
      </c>
    </row>
    <row r="25" spans="1:3" x14ac:dyDescent="0.25">
      <c r="A25" s="13" t="s">
        <v>929</v>
      </c>
      <c r="B25" s="25">
        <v>431502</v>
      </c>
    </row>
    <row r="34" spans="1:3" x14ac:dyDescent="0.25">
      <c r="A34" s="12" t="s">
        <v>928</v>
      </c>
      <c r="B34" t="s">
        <v>944</v>
      </c>
      <c r="C34" s="12"/>
    </row>
    <row r="35" spans="1:3" x14ac:dyDescent="0.25">
      <c r="A35" s="13" t="s">
        <v>47</v>
      </c>
      <c r="B35" s="25">
        <v>13459</v>
      </c>
    </row>
    <row r="36" spans="1:3" x14ac:dyDescent="0.25">
      <c r="A36" s="13" t="s">
        <v>23</v>
      </c>
      <c r="B36" s="25">
        <v>14086</v>
      </c>
    </row>
    <row r="37" spans="1:3" x14ac:dyDescent="0.25">
      <c r="A37" s="13" t="s">
        <v>27</v>
      </c>
      <c r="B37" s="25">
        <v>15058</v>
      </c>
    </row>
    <row r="38" spans="1:3" x14ac:dyDescent="0.25">
      <c r="A38" s="13" t="s">
        <v>51</v>
      </c>
      <c r="B38" s="25">
        <v>16786</v>
      </c>
    </row>
    <row r="39" spans="1:3" x14ac:dyDescent="0.25">
      <c r="A39" s="13" t="s">
        <v>7</v>
      </c>
      <c r="B39" s="25">
        <v>21058</v>
      </c>
    </row>
    <row r="40" spans="1:3" x14ac:dyDescent="0.25">
      <c r="A40" s="13" t="s">
        <v>19</v>
      </c>
      <c r="B40" s="25">
        <v>21149</v>
      </c>
    </row>
    <row r="41" spans="1:3" x14ac:dyDescent="0.25">
      <c r="A41" s="13" t="s">
        <v>39</v>
      </c>
      <c r="B41" s="25">
        <v>22359</v>
      </c>
    </row>
    <row r="42" spans="1:3" x14ac:dyDescent="0.25">
      <c r="A42" s="13" t="s">
        <v>606</v>
      </c>
      <c r="B42" s="25">
        <v>22531</v>
      </c>
    </row>
    <row r="43" spans="1:3" x14ac:dyDescent="0.25">
      <c r="A43" s="13" t="s">
        <v>11</v>
      </c>
      <c r="B43" s="25">
        <v>95348</v>
      </c>
    </row>
    <row r="44" spans="1:3" x14ac:dyDescent="0.25">
      <c r="A44" s="13" t="s">
        <v>15</v>
      </c>
      <c r="B44" s="25">
        <v>105140</v>
      </c>
    </row>
    <row r="45" spans="1:3" x14ac:dyDescent="0.25">
      <c r="A45" s="13" t="s">
        <v>929</v>
      </c>
      <c r="B45" s="25">
        <v>346974</v>
      </c>
    </row>
    <row r="55" spans="1:2" x14ac:dyDescent="0.25">
      <c r="A55" s="12" t="s">
        <v>928</v>
      </c>
      <c r="B55" t="s">
        <v>944</v>
      </c>
    </row>
    <row r="56" spans="1:2" x14ac:dyDescent="0.25">
      <c r="A56" s="13" t="s">
        <v>899</v>
      </c>
      <c r="B56" s="25">
        <v>58252</v>
      </c>
    </row>
    <row r="57" spans="1:2" x14ac:dyDescent="0.25">
      <c r="A57" s="13" t="s">
        <v>884</v>
      </c>
      <c r="B57" s="25">
        <v>56861</v>
      </c>
    </row>
    <row r="58" spans="1:2" x14ac:dyDescent="0.25">
      <c r="A58" s="13" t="s">
        <v>891</v>
      </c>
      <c r="B58" s="25">
        <v>53511</v>
      </c>
    </row>
    <row r="59" spans="1:2" x14ac:dyDescent="0.25">
      <c r="A59" s="13" t="s">
        <v>890</v>
      </c>
      <c r="B59" s="25">
        <v>46119</v>
      </c>
    </row>
    <row r="60" spans="1:2" x14ac:dyDescent="0.25">
      <c r="A60" s="13" t="s">
        <v>889</v>
      </c>
      <c r="B60" s="25">
        <v>39168</v>
      </c>
    </row>
    <row r="61" spans="1:2" x14ac:dyDescent="0.25">
      <c r="A61" s="13" t="s">
        <v>929</v>
      </c>
      <c r="B61" s="25">
        <v>253911</v>
      </c>
    </row>
    <row r="71" spans="1:3" x14ac:dyDescent="0.25">
      <c r="A71" s="12" t="s">
        <v>928</v>
      </c>
      <c r="B71" t="s">
        <v>944</v>
      </c>
      <c r="C71" t="s">
        <v>949</v>
      </c>
    </row>
    <row r="72" spans="1:3" x14ac:dyDescent="0.25">
      <c r="A72" s="13" t="s">
        <v>130</v>
      </c>
      <c r="B72" s="25">
        <v>9177</v>
      </c>
      <c r="C72" s="15">
        <v>1</v>
      </c>
    </row>
    <row r="73" spans="1:3" x14ac:dyDescent="0.25">
      <c r="A73" s="13" t="s">
        <v>96</v>
      </c>
      <c r="B73" s="25">
        <v>9030</v>
      </c>
      <c r="C73" s="15">
        <v>2</v>
      </c>
    </row>
    <row r="74" spans="1:3" x14ac:dyDescent="0.25">
      <c r="A74" s="13" t="s">
        <v>395</v>
      </c>
      <c r="B74" s="25">
        <v>8135</v>
      </c>
      <c r="C74" s="15">
        <v>3</v>
      </c>
    </row>
    <row r="75" spans="1:3" x14ac:dyDescent="0.25">
      <c r="A75" s="13" t="s">
        <v>269</v>
      </c>
      <c r="B75" s="25">
        <v>6889</v>
      </c>
      <c r="C75" s="15">
        <v>4</v>
      </c>
    </row>
    <row r="76" spans="1:3" x14ac:dyDescent="0.25">
      <c r="A76" s="13" t="s">
        <v>349</v>
      </c>
      <c r="B76" s="25">
        <v>6869</v>
      </c>
      <c r="C76" s="15">
        <v>5</v>
      </c>
    </row>
    <row r="77" spans="1:3" x14ac:dyDescent="0.25">
      <c r="A77" s="13" t="s">
        <v>757</v>
      </c>
      <c r="B77" s="25">
        <v>6026</v>
      </c>
      <c r="C77" s="15">
        <v>6</v>
      </c>
    </row>
    <row r="78" spans="1:3" x14ac:dyDescent="0.25">
      <c r="A78" s="13" t="s">
        <v>152</v>
      </c>
      <c r="B78" s="25">
        <v>5762</v>
      </c>
      <c r="C78" s="15">
        <v>7</v>
      </c>
    </row>
    <row r="79" spans="1:3" x14ac:dyDescent="0.25">
      <c r="A79" s="13" t="s">
        <v>160</v>
      </c>
      <c r="B79" s="25">
        <v>5750</v>
      </c>
      <c r="C79" s="15">
        <v>8</v>
      </c>
    </row>
    <row r="80" spans="1:3" x14ac:dyDescent="0.25">
      <c r="A80" s="13" t="s">
        <v>520</v>
      </c>
      <c r="B80" s="25">
        <v>5691</v>
      </c>
      <c r="C80" s="15">
        <v>9</v>
      </c>
    </row>
    <row r="81" spans="1:3" x14ac:dyDescent="0.25">
      <c r="A81" s="13" t="s">
        <v>78</v>
      </c>
      <c r="B81" s="25">
        <v>5449</v>
      </c>
      <c r="C81" s="15">
        <v>10</v>
      </c>
    </row>
    <row r="82" spans="1:3" x14ac:dyDescent="0.25">
      <c r="A82" s="13" t="s">
        <v>929</v>
      </c>
      <c r="B82" s="25">
        <v>68778</v>
      </c>
      <c r="C82" s="15"/>
    </row>
    <row r="88" spans="1:3" x14ac:dyDescent="0.25">
      <c r="A88" s="12" t="s">
        <v>928</v>
      </c>
      <c r="B88" t="s">
        <v>945</v>
      </c>
    </row>
    <row r="89" spans="1:3" x14ac:dyDescent="0.25">
      <c r="A89" s="13" t="s">
        <v>885</v>
      </c>
      <c r="B89" s="25">
        <v>11163</v>
      </c>
    </row>
    <row r="90" spans="1:3" x14ac:dyDescent="0.25">
      <c r="A90" s="13" t="s">
        <v>888</v>
      </c>
      <c r="B90" s="25">
        <v>10494</v>
      </c>
    </row>
    <row r="91" spans="1:3" x14ac:dyDescent="0.25">
      <c r="A91" s="13" t="s">
        <v>883</v>
      </c>
      <c r="B91" s="25">
        <v>2298</v>
      </c>
    </row>
    <row r="92" spans="1:3" x14ac:dyDescent="0.25">
      <c r="A92" s="13" t="s">
        <v>929</v>
      </c>
      <c r="B92" s="25">
        <v>23955</v>
      </c>
    </row>
  </sheetData>
  <pageMargins left="0.7" right="0.7" top="0.75" bottom="0.75" header="0.3" footer="0.3"/>
  <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7AAA-2F74-4418-898F-F02D8D60BF50}">
  <sheetPr codeName="Sheet8"/>
  <dimension ref="A1:W9"/>
  <sheetViews>
    <sheetView showGridLines="0" tabSelected="1" zoomScaleNormal="100" workbookViewId="0">
      <selection activeCell="T3" sqref="T3"/>
    </sheetView>
  </sheetViews>
  <sheetFormatPr defaultRowHeight="15" x14ac:dyDescent="0.25"/>
  <cols>
    <col min="2" max="2" width="12" bestFit="1" customWidth="1"/>
  </cols>
  <sheetData>
    <row r="1" spans="1:23" ht="15" customHeight="1" x14ac:dyDescent="0.35">
      <c r="A1" s="24" t="s">
        <v>947</v>
      </c>
      <c r="B1" s="24"/>
      <c r="C1" s="24"/>
      <c r="D1" s="24"/>
      <c r="E1" s="24"/>
      <c r="F1" s="24"/>
      <c r="G1" s="24"/>
      <c r="H1" s="24"/>
      <c r="I1" s="24"/>
      <c r="J1" s="24"/>
      <c r="K1" s="24"/>
      <c r="L1" s="24"/>
      <c r="M1" s="24"/>
      <c r="N1" s="24"/>
      <c r="O1" s="24"/>
      <c r="P1" s="24"/>
      <c r="Q1" s="24"/>
      <c r="R1" s="24"/>
      <c r="S1" s="24"/>
      <c r="T1" s="24"/>
      <c r="U1" s="18"/>
      <c r="V1" s="18"/>
      <c r="W1" s="18"/>
    </row>
    <row r="2" spans="1:23" ht="15" customHeight="1" x14ac:dyDescent="0.35">
      <c r="A2" s="24"/>
      <c r="B2" s="24"/>
      <c r="C2" s="24"/>
      <c r="D2" s="24"/>
      <c r="E2" s="24"/>
      <c r="F2" s="24"/>
      <c r="G2" s="24"/>
      <c r="H2" s="24"/>
      <c r="I2" s="24"/>
      <c r="J2" s="24"/>
      <c r="K2" s="24"/>
      <c r="L2" s="24"/>
      <c r="M2" s="24"/>
      <c r="N2" s="24"/>
      <c r="O2" s="24"/>
      <c r="P2" s="24"/>
      <c r="Q2" s="24"/>
      <c r="R2" s="24"/>
      <c r="S2" s="24"/>
      <c r="T2" s="24"/>
      <c r="U2" s="18"/>
      <c r="V2" s="18"/>
      <c r="W2" s="18"/>
    </row>
    <row r="3" spans="1:23" ht="15" customHeight="1" x14ac:dyDescent="0.35">
      <c r="A3" s="18"/>
      <c r="B3" s="18"/>
      <c r="C3" s="18"/>
      <c r="D3" s="18"/>
      <c r="E3" s="18"/>
      <c r="F3" s="18"/>
      <c r="G3" s="18"/>
      <c r="H3" s="18"/>
      <c r="I3" s="18"/>
      <c r="J3" s="18"/>
      <c r="K3" s="18"/>
      <c r="L3" s="18"/>
      <c r="M3" s="18"/>
      <c r="N3" s="18"/>
      <c r="O3" s="18"/>
      <c r="P3" s="18"/>
      <c r="Q3" s="18"/>
      <c r="R3" s="18"/>
      <c r="S3" s="18"/>
      <c r="T3" s="18"/>
      <c r="U3" s="18"/>
      <c r="V3" s="18"/>
      <c r="W3" s="18"/>
    </row>
    <row r="6" spans="1:23" ht="18.75" x14ac:dyDescent="0.3">
      <c r="B6" s="16"/>
    </row>
    <row r="7" spans="1:23" ht="18.75" x14ac:dyDescent="0.3">
      <c r="B7" s="16"/>
    </row>
    <row r="8" spans="1:23" ht="18.75" x14ac:dyDescent="0.3">
      <c r="B8" s="16"/>
    </row>
    <row r="9" spans="1:23" ht="18.75" x14ac:dyDescent="0.3">
      <c r="B9" s="16"/>
    </row>
  </sheetData>
  <mergeCells count="1">
    <mergeCell ref="A1:T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efresh_All">
                <anchor moveWithCells="1" sizeWithCells="1">
                  <from>
                    <xdr:col>16</xdr:col>
                    <xdr:colOff>180975</xdr:colOff>
                    <xdr:row>0</xdr:row>
                    <xdr:rowOff>104775</xdr:rowOff>
                  </from>
                  <to>
                    <xdr:col>18</xdr:col>
                    <xdr:colOff>200025</xdr:colOff>
                    <xdr:row>1</xdr:row>
                    <xdr:rowOff>133350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Orders</vt:lpstr>
      <vt:lpstr>Order_Details</vt:lpstr>
      <vt:lpstr>Sales_Target</vt:lpstr>
      <vt:lpstr>Final_Data</vt:lpstr>
      <vt:lpstr>MIS_Report</vt:lpstr>
      <vt:lpstr>KPI's</vt:lpstr>
      <vt:lpstr>Pivot_Analysis</vt:lpstr>
      <vt:lpstr>Dashboard</vt:lpstr>
      <vt:lpstr>tbl_orders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2026-04-11T05:18:20Z</dcterms:created>
  <dcterms:modified xsi:type="dcterms:W3CDTF">2026-04-15T02:07:41Z</dcterms:modified>
</cp:coreProperties>
</file>